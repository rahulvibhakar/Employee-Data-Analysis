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loyee Sample Data"/>
    <sheet r:id="rId2" sheetId="2" name="Pivot Table 2"/>
    <sheet r:id="rId3" sheetId="3" name="Copy of Pivot Table 12"/>
    <sheet r:id="rId4" sheetId="4" name="Dashboard"/>
  </sheets>
  <definedNames>
    <definedName name="_xlnm._FilterDatabase" localSheetId="2">'Copy of Pivot Table 12'!$D$41:$E$76</definedName>
    <definedName name="_xlnm._FilterDatabase" localSheetId="0">'Employee Sample Data'!$A$1:$AB$2001</definedName>
    <definedName name="_xlnm._FilterDatabase" localSheetId="1">'Pivot Table 2'!$D$41:$E$76</definedName>
    <definedName name="Z_9F32788B_5C60_4A3E_A276_17BBFE8822B8_.wvu.FilterData" localSheetId="0">'Employee Sample Data'!$A$1:$Q$1002</definedName>
    <definedName name="Z_EE74BC42_F2C5_4D29_A3FC_9ECA26B1861B_.wvu.FilterData" localSheetId="3">Dashboard!$R$29</definedName>
    <definedName name="Z_EE74BC42_F2C5_4D29_A3FC_9ECA26B1861B_.wvu.FilterData" localSheetId="0">'Employee Sample Data'!$A$1:$AB$1002</definedName>
  </definedNames>
  <calcPr fullCalcOnLoad="1"/>
</workbook>
</file>

<file path=xl/sharedStrings.xml><?xml version="1.0" encoding="utf-8"?>
<sst xmlns="http://schemas.openxmlformats.org/spreadsheetml/2006/main" count="11191" uniqueCount="2006">
  <si>
    <t>Gender</t>
  </si>
  <si>
    <t>COUNTA of Gender</t>
  </si>
  <si>
    <t>Ethnicity</t>
  </si>
  <si>
    <t>COUNTA of Ethnicity</t>
  </si>
  <si>
    <t>Country</t>
  </si>
  <si>
    <t>COUNTA of Country</t>
  </si>
  <si>
    <t>AVERAGE of Age</t>
  </si>
  <si>
    <t>Female</t>
  </si>
  <si>
    <t>Asian</t>
  </si>
  <si>
    <t>Brazil</t>
  </si>
  <si>
    <t>Male</t>
  </si>
  <si>
    <t>Black</t>
  </si>
  <si>
    <t>China</t>
  </si>
  <si>
    <t>(blank)</t>
  </si>
  <si>
    <t>Caucasian</t>
  </si>
  <si>
    <t>United States</t>
  </si>
  <si>
    <t>Grand Total</t>
  </si>
  <si>
    <t>Latino</t>
  </si>
  <si>
    <t>Department</t>
  </si>
  <si>
    <t>COUNTA of Department</t>
  </si>
  <si>
    <t>AVERAGE of Annual Salary</t>
  </si>
  <si>
    <t>AVERAGE of Bonus %</t>
  </si>
  <si>
    <t>Salary Range</t>
  </si>
  <si>
    <t>COUNTA of Salary Range</t>
  </si>
  <si>
    <t>Accounting</t>
  </si>
  <si>
    <t>0-50</t>
  </si>
  <si>
    <t>Engineering</t>
  </si>
  <si>
    <t>101-150</t>
  </si>
  <si>
    <t>Finance</t>
  </si>
  <si>
    <t>151-200</t>
  </si>
  <si>
    <t>Human Resources</t>
  </si>
  <si>
    <t>201-250</t>
  </si>
  <si>
    <t>IT</t>
  </si>
  <si>
    <t>51-100</t>
  </si>
  <si>
    <t>Marketing</t>
  </si>
  <si>
    <t>above 250</t>
  </si>
  <si>
    <t>Sales</t>
  </si>
  <si>
    <t>Full Name</t>
  </si>
  <si>
    <t>City</t>
  </si>
  <si>
    <t>COUNTA of EEID</t>
  </si>
  <si>
    <t>Age Range</t>
  </si>
  <si>
    <t>Peyton Huang</t>
  </si>
  <si>
    <t>Austin</t>
  </si>
  <si>
    <t>Adult</t>
  </si>
  <si>
    <t>Middle Age</t>
  </si>
  <si>
    <t>Old</t>
  </si>
  <si>
    <t>Connor Vang</t>
  </si>
  <si>
    <t>Beijing</t>
  </si>
  <si>
    <t>Luke Martin</t>
  </si>
  <si>
    <t>Chengdu</t>
  </si>
  <si>
    <t>Ella White</t>
  </si>
  <si>
    <t>Chicago</t>
  </si>
  <si>
    <t>Adam Nelson</t>
  </si>
  <si>
    <t>Chongqing</t>
  </si>
  <si>
    <t>Greyson Lam</t>
  </si>
  <si>
    <t>Columbus</t>
  </si>
  <si>
    <t>Hannah Gomez</t>
  </si>
  <si>
    <t>Manaus</t>
  </si>
  <si>
    <t>Sophie Vang</t>
  </si>
  <si>
    <t>Miami</t>
  </si>
  <si>
    <t>Autumn Leung</t>
  </si>
  <si>
    <t>Phoenix</t>
  </si>
  <si>
    <t>Lillian Chen</t>
  </si>
  <si>
    <t>Rio de Janerio</t>
  </si>
  <si>
    <t>Emery Doan</t>
  </si>
  <si>
    <t>Sao Paulo</t>
  </si>
  <si>
    <t>Maria Sun</t>
  </si>
  <si>
    <t>Seattle</t>
  </si>
  <si>
    <t>Charles Luu</t>
  </si>
  <si>
    <t>Shanghai</t>
  </si>
  <si>
    <t>Caroline Santos</t>
  </si>
  <si>
    <t>Gabriel Zhou</t>
  </si>
  <si>
    <t>Isaac Stewart</t>
  </si>
  <si>
    <t>Hannah Hoang</t>
  </si>
  <si>
    <t>Landon Thao</t>
  </si>
  <si>
    <t>Job Title</t>
  </si>
  <si>
    <t>COUNTA of Job Title</t>
  </si>
  <si>
    <t>Grace Sun</t>
  </si>
  <si>
    <t>Account Representative</t>
  </si>
  <si>
    <t>Grace Carter</t>
  </si>
  <si>
    <t>Analyst</t>
  </si>
  <si>
    <t>Everly Lin</t>
  </si>
  <si>
    <t>Analyst II</t>
  </si>
  <si>
    <t>Ryan Lu</t>
  </si>
  <si>
    <t>Automation Engineer</t>
  </si>
  <si>
    <t>Amelia Salazar</t>
  </si>
  <si>
    <t>Business Partner</t>
  </si>
  <si>
    <t>Lincoln Hall</t>
  </si>
  <si>
    <t>Cloud Infrastructure Architect</t>
  </si>
  <si>
    <t>Penelope Jordan</t>
  </si>
  <si>
    <t>Computer Systems Manager</t>
  </si>
  <si>
    <t>Charles Robinson</t>
  </si>
  <si>
    <t>Controls Engineer</t>
  </si>
  <si>
    <t>Harper Alexander</t>
  </si>
  <si>
    <t>Development Engineer</t>
  </si>
  <si>
    <t>Madeline Acosta</t>
  </si>
  <si>
    <t>Director</t>
  </si>
  <si>
    <t>Landon Brown</t>
  </si>
  <si>
    <t>Engineering Manager</t>
  </si>
  <si>
    <t>Maverick Henry</t>
  </si>
  <si>
    <t>Enterprise Architect</t>
  </si>
  <si>
    <t>Caroline Owens</t>
  </si>
  <si>
    <t>Field Engineer</t>
  </si>
  <si>
    <t>Grayson Chin</t>
  </si>
  <si>
    <t>HRIS Analyst</t>
  </si>
  <si>
    <t>Eliza Adams</t>
  </si>
  <si>
    <t>IT Coordinator</t>
  </si>
  <si>
    <t>Layla Collins</t>
  </si>
  <si>
    <t>IT Systems Architect</t>
  </si>
  <si>
    <t>Ian Vargas</t>
  </si>
  <si>
    <t>Manager</t>
  </si>
  <si>
    <t>Peyton Vasquez</t>
  </si>
  <si>
    <t>Network Administrator</t>
  </si>
  <si>
    <t>Jose Richardson</t>
  </si>
  <si>
    <t>Network Architect</t>
  </si>
  <si>
    <t>Vivian Hunter</t>
  </si>
  <si>
    <t>Network Engineer</t>
  </si>
  <si>
    <t>Jeremiah Hernandez</t>
  </si>
  <si>
    <t>Operations Engineer</t>
  </si>
  <si>
    <t>Gianna Williams</t>
  </si>
  <si>
    <t>Quality Engineer</t>
  </si>
  <si>
    <t>Caroline Jenkins</t>
  </si>
  <si>
    <t>Service Desk Analyst</t>
  </si>
  <si>
    <t>Leilani Chow</t>
  </si>
  <si>
    <t>Solutions Architect</t>
  </si>
  <si>
    <t>Isabella Soto</t>
  </si>
  <si>
    <t>Sr. Account Representative</t>
  </si>
  <si>
    <t>Leilani Butler</t>
  </si>
  <si>
    <t>Sr. Analyst</t>
  </si>
  <si>
    <t>Jack Huynh</t>
  </si>
  <si>
    <t>Sr. Business Partner</t>
  </si>
  <si>
    <t>Camila Rogers</t>
  </si>
  <si>
    <t>Sr. Manger</t>
  </si>
  <si>
    <t>Ruby Barnes</t>
  </si>
  <si>
    <t xml:space="preserve">System Administrator </t>
  </si>
  <si>
    <t>Ava Garza</t>
  </si>
  <si>
    <t>Systems Analyst</t>
  </si>
  <si>
    <t>Connor Grant</t>
  </si>
  <si>
    <t>Technical Architect</t>
  </si>
  <si>
    <t>Mateo Chu</t>
  </si>
  <si>
    <t>Test Engineer</t>
  </si>
  <si>
    <t>Jackson Perry</t>
  </si>
  <si>
    <t>Vice President</t>
  </si>
  <si>
    <t>Angel Lin</t>
  </si>
  <si>
    <t>Lillian Romero</t>
  </si>
  <si>
    <t>Nathan Miller</t>
  </si>
  <si>
    <t>Emma Cao</t>
  </si>
  <si>
    <t>Madison Nelson</t>
  </si>
  <si>
    <t>Santiago f Gray</t>
  </si>
  <si>
    <t>Charles Gonzalez</t>
  </si>
  <si>
    <t>Nicholas Wong</t>
  </si>
  <si>
    <t>Raelynn Lu</t>
  </si>
  <si>
    <t>Cora Zheng</t>
  </si>
  <si>
    <t>Avery Dominguez</t>
  </si>
  <si>
    <t>Dylan Ali</t>
  </si>
  <si>
    <t>Addison Mehta</t>
  </si>
  <si>
    <t>Elena Mendoza</t>
  </si>
  <si>
    <t>Sophie Silva</t>
  </si>
  <si>
    <t>Luna Simmons</t>
  </si>
  <si>
    <t>Madeline Hoang</t>
  </si>
  <si>
    <t>Ezekiel Kumar</t>
  </si>
  <si>
    <t>Emery Hunter</t>
  </si>
  <si>
    <t>Nolan Bui</t>
  </si>
  <si>
    <t>Owen Han</t>
  </si>
  <si>
    <t>Elias Ali</t>
  </si>
  <si>
    <t>Greyson Sanders</t>
  </si>
  <si>
    <t>Jonathan Patel</t>
  </si>
  <si>
    <t>Skylar Watson</t>
  </si>
  <si>
    <t>Isaac Woods</t>
  </si>
  <si>
    <t>Lincoln Henderson</t>
  </si>
  <si>
    <t>Emma Perry</t>
  </si>
  <si>
    <t>Jameson Foster</t>
  </si>
  <si>
    <t>Eloise Alexander</t>
  </si>
  <si>
    <t>Liam Jordan</t>
  </si>
  <si>
    <t>Melody Valdez</t>
  </si>
  <si>
    <t>Jordan Cho</t>
  </si>
  <si>
    <t>Andrew Reed</t>
  </si>
  <si>
    <t>Angel Stewart</t>
  </si>
  <si>
    <t>Kinsley Collins</t>
  </si>
  <si>
    <t>Isla Guzman</t>
  </si>
  <si>
    <t>Christopher Chung</t>
  </si>
  <si>
    <t>Raelynn Hong</t>
  </si>
  <si>
    <t>Kinsley Dixon</t>
  </si>
  <si>
    <t>Samantha Rogers</t>
  </si>
  <si>
    <t>Nicholas Avila</t>
  </si>
  <si>
    <t>Willow Woods</t>
  </si>
  <si>
    <t>Samantha Barnes</t>
  </si>
  <si>
    <t>Gabriel Brooks</t>
  </si>
  <si>
    <t>Elijah Watson</t>
  </si>
  <si>
    <t>Grayson Walker</t>
  </si>
  <si>
    <t>Skylar Liu</t>
  </si>
  <si>
    <t>Jonathan Chavez</t>
  </si>
  <si>
    <t>Sadie Washington</t>
  </si>
  <si>
    <t>Easton Bailey</t>
  </si>
  <si>
    <t>Caleb Marquez</t>
  </si>
  <si>
    <t>Carter Mejia</t>
  </si>
  <si>
    <t>Leonardo Lo</t>
  </si>
  <si>
    <t>Isla Chavez</t>
  </si>
  <si>
    <t>Nora Park</t>
  </si>
  <si>
    <t>Liam Zhang</t>
  </si>
  <si>
    <t>Ellie Guerrero</t>
  </si>
  <si>
    <t>Caroline Perez</t>
  </si>
  <si>
    <t>Sophie Oh</t>
  </si>
  <si>
    <t>Austin Rojas</t>
  </si>
  <si>
    <t>Charlotte Baker</t>
  </si>
  <si>
    <t>Oliver Moua</t>
  </si>
  <si>
    <t>Julian Delgado</t>
  </si>
  <si>
    <t>Lydia Espinoza</t>
  </si>
  <si>
    <t>Camila Cortez</t>
  </si>
  <si>
    <t>Naomi Coleman</t>
  </si>
  <si>
    <t>Addison Perez</t>
  </si>
  <si>
    <t>Nathan Lee</t>
  </si>
  <si>
    <t>Daniel Richardson</t>
  </si>
  <si>
    <t>Mateo Vu</t>
  </si>
  <si>
    <t>Alexander Bryant</t>
  </si>
  <si>
    <t>Aurora Ali</t>
  </si>
  <si>
    <t>Logan Bryant</t>
  </si>
  <si>
    <t>Skylar Bell</t>
  </si>
  <si>
    <t>Owen Lam</t>
  </si>
  <si>
    <t>Emma Brooks</t>
  </si>
  <si>
    <t>Nolan Pena</t>
  </si>
  <si>
    <t>Mila Hong</t>
  </si>
  <si>
    <t>Hadley Parker</t>
  </si>
  <si>
    <t>Everleigh Fernandez</t>
  </si>
  <si>
    <t>Sophia Ahmed</t>
  </si>
  <si>
    <t>Liam Grant</t>
  </si>
  <si>
    <t>Evelyn Jung</t>
  </si>
  <si>
    <t>Connor Walker</t>
  </si>
  <si>
    <t>Mila Roberts</t>
  </si>
  <si>
    <t>Amelia Kaur</t>
  </si>
  <si>
    <t>Hudson Hill</t>
  </si>
  <si>
    <t>Peyton Cruz</t>
  </si>
  <si>
    <t>Autumn Ortiz</t>
  </si>
  <si>
    <t>Liliana Do</t>
  </si>
  <si>
    <t>Hudson Thompson</t>
  </si>
  <si>
    <t>Madeline Allen</t>
  </si>
  <si>
    <t>John Delgado</t>
  </si>
  <si>
    <t>Mateo Harris</t>
  </si>
  <si>
    <t>Robert Wright</t>
  </si>
  <si>
    <t>Hazel Young</t>
  </si>
  <si>
    <t>Sophie Owens</t>
  </si>
  <si>
    <t>Eva Garcia</t>
  </si>
  <si>
    <t>Dylan Padilla</t>
  </si>
  <si>
    <t>Natalia Owens</t>
  </si>
  <si>
    <t>Landon Luu</t>
  </si>
  <si>
    <t>Roman Martinez</t>
  </si>
  <si>
    <t>Xavier Zheng</t>
  </si>
  <si>
    <t>Robert Yang</t>
  </si>
  <si>
    <t>Jack Maldonado</t>
  </si>
  <si>
    <t>Nevaeh Jones</t>
  </si>
  <si>
    <t>Jeremiah Chu</t>
  </si>
  <si>
    <t>Andrew Ma</t>
  </si>
  <si>
    <t>Jace Zhang</t>
  </si>
  <si>
    <t>Daniel Huang</t>
  </si>
  <si>
    <t>Lincoln Fong</t>
  </si>
  <si>
    <t>Benjamin Ford</t>
  </si>
  <si>
    <t>Ian Miller</t>
  </si>
  <si>
    <t>Hannah King</t>
  </si>
  <si>
    <t>Caroline Hu</t>
  </si>
  <si>
    <t>Samuel Song</t>
  </si>
  <si>
    <t>Hadley Yee</t>
  </si>
  <si>
    <t>Angel Delgado</t>
  </si>
  <si>
    <t>Isaac Han</t>
  </si>
  <si>
    <t>Hailey Watson</t>
  </si>
  <si>
    <t>Oliver Yang</t>
  </si>
  <si>
    <t>Parker Allen</t>
  </si>
  <si>
    <t>Elijah Henry</t>
  </si>
  <si>
    <t>Nora Brown</t>
  </si>
  <si>
    <t>Wyatt Rojas</t>
  </si>
  <si>
    <t>Kinsley Acosta</t>
  </si>
  <si>
    <t>Anna Mehta</t>
  </si>
  <si>
    <t>Charlotte Ruiz</t>
  </si>
  <si>
    <t>Camila Watson</t>
  </si>
  <si>
    <t>Zoe Romero</t>
  </si>
  <si>
    <t>Bella Lopez</t>
  </si>
  <si>
    <t>Ian Gutierrez</t>
  </si>
  <si>
    <t>Henry Green</t>
  </si>
  <si>
    <t>Nova Hsu</t>
  </si>
  <si>
    <t>Hazel Griffin</t>
  </si>
  <si>
    <t>Hailey Sanchez</t>
  </si>
  <si>
    <t>Jordan Zhu</t>
  </si>
  <si>
    <t>Jameson Allen</t>
  </si>
  <si>
    <t>Emily Doan</t>
  </si>
  <si>
    <t>Nevaeh Hsu</t>
  </si>
  <si>
    <t>David Herrera</t>
  </si>
  <si>
    <t>Jaxson Coleman</t>
  </si>
  <si>
    <t>Everly Chow</t>
  </si>
  <si>
    <t>Piper Lewis</t>
  </si>
  <si>
    <t>Jaxon Park</t>
  </si>
  <si>
    <t>Anthony Rogers</t>
  </si>
  <si>
    <t>Ethan Clark</t>
  </si>
  <si>
    <t>Ezekiel Jordan</t>
  </si>
  <si>
    <t>Kinsley Vega</t>
  </si>
  <si>
    <t>Everleigh Adams</t>
  </si>
  <si>
    <t>Jade Figueroa</t>
  </si>
  <si>
    <t>Alexander Morris</t>
  </si>
  <si>
    <t>Raelynn Ma</t>
  </si>
  <si>
    <t>Valentina Davis</t>
  </si>
  <si>
    <t>Carter Turner</t>
  </si>
  <si>
    <t>Bella Butler</t>
  </si>
  <si>
    <t>Logan Carrillo</t>
  </si>
  <si>
    <t>Eleanor Delgado</t>
  </si>
  <si>
    <t>Nova Lin</t>
  </si>
  <si>
    <t>Genesis Woods</t>
  </si>
  <si>
    <t>Abigail Garza</t>
  </si>
  <si>
    <t>Lily Nguyen</t>
  </si>
  <si>
    <t>Wesley Young</t>
  </si>
  <si>
    <t>Elijah Ramos</t>
  </si>
  <si>
    <t>Caleb Nelson</t>
  </si>
  <si>
    <t>Ariana Kim</t>
  </si>
  <si>
    <t>Leah Patterson</t>
  </si>
  <si>
    <t>Hailey Hong</t>
  </si>
  <si>
    <t>Penelope Johnson</t>
  </si>
  <si>
    <t>Hudson Liu</t>
  </si>
  <si>
    <t>Scarlett Figueroa</t>
  </si>
  <si>
    <t>Samantha Foster</t>
  </si>
  <si>
    <t>Samuel Morales</t>
  </si>
  <si>
    <t>Mia Cheng</t>
  </si>
  <si>
    <t>Madeline Walker</t>
  </si>
  <si>
    <t>Avery Yee</t>
  </si>
  <si>
    <t>Adeline Huang</t>
  </si>
  <si>
    <t>Dominic Hu</t>
  </si>
  <si>
    <t>Autumn Gonzales</t>
  </si>
  <si>
    <t>Genesis Zhu</t>
  </si>
  <si>
    <t>Luke Wilson</t>
  </si>
  <si>
    <t>Adrian Ruiz</t>
  </si>
  <si>
    <t>Maverick Li</t>
  </si>
  <si>
    <t>Grayson Soto</t>
  </si>
  <si>
    <t>Caleb Flores</t>
  </si>
  <si>
    <t>Thomas Chang</t>
  </si>
  <si>
    <t>Angel Do</t>
  </si>
  <si>
    <t>Elena Richardson</t>
  </si>
  <si>
    <t>Joshua Yang</t>
  </si>
  <si>
    <t>Alexander Gonzales</t>
  </si>
  <si>
    <t>Ezra Simmons</t>
  </si>
  <si>
    <t>Riley Padilla</t>
  </si>
  <si>
    <t>Hannah Nelson</t>
  </si>
  <si>
    <t>Elijah Kang</t>
  </si>
  <si>
    <t>John Contreras</t>
  </si>
  <si>
    <t>Rylee Dinh</t>
  </si>
  <si>
    <t>Alexander Foster</t>
  </si>
  <si>
    <t>Stella Wu</t>
  </si>
  <si>
    <t>Nathan Lau</t>
  </si>
  <si>
    <t>Jonathan Khan</t>
  </si>
  <si>
    <t>Lydia Williams</t>
  </si>
  <si>
    <t>Madison Li</t>
  </si>
  <si>
    <t>Kai Flores</t>
  </si>
  <si>
    <t>Angel Xiong</t>
  </si>
  <si>
    <t>Emily Lau</t>
  </si>
  <si>
    <t>Bella Holmes</t>
  </si>
  <si>
    <t>Connor Luu</t>
  </si>
  <si>
    <t>Adam He</t>
  </si>
  <si>
    <t>Violet Garcia</t>
  </si>
  <si>
    <t>Adam Espinoza</t>
  </si>
  <si>
    <t>Brooklyn Reyes</t>
  </si>
  <si>
    <t>Eva Rivera</t>
  </si>
  <si>
    <t>Levi Brown</t>
  </si>
  <si>
    <t>Savannah Ali</t>
  </si>
  <si>
    <t>Sofia Parker</t>
  </si>
  <si>
    <t>Luna Liu</t>
  </si>
  <si>
    <t>Miles Salazar</t>
  </si>
  <si>
    <t>Penelope Coleman</t>
  </si>
  <si>
    <t>Andrew Thomas</t>
  </si>
  <si>
    <t>Leah Khan</t>
  </si>
  <si>
    <t>Santiago f Gonzalez</t>
  </si>
  <si>
    <t>Josephine Salazar</t>
  </si>
  <si>
    <t>Jacob Davis</t>
  </si>
  <si>
    <t>Allison Ayala</t>
  </si>
  <si>
    <t>Nolan Molina</t>
  </si>
  <si>
    <t>Logan Soto</t>
  </si>
  <si>
    <t>Everleigh Shah</t>
  </si>
  <si>
    <t>Hudson Williams</t>
  </si>
  <si>
    <t>Isabella Bui</t>
  </si>
  <si>
    <t>Penelope Silva</t>
  </si>
  <si>
    <t>Xavier Davis</t>
  </si>
  <si>
    <t>Riley Rojas</t>
  </si>
  <si>
    <t>Eliza Liang</t>
  </si>
  <si>
    <t>Isabella Bailey</t>
  </si>
  <si>
    <t>Eliza Chen</t>
  </si>
  <si>
    <t>Gabriella Zhu</t>
  </si>
  <si>
    <t>Emily Clark</t>
  </si>
  <si>
    <t>Leonardo Dixon</t>
  </si>
  <si>
    <t>Jade Rojas</t>
  </si>
  <si>
    <t>Eva Coleman</t>
  </si>
  <si>
    <t>Isla Lai</t>
  </si>
  <si>
    <t>Layla Torres</t>
  </si>
  <si>
    <t>William Vu</t>
  </si>
  <si>
    <t>Ezekiel Reed</t>
  </si>
  <si>
    <t>Autumn Reed</t>
  </si>
  <si>
    <t>Joshua Lin</t>
  </si>
  <si>
    <t>Samuel Vega</t>
  </si>
  <si>
    <t>Jameson Martin</t>
  </si>
  <si>
    <t>Eli Gupta</t>
  </si>
  <si>
    <t>Angel Chang</t>
  </si>
  <si>
    <t>Jonathan Ho</t>
  </si>
  <si>
    <t>Kennedy Romero</t>
  </si>
  <si>
    <t>Grace Campos</t>
  </si>
  <si>
    <t>Claire Romero</t>
  </si>
  <si>
    <t>Anthony Hong</t>
  </si>
  <si>
    <t>Maya Chan</t>
  </si>
  <si>
    <t>Ezra Banks</t>
  </si>
  <si>
    <t>Allison Daniels</t>
  </si>
  <si>
    <t>Sebastian Le</t>
  </si>
  <si>
    <t>Hailey Song</t>
  </si>
  <si>
    <t>Paisley Bryant</t>
  </si>
  <si>
    <t>Valentina Moua</t>
  </si>
  <si>
    <t>Audrey Patel</t>
  </si>
  <si>
    <t>Sofia Yoon</t>
  </si>
  <si>
    <t>Eleanor Chau</t>
  </si>
  <si>
    <t>Landon Lopez</t>
  </si>
  <si>
    <t>Jack Edwards</t>
  </si>
  <si>
    <t>Piper Richardson</t>
  </si>
  <si>
    <t>Eli Soto</t>
  </si>
  <si>
    <t>Isla Espinoza</t>
  </si>
  <si>
    <t>Aria Roberts</t>
  </si>
  <si>
    <t>Grayson Brown</t>
  </si>
  <si>
    <t>Elena Patterson</t>
  </si>
  <si>
    <t>Henry Campos</t>
  </si>
  <si>
    <t>Henry Zhu</t>
  </si>
  <si>
    <t>Mila Juarez</t>
  </si>
  <si>
    <t>Caleb Xiong</t>
  </si>
  <si>
    <t>Sebastian Rogers</t>
  </si>
  <si>
    <t>Lyla Yoon</t>
  </si>
  <si>
    <t>Sadie Patterson</t>
  </si>
  <si>
    <t>Leilani Thao</t>
  </si>
  <si>
    <t>Eli Richardson</t>
  </si>
  <si>
    <t>Mila Leung</t>
  </si>
  <si>
    <t>Autumn Joseph</t>
  </si>
  <si>
    <t>Levi Mendez</t>
  </si>
  <si>
    <t>Clara Kang</t>
  </si>
  <si>
    <t>Liam Jung</t>
  </si>
  <si>
    <t>Luke Zheng</t>
  </si>
  <si>
    <t>Athena Carrillo</t>
  </si>
  <si>
    <t>Emery Ford</t>
  </si>
  <si>
    <t>Clara Huynh</t>
  </si>
  <si>
    <t>Riley Marquez</t>
  </si>
  <si>
    <t>Claire Jones</t>
  </si>
  <si>
    <t>Jameson Chen</t>
  </si>
  <si>
    <t>Maverick Medina</t>
  </si>
  <si>
    <t>Aaron Garza</t>
  </si>
  <si>
    <t>Robert Alvarez</t>
  </si>
  <si>
    <t>Aaron Maldonado</t>
  </si>
  <si>
    <t>Alice Tran</t>
  </si>
  <si>
    <t>Eloise Trinh</t>
  </si>
  <si>
    <t>Riley Washington</t>
  </si>
  <si>
    <t>Lillian Park</t>
  </si>
  <si>
    <t>Jose Molina</t>
  </si>
  <si>
    <t>Violet Hall</t>
  </si>
  <si>
    <t>Eli Han</t>
  </si>
  <si>
    <t>Connor Fong</t>
  </si>
  <si>
    <t>Mateo Williams</t>
  </si>
  <si>
    <t>Carter Reed</t>
  </si>
  <si>
    <t>Benjamin Moua</t>
  </si>
  <si>
    <t>Xavier Park</t>
  </si>
  <si>
    <t>Joseph Ly</t>
  </si>
  <si>
    <t>Lucy Fong</t>
  </si>
  <si>
    <t>Gabriel Holmes</t>
  </si>
  <si>
    <t>Evelyn Liang</t>
  </si>
  <si>
    <t>Joseph Vazquez</t>
  </si>
  <si>
    <t>Parker Vang</t>
  </si>
  <si>
    <t>Sebastian Gupta</t>
  </si>
  <si>
    <t>Ruby Choi</t>
  </si>
  <si>
    <t>Robert Vazquez</t>
  </si>
  <si>
    <t>William Walker</t>
  </si>
  <si>
    <t>Maverick Mehta</t>
  </si>
  <si>
    <t>Ezekiel Delgado</t>
  </si>
  <si>
    <t>Madeline Watson</t>
  </si>
  <si>
    <t>Madison Hunter</t>
  </si>
  <si>
    <t>Josephine Acosta</t>
  </si>
  <si>
    <t>Emery Do</t>
  </si>
  <si>
    <t>Abigail Vang</t>
  </si>
  <si>
    <t>Luke Mai</t>
  </si>
  <si>
    <t>Anna Molina</t>
  </si>
  <si>
    <t>Isabella Xi</t>
  </si>
  <si>
    <t>Jose Henderson</t>
  </si>
  <si>
    <t>Cameron Powell</t>
  </si>
  <si>
    <t>Evelyn Dinh</t>
  </si>
  <si>
    <t>Gabriella Gupta</t>
  </si>
  <si>
    <t>Joseph Martin</t>
  </si>
  <si>
    <t>Genesis Navarro</t>
  </si>
  <si>
    <t>Nora Nelson</t>
  </si>
  <si>
    <t>Ivy Daniels</t>
  </si>
  <si>
    <t>Dominic Le</t>
  </si>
  <si>
    <t>Caroline Phan</t>
  </si>
  <si>
    <t>William Watson</t>
  </si>
  <si>
    <t>Ezra Ortiz</t>
  </si>
  <si>
    <t>Christopher Butler</t>
  </si>
  <si>
    <t>Anthony Carter</t>
  </si>
  <si>
    <t>Samuel Bailey</t>
  </si>
  <si>
    <t>Melody Grant</t>
  </si>
  <si>
    <t>Daniel Shah</t>
  </si>
  <si>
    <t>Isaac Yoon</t>
  </si>
  <si>
    <t>Emilia Bailey</t>
  </si>
  <si>
    <t>Andrew Coleman</t>
  </si>
  <si>
    <t>Luke Sanchez</t>
  </si>
  <si>
    <t>Paisley Hall</t>
  </si>
  <si>
    <t>Charles Moore</t>
  </si>
  <si>
    <t>Emilia Rivera</t>
  </si>
  <si>
    <t>Ezekiel Desai</t>
  </si>
  <si>
    <t>Emery Acosta</t>
  </si>
  <si>
    <t>Jack Cheng</t>
  </si>
  <si>
    <t>Cora Rivera</t>
  </si>
  <si>
    <t>Gabriel Yu</t>
  </si>
  <si>
    <t>Caroline Alexander</t>
  </si>
  <si>
    <t>Everleigh Nunez</t>
  </si>
  <si>
    <t>Kennedy Do</t>
  </si>
  <si>
    <t>Athena Jordan</t>
  </si>
  <si>
    <t>Dylan Dominguez</t>
  </si>
  <si>
    <t>Gabriella Johnson</t>
  </si>
  <si>
    <t>Austin Edwards</t>
  </si>
  <si>
    <t>Roman Yang</t>
  </si>
  <si>
    <t>Jade Hunter</t>
  </si>
  <si>
    <t>Skylar Evans</t>
  </si>
  <si>
    <t>Aiden Silva</t>
  </si>
  <si>
    <t>Joshua Martin</t>
  </si>
  <si>
    <t>Julia Sandoval</t>
  </si>
  <si>
    <t>Alexander James</t>
  </si>
  <si>
    <t>Lucas Daniels</t>
  </si>
  <si>
    <t>Quinn Trinh</t>
  </si>
  <si>
    <t>Skylar Shah</t>
  </si>
  <si>
    <t>Olivia Gray</t>
  </si>
  <si>
    <t>Wyatt Chin</t>
  </si>
  <si>
    <t>David Owens</t>
  </si>
  <si>
    <t>Cooper Mitchell</t>
  </si>
  <si>
    <t>Axel Chu</t>
  </si>
  <si>
    <t>Maria Hong</t>
  </si>
  <si>
    <t>Penelope Guerrero</t>
  </si>
  <si>
    <t>Jose Brown</t>
  </si>
  <si>
    <t>Andrew Do</t>
  </si>
  <si>
    <t>Everett Khan</t>
  </si>
  <si>
    <t>Melody Chin</t>
  </si>
  <si>
    <t>Leilani Sharma</t>
  </si>
  <si>
    <t>Nicholas Brooks</t>
  </si>
  <si>
    <t>Amelia Choi</t>
  </si>
  <si>
    <t>Lucy Avila</t>
  </si>
  <si>
    <t>Mia Herrera</t>
  </si>
  <si>
    <t>Jack Vu</t>
  </si>
  <si>
    <t>Lyla Stewart</t>
  </si>
  <si>
    <t>Lillian Gonzales</t>
  </si>
  <si>
    <t>Peyton Walker</t>
  </si>
  <si>
    <t>Raelynn Rios</t>
  </si>
  <si>
    <t>Mateo Her</t>
  </si>
  <si>
    <t>Skylar Carrillo</t>
  </si>
  <si>
    <t>Natalia Salazar</t>
  </si>
  <si>
    <t>Nova Coleman</t>
  </si>
  <si>
    <t>Melody Cooper</t>
  </si>
  <si>
    <t>Mason Jimenez</t>
  </si>
  <si>
    <t>Joshua Cortez</t>
  </si>
  <si>
    <t>Savannah Park</t>
  </si>
  <si>
    <t>Brooklyn Salazar</t>
  </si>
  <si>
    <t>Aiden Gonzales</t>
  </si>
  <si>
    <t>Sofia Fernandez</t>
  </si>
  <si>
    <t>Joshua Ramirez</t>
  </si>
  <si>
    <t>Jace Washington</t>
  </si>
  <si>
    <t>Emily Gupta</t>
  </si>
  <si>
    <t>Stella Lai</t>
  </si>
  <si>
    <t>Jose Singh</t>
  </si>
  <si>
    <t>Lillian Khan</t>
  </si>
  <si>
    <t>Elias Figueroa</t>
  </si>
  <si>
    <t>Aria Xi</t>
  </si>
  <si>
    <t>Mila Pena</t>
  </si>
  <si>
    <t>Lucy Alexander</t>
  </si>
  <si>
    <t>Cora Evans</t>
  </si>
  <si>
    <t>Aria Castro</t>
  </si>
  <si>
    <t>Samantha Adams</t>
  </si>
  <si>
    <t>Matthew Gupta</t>
  </si>
  <si>
    <t>Jordan Truong</t>
  </si>
  <si>
    <t>Caroline Herrera</t>
  </si>
  <si>
    <t>Thomas Aguilar</t>
  </si>
  <si>
    <t>Joseph Ruiz</t>
  </si>
  <si>
    <t>Kai Chow</t>
  </si>
  <si>
    <t>Maria He</t>
  </si>
  <si>
    <t>Rylee Yu</t>
  </si>
  <si>
    <t>Parker James</t>
  </si>
  <si>
    <t>Nova Herrera</t>
  </si>
  <si>
    <t>Nathan Pham</t>
  </si>
  <si>
    <t>Adam Dang</t>
  </si>
  <si>
    <t>Jaxon Tran</t>
  </si>
  <si>
    <t>Christian Sanders</t>
  </si>
  <si>
    <t>Willow Mai</t>
  </si>
  <si>
    <t>John Chow</t>
  </si>
  <si>
    <t>Piper Patterson</t>
  </si>
  <si>
    <t>Ethan Joseph</t>
  </si>
  <si>
    <t>Jaxson Dinh</t>
  </si>
  <si>
    <t>Eloise Pham</t>
  </si>
  <si>
    <t>Everett Lee</t>
  </si>
  <si>
    <t>Madeline Garcia</t>
  </si>
  <si>
    <t>Wesley Dominguez</t>
  </si>
  <si>
    <t>Luca Truong</t>
  </si>
  <si>
    <t>Kinsley Henry</t>
  </si>
  <si>
    <t>Ella Huang</t>
  </si>
  <si>
    <t>Audrey Hwang</t>
  </si>
  <si>
    <t>Lucy Figueroa</t>
  </si>
  <si>
    <t>Scarlett Hill</t>
  </si>
  <si>
    <t>Allison Espinoza</t>
  </si>
  <si>
    <t>Dominic Scott</t>
  </si>
  <si>
    <t>Mia Wu</t>
  </si>
  <si>
    <t>Brooks Stewart</t>
  </si>
  <si>
    <t>James Singh</t>
  </si>
  <si>
    <t>Lydia Huynh</t>
  </si>
  <si>
    <t>Chloe Salazar</t>
  </si>
  <si>
    <t>Emery Chang</t>
  </si>
  <si>
    <t>Nicholas Rivera</t>
  </si>
  <si>
    <t>Harper Phan</t>
  </si>
  <si>
    <t>Nathan Chan</t>
  </si>
  <si>
    <t>Naomi Zhao</t>
  </si>
  <si>
    <t>Alice Mehta</t>
  </si>
  <si>
    <t>Asher Huynh</t>
  </si>
  <si>
    <t>Nevaeh James</t>
  </si>
  <si>
    <t>Jack Mai</t>
  </si>
  <si>
    <t>Lyla Chen</t>
  </si>
  <si>
    <t>Natalia Santos</t>
  </si>
  <si>
    <t>Kennedy Vargas</t>
  </si>
  <si>
    <t>Avery Sun</t>
  </si>
  <si>
    <t>Sofia Trinh</t>
  </si>
  <si>
    <t>Brooklyn Cho</t>
  </si>
  <si>
    <t>Santiago f Moua</t>
  </si>
  <si>
    <t>Robert Zhang</t>
  </si>
  <si>
    <t>Adrian Fernandez</t>
  </si>
  <si>
    <t>Vivian Thao</t>
  </si>
  <si>
    <t>Jordan Phillips</t>
  </si>
  <si>
    <t>Nora Nunez</t>
  </si>
  <si>
    <t>Ryan Holmes</t>
  </si>
  <si>
    <t>Dylan Campbell</t>
  </si>
  <si>
    <t>Eva Estrada</t>
  </si>
  <si>
    <t>Alexander Jackson</t>
  </si>
  <si>
    <t>Emery Zhang</t>
  </si>
  <si>
    <t>Dominic Dinh</t>
  </si>
  <si>
    <t>Eli Rahman</t>
  </si>
  <si>
    <t>Peyton Harris</t>
  </si>
  <si>
    <t>Thomas Williams</t>
  </si>
  <si>
    <t>Mason Zhao</t>
  </si>
  <si>
    <t>Ayla Ng</t>
  </si>
  <si>
    <t>Nolan Guzman</t>
  </si>
  <si>
    <t>Addison Do</t>
  </si>
  <si>
    <t>Hunter Ortiz</t>
  </si>
  <si>
    <t>Zoey Jackson</t>
  </si>
  <si>
    <t>Nevaeh Kang</t>
  </si>
  <si>
    <t>Isaac Mitchell</t>
  </si>
  <si>
    <t>Genesis Perry</t>
  </si>
  <si>
    <t>Jayden Jimenez</t>
  </si>
  <si>
    <t>Alice Young</t>
  </si>
  <si>
    <t>Joshua Juarez</t>
  </si>
  <si>
    <t>Josiah Lewis</t>
  </si>
  <si>
    <t>Henry Figueroa</t>
  </si>
  <si>
    <t>Samantha Aguilar</t>
  </si>
  <si>
    <t>Genesis Hu</t>
  </si>
  <si>
    <t>Amelia Bui</t>
  </si>
  <si>
    <t>Thomas Vazquez</t>
  </si>
  <si>
    <t>Mason Watson</t>
  </si>
  <si>
    <t>Grayson Chan</t>
  </si>
  <si>
    <t>Naomi Chu</t>
  </si>
  <si>
    <t>Axel Soto</t>
  </si>
  <si>
    <t>Eva Alvarado</t>
  </si>
  <si>
    <t>Jayden Kang</t>
  </si>
  <si>
    <t>Sebastian Fong</t>
  </si>
  <si>
    <t>Liam Sanders</t>
  </si>
  <si>
    <t>Vivian Chu</t>
  </si>
  <si>
    <t>Audrey Richardson</t>
  </si>
  <si>
    <t>Madelyn Scott</t>
  </si>
  <si>
    <t>Jade Yi</t>
  </si>
  <si>
    <t>Aiden Bryant</t>
  </si>
  <si>
    <t>Leilani Yee</t>
  </si>
  <si>
    <t>Sarah Ayala</t>
  </si>
  <si>
    <t>Jameson Alvarado</t>
  </si>
  <si>
    <t>Miles Cho</t>
  </si>
  <si>
    <t>Mateo Mendez</t>
  </si>
  <si>
    <t>Jade Li</t>
  </si>
  <si>
    <t>Joshua Fong</t>
  </si>
  <si>
    <t>Anna Han</t>
  </si>
  <si>
    <t>Andrew Moore</t>
  </si>
  <si>
    <t>Jade Acosta</t>
  </si>
  <si>
    <t>David Desai</t>
  </si>
  <si>
    <t>Axel Jordan</t>
  </si>
  <si>
    <t>Hailey Lai</t>
  </si>
  <si>
    <t>Ian Barnes</t>
  </si>
  <si>
    <t>Leo Owens</t>
  </si>
  <si>
    <t>Luna Taylor</t>
  </si>
  <si>
    <t>Parker Avila</t>
  </si>
  <si>
    <t>John Cho</t>
  </si>
  <si>
    <t>Hannah Mejia</t>
  </si>
  <si>
    <t>Hadley Dang</t>
  </si>
  <si>
    <t>Clara Sanchez</t>
  </si>
  <si>
    <t>Eva Figueroa</t>
  </si>
  <si>
    <t>Anna Zhu</t>
  </si>
  <si>
    <t>Madeline Shin</t>
  </si>
  <si>
    <t>Jaxson Mai</t>
  </si>
  <si>
    <t>Henry Alvarez</t>
  </si>
  <si>
    <t>Luca Duong</t>
  </si>
  <si>
    <t>Eliza Hernandez</t>
  </si>
  <si>
    <t>Emery Mitchell</t>
  </si>
  <si>
    <t>Everly Coleman</t>
  </si>
  <si>
    <t>Alice Thompson</t>
  </si>
  <si>
    <t>Layla Scott</t>
  </si>
  <si>
    <t>Peyton Owens</t>
  </si>
  <si>
    <t>Raelynn Gupta</t>
  </si>
  <si>
    <t>Genesis Hunter</t>
  </si>
  <si>
    <t>Dominic Thomas</t>
  </si>
  <si>
    <t>Caroline Nelson</t>
  </si>
  <si>
    <t>Wesley Adams</t>
  </si>
  <si>
    <t>Alice Lopez</t>
  </si>
  <si>
    <t>Ian Flores</t>
  </si>
  <si>
    <t>Benjamin Ramirez</t>
  </si>
  <si>
    <t>Silas Rivera</t>
  </si>
  <si>
    <t>Jackson Jordan</t>
  </si>
  <si>
    <t>Maverick Figueroa</t>
  </si>
  <si>
    <t>Kayden Jordan</t>
  </si>
  <si>
    <t>Austin Brown</t>
  </si>
  <si>
    <t>Leo Herrera</t>
  </si>
  <si>
    <t>Emilia Chu</t>
  </si>
  <si>
    <t>Eliza Zheng</t>
  </si>
  <si>
    <t>Ivy Tang</t>
  </si>
  <si>
    <t>Charles Henderson</t>
  </si>
  <si>
    <t>Dylan Wilson</t>
  </si>
  <si>
    <t>Grayson Yee</t>
  </si>
  <si>
    <t>Eleanor Chan</t>
  </si>
  <si>
    <t>Aubrey Romero</t>
  </si>
  <si>
    <t>Mia Lam</t>
  </si>
  <si>
    <t>Kennedy Rahman</t>
  </si>
  <si>
    <t>Ayla Brown</t>
  </si>
  <si>
    <t>Avery Bailey</t>
  </si>
  <si>
    <t>Hadley Guerrero</t>
  </si>
  <si>
    <t>Silas Estrada</t>
  </si>
  <si>
    <t>Lucas Phan</t>
  </si>
  <si>
    <t>Penelope Choi</t>
  </si>
  <si>
    <t>Isaac Sanders</t>
  </si>
  <si>
    <t>Lincoln Wong</t>
  </si>
  <si>
    <t>Avery Grant</t>
  </si>
  <si>
    <t>Austin Vang</t>
  </si>
  <si>
    <t>Christian Fong</t>
  </si>
  <si>
    <t>Cooper Jiang</t>
  </si>
  <si>
    <t>Penelope Rodriguez</t>
  </si>
  <si>
    <t>Ethan Mehta</t>
  </si>
  <si>
    <t>Piper Ramos</t>
  </si>
  <si>
    <t>John Trinh</t>
  </si>
  <si>
    <t>John Vega</t>
  </si>
  <si>
    <t>Charlotte Chu</t>
  </si>
  <si>
    <t>Asher Jackson</t>
  </si>
  <si>
    <t>Connor Joseph</t>
  </si>
  <si>
    <t>Luna Sanders</t>
  </si>
  <si>
    <t>Ruby Medina</t>
  </si>
  <si>
    <t>Ivy Soto</t>
  </si>
  <si>
    <t>Cameron Evans</t>
  </si>
  <si>
    <t>Jeremiah Lu</t>
  </si>
  <si>
    <t>Harper Chin</t>
  </si>
  <si>
    <t>Elena Tan</t>
  </si>
  <si>
    <t>Willow Chen</t>
  </si>
  <si>
    <t>Matthew Howard</t>
  </si>
  <si>
    <t>Isla Yoon</t>
  </si>
  <si>
    <t>Thomas Jung</t>
  </si>
  <si>
    <t>Ruby Sun</t>
  </si>
  <si>
    <t>Cooper Valdez</t>
  </si>
  <si>
    <t>Charlotte Chang</t>
  </si>
  <si>
    <t>Landon Kim</t>
  </si>
  <si>
    <t>Julia Mai</t>
  </si>
  <si>
    <t>Vivian Barnes</t>
  </si>
  <si>
    <t>Silas Chavez</t>
  </si>
  <si>
    <t>Julian Ross</t>
  </si>
  <si>
    <t>Leonardo Martin</t>
  </si>
  <si>
    <t>Aurora Simmons</t>
  </si>
  <si>
    <t>Wesley Sharma</t>
  </si>
  <si>
    <t>Dominic Baker</t>
  </si>
  <si>
    <t>Daniel Dixon</t>
  </si>
  <si>
    <t>Ella Hunter</t>
  </si>
  <si>
    <t>Everleigh Ng</t>
  </si>
  <si>
    <t>Christian Medina</t>
  </si>
  <si>
    <t>Maria Wilson</t>
  </si>
  <si>
    <t>James Castillo</t>
  </si>
  <si>
    <t>Genesis Xiong</t>
  </si>
  <si>
    <t>David Simmons</t>
  </si>
  <si>
    <t>Ian Wu</t>
  </si>
  <si>
    <t>Santiago f Brooks</t>
  </si>
  <si>
    <t>Madeline Coleman</t>
  </si>
  <si>
    <t>Lydia Morales</t>
  </si>
  <si>
    <t>Audrey Lee</t>
  </si>
  <si>
    <t>Xavier Perez</t>
  </si>
  <si>
    <t>Naomi Washington</t>
  </si>
  <si>
    <t>Eli Reed</t>
  </si>
  <si>
    <t>Julian Lee</t>
  </si>
  <si>
    <t>Everly Walker</t>
  </si>
  <si>
    <t>Elena Vang</t>
  </si>
  <si>
    <t>John Moore</t>
  </si>
  <si>
    <t>Mason Cao</t>
  </si>
  <si>
    <t>Asher Morales</t>
  </si>
  <si>
    <t>Stella Alexander</t>
  </si>
  <si>
    <t>Dominic Clark</t>
  </si>
  <si>
    <t>Matthew Lim</t>
  </si>
  <si>
    <t>Nicholas Song</t>
  </si>
  <si>
    <t>Hazel Cortez</t>
  </si>
  <si>
    <t>Sofia Vu</t>
  </si>
  <si>
    <t>Hailey Xi</t>
  </si>
  <si>
    <t>Easton Moore</t>
  </si>
  <si>
    <t>Ian Ngo</t>
  </si>
  <si>
    <t>Xavier Jackson</t>
  </si>
  <si>
    <t>Savannah He</t>
  </si>
  <si>
    <t>Ella Jenkins</t>
  </si>
  <si>
    <t>Gabriel Joseph</t>
  </si>
  <si>
    <t>Riley Ramirez</t>
  </si>
  <si>
    <t>Luke Vu</t>
  </si>
  <si>
    <t>Penelope Gonzalez</t>
  </si>
  <si>
    <t>Everly Lai</t>
  </si>
  <si>
    <t>Theodore Xi</t>
  </si>
  <si>
    <t>Kinsley Martinez</t>
  </si>
  <si>
    <t>Vivian Espinoza</t>
  </si>
  <si>
    <t>Jackson Navarro</t>
  </si>
  <si>
    <t>Emma Luna</t>
  </si>
  <si>
    <t>Leonardo Luong</t>
  </si>
  <si>
    <t>Hadley Ford</t>
  </si>
  <si>
    <t>Ezra Liang</t>
  </si>
  <si>
    <t>Cora Jiang</t>
  </si>
  <si>
    <t>Jose Ross</t>
  </si>
  <si>
    <t>Kennedy Foster</t>
  </si>
  <si>
    <t>Nathan Mendez</t>
  </si>
  <si>
    <t>Matthew Chau</t>
  </si>
  <si>
    <t>Ava Ortiz</t>
  </si>
  <si>
    <t>Zoe Sanchez</t>
  </si>
  <si>
    <t>Peyton Garza</t>
  </si>
  <si>
    <t>Naomi Xi</t>
  </si>
  <si>
    <t>Dylan Thao</t>
  </si>
  <si>
    <t>Scarlett Jenkins</t>
  </si>
  <si>
    <t>Jacob Khan</t>
  </si>
  <si>
    <t>Vivian Guzman</t>
  </si>
  <si>
    <t>Adeline Yang</t>
  </si>
  <si>
    <t>Savannah Singh</t>
  </si>
  <si>
    <t>Samantha Chavez</t>
  </si>
  <si>
    <t>Julia Doan</t>
  </si>
  <si>
    <t>Ayla Daniels</t>
  </si>
  <si>
    <t>Nora Le</t>
  </si>
  <si>
    <t>Elijah Coleman</t>
  </si>
  <si>
    <t>Samantha Vargas</t>
  </si>
  <si>
    <t>Amelia Bell</t>
  </si>
  <si>
    <t>Emma Hill</t>
  </si>
  <si>
    <t>Lily Carter</t>
  </si>
  <si>
    <t>Everleigh Espinoza</t>
  </si>
  <si>
    <t>Christopher Vega</t>
  </si>
  <si>
    <t>Elias Zhang</t>
  </si>
  <si>
    <t>Jaxson Wright</t>
  </si>
  <si>
    <t>Connor Bell</t>
  </si>
  <si>
    <t>Miles Evans</t>
  </si>
  <si>
    <t>James Huang</t>
  </si>
  <si>
    <t>Anthony Marquez</t>
  </si>
  <si>
    <t>Allison Roberts</t>
  </si>
  <si>
    <t>Carter Ortiz</t>
  </si>
  <si>
    <t>Leo Fernandez</t>
  </si>
  <si>
    <t>Isaac Joseph</t>
  </si>
  <si>
    <t>Natalia Vu</t>
  </si>
  <si>
    <t>Theodore Marquez</t>
  </si>
  <si>
    <t>Grayson Turner</t>
  </si>
  <si>
    <t>Grayson James</t>
  </si>
  <si>
    <t>Benjamin Mai</t>
  </si>
  <si>
    <t>Alice Roberts</t>
  </si>
  <si>
    <t>Hailey Yee</t>
  </si>
  <si>
    <t>Adeline Thao</t>
  </si>
  <si>
    <t>Roman Munoz</t>
  </si>
  <si>
    <t>Ethan Tang</t>
  </si>
  <si>
    <t>Sarah Daniels</t>
  </si>
  <si>
    <t>Miles Hsu</t>
  </si>
  <si>
    <t>Ava Ayala</t>
  </si>
  <si>
    <t>Sophie Ali</t>
  </si>
  <si>
    <t>Quinn Xiong</t>
  </si>
  <si>
    <t>Colton Thao</t>
  </si>
  <si>
    <t>Austin Vo</t>
  </si>
  <si>
    <t>Eva Jenkins</t>
  </si>
  <si>
    <t>Lucas Thomas</t>
  </si>
  <si>
    <t>Charles Diaz</t>
  </si>
  <si>
    <t>Jack Brown</t>
  </si>
  <si>
    <t>Nora Santiago</t>
  </si>
  <si>
    <t>Connor Simmons</t>
  </si>
  <si>
    <t>Alexander Choi</t>
  </si>
  <si>
    <t>David Chu</t>
  </si>
  <si>
    <t>Sophia Huynh</t>
  </si>
  <si>
    <t>Sofia Dinh</t>
  </si>
  <si>
    <t>Emily Davis</t>
  </si>
  <si>
    <t>Melody Ho</t>
  </si>
  <si>
    <t>Rylee Bui</t>
  </si>
  <si>
    <t>Ezra Wilson</t>
  </si>
  <si>
    <t>Aiden Le</t>
  </si>
  <si>
    <t>Eloise Griffin</t>
  </si>
  <si>
    <t>Madison Kumar</t>
  </si>
  <si>
    <t>Henry Shah</t>
  </si>
  <si>
    <t>Skylar Ayala</t>
  </si>
  <si>
    <t>Jacob Doan</t>
  </si>
  <si>
    <t>Lily Pena</t>
  </si>
  <si>
    <t>Grayson Luu</t>
  </si>
  <si>
    <t>Lyla Alvarez</t>
  </si>
  <si>
    <t>Julia Luong</t>
  </si>
  <si>
    <t>Ezekiel Bryant</t>
  </si>
  <si>
    <t>Theodore Ngo</t>
  </si>
  <si>
    <t>Alice Xiong</t>
  </si>
  <si>
    <t>Maya Ngo</t>
  </si>
  <si>
    <t>Christopher Lim</t>
  </si>
  <si>
    <t>Allison Medina</t>
  </si>
  <si>
    <t>Hailey Foster</t>
  </si>
  <si>
    <t>Everleigh Simmons</t>
  </si>
  <si>
    <t>Victoria Johnson</t>
  </si>
  <si>
    <t>Serenity Bailey</t>
  </si>
  <si>
    <t>Silas Hunter</t>
  </si>
  <si>
    <t>Paisley Sanders</t>
  </si>
  <si>
    <t>Camila Evans</t>
  </si>
  <si>
    <t>Scarlett Kumar</t>
  </si>
  <si>
    <t>Dylan Kumar</t>
  </si>
  <si>
    <t>Colton Garcia</t>
  </si>
  <si>
    <t>Gianna Ha</t>
  </si>
  <si>
    <t>Leah Bryant</t>
  </si>
  <si>
    <t>Abigail Mejia</t>
  </si>
  <si>
    <t>Isla Wong</t>
  </si>
  <si>
    <t>Elias Alvarado</t>
  </si>
  <si>
    <t>Noah King</t>
  </si>
  <si>
    <t>Jack Alexander</t>
  </si>
  <si>
    <t>Nova Hill</t>
  </si>
  <si>
    <t>Ezekiel Fong</t>
  </si>
  <si>
    <t>Emily Contreras</t>
  </si>
  <si>
    <t>Alice Soto</t>
  </si>
  <si>
    <t>Samantha Woods</t>
  </si>
  <si>
    <t>Lucas Ramos</t>
  </si>
  <si>
    <t>Eliana Allen</t>
  </si>
  <si>
    <t>Jaxson Santiago</t>
  </si>
  <si>
    <t>Mila Allen</t>
  </si>
  <si>
    <t>Ezra Singh</t>
  </si>
  <si>
    <t>Madison Her</t>
  </si>
  <si>
    <t>Hailey Shin</t>
  </si>
  <si>
    <t>Joshua Gupta</t>
  </si>
  <si>
    <t>Thomas Padilla</t>
  </si>
  <si>
    <t>Leah Pena</t>
  </si>
  <si>
    <t>Miles Mehta</t>
  </si>
  <si>
    <t>Jose Kang</t>
  </si>
  <si>
    <t>Gabriel Carter</t>
  </si>
  <si>
    <t>Elias Ahmed</t>
  </si>
  <si>
    <t>Lucy Johnson</t>
  </si>
  <si>
    <t>Paisley Gomez</t>
  </si>
  <si>
    <t>Paisley Trinh</t>
  </si>
  <si>
    <t>Charlotte Vo</t>
  </si>
  <si>
    <t>Everett Morales</t>
  </si>
  <si>
    <t>Andrew Huynh</t>
  </si>
  <si>
    <t>Silas Huang</t>
  </si>
  <si>
    <t>Henry Jung</t>
  </si>
  <si>
    <t>Miles Thao</t>
  </si>
  <si>
    <t>Josephine Richardson</t>
  </si>
  <si>
    <t>Aaliyah Mai</t>
  </si>
  <si>
    <t>Wesley King</t>
  </si>
  <si>
    <t>Daniel Jordan</t>
  </si>
  <si>
    <t>Everleigh Jiang</t>
  </si>
  <si>
    <t>Audrey Smith</t>
  </si>
  <si>
    <t>William Foster</t>
  </si>
  <si>
    <t>Skylar Doan</t>
  </si>
  <si>
    <t>Isla Han</t>
  </si>
  <si>
    <t>Carson Chau</t>
  </si>
  <si>
    <t>Liliana Soto</t>
  </si>
  <si>
    <t>Alexander Rivera</t>
  </si>
  <si>
    <t>Jordan Gomez</t>
  </si>
  <si>
    <t>Kayden Ortega</t>
  </si>
  <si>
    <t>Cooper Gupta</t>
  </si>
  <si>
    <t>John Dang</t>
  </si>
  <si>
    <t>Isabella Scott</t>
  </si>
  <si>
    <t>Jeremiah Castillo</t>
  </si>
  <si>
    <t>Theodore Dinh</t>
  </si>
  <si>
    <t>Logan Rivera</t>
  </si>
  <si>
    <t>Ellie Chung</t>
  </si>
  <si>
    <t>Eli Jones</t>
  </si>
  <si>
    <t>Maria Griffin</t>
  </si>
  <si>
    <t>Mason Cho</t>
  </si>
  <si>
    <t>Brooklyn Collins</t>
  </si>
  <si>
    <t>Everleigh White</t>
  </si>
  <si>
    <t>Athena Vasquez</t>
  </si>
  <si>
    <t>Anna Gutierrez</t>
  </si>
  <si>
    <t>Jacob Cheng</t>
  </si>
  <si>
    <t>Leilani Baker</t>
  </si>
  <si>
    <t>Layla Salazar</t>
  </si>
  <si>
    <t>Lincoln Ramos</t>
  </si>
  <si>
    <t>Jaxon Powell</t>
  </si>
  <si>
    <t>Parker Sandoval</t>
  </si>
  <si>
    <t>Ivy Desai</t>
  </si>
  <si>
    <t>Andrew Holmes</t>
  </si>
  <si>
    <t>Jaxon Fong</t>
  </si>
  <si>
    <t>Lincoln Huynh</t>
  </si>
  <si>
    <t>Scarlett Rodriguez</t>
  </si>
  <si>
    <t>John Soto</t>
  </si>
  <si>
    <t>Lincoln Reyes</t>
  </si>
  <si>
    <t>Mila Vasquez</t>
  </si>
  <si>
    <t>Aubrey Yoon</t>
  </si>
  <si>
    <t>Axel Johnson</t>
  </si>
  <si>
    <t>Adam Kaur</t>
  </si>
  <si>
    <t>Zoe Do</t>
  </si>
  <si>
    <t>Ryan Ha</t>
  </si>
  <si>
    <t>Julia Morris</t>
  </si>
  <si>
    <t>Greyson Dang</t>
  </si>
  <si>
    <t>Ella Nguyen</t>
  </si>
  <si>
    <t>Camila Li</t>
  </si>
  <si>
    <t>Hadley Contreras</t>
  </si>
  <si>
    <t>Isaac Liu</t>
  </si>
  <si>
    <t>Luca Nelson</t>
  </si>
  <si>
    <t>Joshua Chin</t>
  </si>
  <si>
    <t>Cooper Yoon</t>
  </si>
  <si>
    <t>Roman King</t>
  </si>
  <si>
    <t>Penelope Fong</t>
  </si>
  <si>
    <t>Dylan Chin</t>
  </si>
  <si>
    <t>Jaxson Sandoval</t>
  </si>
  <si>
    <t>Paisley Kang</t>
  </si>
  <si>
    <t>Julian Fong</t>
  </si>
  <si>
    <t>Angel Powell</t>
  </si>
  <si>
    <t>Brooks Marquez</t>
  </si>
  <si>
    <t>Ian Cortez</t>
  </si>
  <si>
    <t>Penelope Griffin</t>
  </si>
  <si>
    <t>Nova Williams</t>
  </si>
  <si>
    <t>Paisley Hunter</t>
  </si>
  <si>
    <t>Miles Dang</t>
  </si>
  <si>
    <t>Zoe Zhou</t>
  </si>
  <si>
    <t>William Phillips</t>
  </si>
  <si>
    <t>Claire Adams</t>
  </si>
  <si>
    <t>Christopher Howard</t>
  </si>
  <si>
    <t>Jameson Nelson</t>
  </si>
  <si>
    <t>Brooklyn Ruiz</t>
  </si>
  <si>
    <t>Eleanor Williams</t>
  </si>
  <si>
    <t>Lily Henderson</t>
  </si>
  <si>
    <t>Piper Cheng</t>
  </si>
  <si>
    <t>Wesley Gray</t>
  </si>
  <si>
    <t>Robert Edwards</t>
  </si>
  <si>
    <t>Natalia Diaz</t>
  </si>
  <si>
    <t>Jameson Juarez</t>
  </si>
  <si>
    <t>Elena Her</t>
  </si>
  <si>
    <t>Daniel Perry</t>
  </si>
  <si>
    <t>Dominic Parker</t>
  </si>
  <si>
    <t>Hunter Nunez</t>
  </si>
  <si>
    <t>Allison Leung</t>
  </si>
  <si>
    <t>Hannah White</t>
  </si>
  <si>
    <t>Hazel Alvarez</t>
  </si>
  <si>
    <t>Axel Santos</t>
  </si>
  <si>
    <t>Elizabeth Huang</t>
  </si>
  <si>
    <t>Leo Hsu</t>
  </si>
  <si>
    <t>Kennedy Zhang</t>
  </si>
  <si>
    <t>Dylan Choi</t>
  </si>
  <si>
    <t>Ava Nelson</t>
  </si>
  <si>
    <t>Cameron Young</t>
  </si>
  <si>
    <t>Athena Vu</t>
  </si>
  <si>
    <t>Olivia Harris</t>
  </si>
  <si>
    <t>Noah Chen</t>
  </si>
  <si>
    <t>John Jung</t>
  </si>
  <si>
    <t>Nathan Sun</t>
  </si>
  <si>
    <t>Wyatt Li</t>
  </si>
  <si>
    <t>Natalie Hwang</t>
  </si>
  <si>
    <t>Genesis Banks</t>
  </si>
  <si>
    <t>Autumn Thao</t>
  </si>
  <si>
    <t>Wesley Doan</t>
  </si>
  <si>
    <t>Sofia Cheng</t>
  </si>
  <si>
    <t>Eliana Li</t>
  </si>
  <si>
    <t>William Cao</t>
  </si>
  <si>
    <t>Charlotte Wu</t>
  </si>
  <si>
    <t>Benjamin Delgado</t>
  </si>
  <si>
    <t>Eleanor Li</t>
  </si>
  <si>
    <t>Camila Silva</t>
  </si>
  <si>
    <t>Luke Munoz</t>
  </si>
  <si>
    <t>David Barnes</t>
  </si>
  <si>
    <t>James Bui</t>
  </si>
  <si>
    <t>Grayson Cooper</t>
  </si>
  <si>
    <t>Carson Lu</t>
  </si>
  <si>
    <t>Everleigh Washington</t>
  </si>
  <si>
    <t>Elias Dang</t>
  </si>
  <si>
    <t>Hailey Dang</t>
  </si>
  <si>
    <t>Madelyn Mehta</t>
  </si>
  <si>
    <t>Eliana Grant</t>
  </si>
  <si>
    <t>Brooklyn Daniels</t>
  </si>
  <si>
    <t>Piper Sun</t>
  </si>
  <si>
    <t>Jayden Williams</t>
  </si>
  <si>
    <t>Jaxson Liang</t>
  </si>
  <si>
    <t>Natalie Carter</t>
  </si>
  <si>
    <t>Madelyn Chan</t>
  </si>
  <si>
    <t>Chloe Allen</t>
  </si>
  <si>
    <t>Christopher Lam</t>
  </si>
  <si>
    <t>Levi Moreno</t>
  </si>
  <si>
    <t>Zoe Rodriguez</t>
  </si>
  <si>
    <t>Vivian Lewis</t>
  </si>
  <si>
    <t>Maria Chin</t>
  </si>
  <si>
    <t>Bella Powell</t>
  </si>
  <si>
    <t>Dominic Guzman</t>
  </si>
  <si>
    <t>Julia Pham</t>
  </si>
  <si>
    <t>Ruby Washington</t>
  </si>
  <si>
    <t>Christian Ali</t>
  </si>
  <si>
    <t>Addison Roberts</t>
  </si>
  <si>
    <t>Mila Soto</t>
  </si>
  <si>
    <t>Sadie Lee</t>
  </si>
  <si>
    <t>Logan Mitchell</t>
  </si>
  <si>
    <t>Hannah Martinez</t>
  </si>
  <si>
    <t>Eliana Turner</t>
  </si>
  <si>
    <t>EEID</t>
  </si>
  <si>
    <t>Business Unit</t>
  </si>
  <si>
    <t>Age</t>
  </si>
  <si>
    <t>Hire Date</t>
  </si>
  <si>
    <t>Annual Salary</t>
  </si>
  <si>
    <t>Bonus %</t>
  </si>
  <si>
    <t>Exit Date</t>
  </si>
  <si>
    <t>Number of Active Years</t>
  </si>
  <si>
    <t>E02387</t>
  </si>
  <si>
    <t>Research &amp; Development</t>
  </si>
  <si>
    <t>E04105</t>
  </si>
  <si>
    <t>Manufacturing</t>
  </si>
  <si>
    <t>E02572</t>
  </si>
  <si>
    <t>Speciality Products</t>
  </si>
  <si>
    <t>E02832</t>
  </si>
  <si>
    <t>E01639</t>
  </si>
  <si>
    <t>E00644</t>
  </si>
  <si>
    <t>Corporate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</si>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</sst>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$#,##0_);($#,##0)"/>
    <numFmt numFmtId="165" formatCode="#,##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c2c4d"/>
      <name val="Verdana"/>
      <family val="2"/>
    </font>
    <font>
      <sz val="11"/>
      <color rgb="FF2c2c4d"/>
      <name val="Calibri"/>
      <family val="2"/>
    </font>
    <font>
      <sz val="9"/>
      <color rgb="FFf7981d"/>
      <name val="Verdana"/>
      <family val="2"/>
    </font>
    <font>
      <b/>
      <sz val="11"/>
      <color rgb="FF2c2c4d"/>
      <name val="Verdan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9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3" applyBorder="1" fontId="1" applyFont="1" fillId="0" applyAlignment="1">
      <alignment horizontal="right"/>
    </xf>
    <xf xfId="0" numFmtId="0" borderId="4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3" applyNumberFormat="1" borderId="5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4" applyNumberFormat="1" borderId="8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9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right"/>
    </xf>
    <xf xfId="0" numFmtId="3" applyNumberFormat="1" borderId="10" applyBorder="1" fontId="1" applyFont="1" fillId="0" applyAlignment="1">
      <alignment horizontal="right"/>
    </xf>
    <xf xfId="0" numFmtId="3" applyNumberFormat="1" borderId="6" applyBorder="1" fontId="1" applyFont="1" fillId="0" applyAlignment="1">
      <alignment horizontal="right"/>
    </xf>
    <xf xfId="0" numFmtId="3" applyNumberFormat="1" borderId="11" applyBorder="1" fontId="1" applyFont="1" fillId="0" applyAlignment="1">
      <alignment horizontal="right"/>
    </xf>
    <xf xfId="0" numFmtId="3" applyNumberFormat="1" borderId="11" applyBorder="1" fontId="1" applyFont="1" fillId="0" applyAlignment="1">
      <alignment horizontal="left"/>
    </xf>
    <xf xfId="0" numFmtId="164" applyNumberFormat="1" borderId="10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0" borderId="13" applyBorder="1" fontId="1" applyFont="1" fillId="0" applyAlignment="1">
      <alignment horizontal="left"/>
    </xf>
    <xf xfId="0" numFmtId="0" borderId="14" applyBorder="1" fontId="1" applyFont="1" fillId="0" applyAlignment="1">
      <alignment horizontal="left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1" applyNumberFormat="1" borderId="10" applyBorder="1" fontId="2" applyFont="1" fillId="0" applyAlignment="1">
      <alignment horizontal="left"/>
    </xf>
    <xf xfId="0" numFmtId="14" applyNumberFormat="1" borderId="10" applyBorder="1" fontId="2" applyFont="1" fillId="0" applyAlignment="1">
      <alignment horizontal="left"/>
    </xf>
    <xf xfId="0" numFmtId="164" applyNumberFormat="1" borderId="10" applyBorder="1" fontId="2" applyFont="1" fillId="0" applyAlignment="1">
      <alignment horizontal="center"/>
    </xf>
    <xf xfId="0" numFmtId="0" borderId="10" applyBorder="1" fontId="2" applyFont="1" fillId="0" applyAlignment="1">
      <alignment horizontal="center"/>
    </xf>
    <xf xfId="0" numFmtId="165" applyNumberFormat="1" borderId="10" applyBorder="1" fontId="2" applyFont="1" fillId="0" applyAlignment="1">
      <alignment horizontal="center"/>
    </xf>
    <xf xfId="0" numFmtId="14" applyNumberFormat="1" borderId="10" applyBorder="1" fontId="2" applyFont="1" fillId="0" applyAlignment="1">
      <alignment horizontal="center"/>
    </xf>
    <xf xfId="0" numFmtId="3" applyNumberFormat="1" borderId="10" applyBorder="1" fontId="2" applyFont="1" fillId="0" applyAlignment="1">
      <alignment horizontal="left"/>
    </xf>
    <xf xfId="0" numFmtId="3" applyNumberFormat="1" borderId="10" applyBorder="1" fontId="2" applyFont="1" fillId="0" applyAlignment="1">
      <alignment horizontal="right"/>
    </xf>
    <xf xfId="0" numFmtId="0" borderId="10" applyBorder="1" fontId="2" applyFont="1" fillId="0" applyAlignment="1">
      <alignment horizontal="left"/>
    </xf>
    <xf xfId="0" numFmtId="14" applyNumberFormat="1" borderId="10" applyBorder="1" fontId="3" applyFont="1" fillId="0" applyAlignment="1">
      <alignment horizontal="left"/>
    </xf>
    <xf xfId="0" numFmtId="164" applyNumberFormat="1" borderId="10" applyBorder="1" fontId="3" applyFont="1" fillId="0" applyAlignment="1">
      <alignment horizontal="center"/>
    </xf>
    <xf xfId="0" numFmtId="165" applyNumberFormat="1" borderId="10" applyBorder="1" fontId="3" applyFont="1" fillId="0" applyAlignment="1">
      <alignment horizontal="center"/>
    </xf>
    <xf xfId="0" numFmtId="14" applyNumberFormat="1" borderId="10" applyBorder="1" fontId="3" applyFont="1" fillId="0" applyAlignment="1">
      <alignment horizontal="center"/>
    </xf>
    <xf xfId="0" numFmtId="1" applyNumberFormat="1" borderId="10" applyBorder="1" fontId="2" applyFont="1" fillId="0" applyAlignment="1">
      <alignment horizontal="right"/>
    </xf>
    <xf xfId="0" numFmtId="1" applyNumberFormat="1" borderId="0" fontId="0" fillId="0" applyAlignment="1">
      <alignment horizontal="general"/>
    </xf>
    <xf xfId="0" numFmtId="0" borderId="10" applyBorder="1" fontId="4" applyFont="1" fillId="0" applyAlignment="1">
      <alignment horizontal="left"/>
    </xf>
    <xf xfId="0" numFmtId="0" borderId="10" applyBorder="1" fontId="5" applyFont="1" fillId="0" applyAlignment="1">
      <alignment horizontal="left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2C2C4D" val="windowText"/>
      </a:dk1>
      <a:lt1>
        <a:sysClr lastClr="FFFFFF" val="window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0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3" width="11.43357142857143" customWidth="1" bestFit="1"/>
    <col min="2" max="2" style="33" width="13.576428571428572" customWidth="1" bestFit="1"/>
    <col min="3" max="3" style="33" width="19.719285714285714" customWidth="1" bestFit="1"/>
    <col min="4" max="4" style="33" width="20.005" customWidth="1" bestFit="1"/>
    <col min="5" max="5" style="33" width="20.719285714285714" customWidth="1" bestFit="1"/>
    <col min="6" max="6" style="33" width="13.290714285714287" customWidth="1" bestFit="1"/>
    <col min="7" max="7" style="33" width="12.290714285714287" customWidth="1" bestFit="1"/>
    <col min="8" max="8" style="63" width="15.290714285714287" customWidth="1" bestFit="1"/>
    <col min="9" max="9" style="33" width="15.290714285714287" customWidth="1" bestFit="1"/>
    <col min="10" max="10" style="64" width="12.576428571428572" customWidth="1" bestFit="1"/>
    <col min="11" max="11" style="65" width="16.290714285714284" customWidth="1" bestFit="1"/>
    <col min="12" max="12" style="66" width="16.290714285714284" customWidth="1" bestFit="1"/>
    <col min="13" max="13" style="67" width="12.147857142857141" customWidth="1" bestFit="1"/>
    <col min="14" max="14" style="33" width="11.576428571428572" customWidth="1" bestFit="1"/>
    <col min="15" max="15" style="33" width="11.862142857142858" customWidth="1" bestFit="1"/>
    <col min="16" max="16" style="68" width="15.576428571428572" customWidth="1" bestFit="1"/>
    <col min="17" max="17" style="35" width="19.005" customWidth="1" bestFit="1"/>
  </cols>
  <sheetData>
    <row x14ac:dyDescent="0.25" r="1" customHeight="1" ht="18.75">
      <c r="A1" s="45" t="s">
        <v>1083</v>
      </c>
      <c r="B1" s="45" t="s">
        <v>37</v>
      </c>
      <c r="C1" s="45" t="s">
        <v>75</v>
      </c>
      <c r="D1" s="45" t="s">
        <v>18</v>
      </c>
      <c r="E1" s="45" t="s">
        <v>1084</v>
      </c>
      <c r="F1" s="45" t="s">
        <v>0</v>
      </c>
      <c r="G1" s="45" t="s">
        <v>2</v>
      </c>
      <c r="H1" s="46" t="s">
        <v>1085</v>
      </c>
      <c r="I1" s="45" t="s">
        <v>40</v>
      </c>
      <c r="J1" s="47" t="s">
        <v>1086</v>
      </c>
      <c r="K1" s="48" t="s">
        <v>1087</v>
      </c>
      <c r="L1" s="49" t="s">
        <v>22</v>
      </c>
      <c r="M1" s="50" t="s">
        <v>1088</v>
      </c>
      <c r="N1" s="45" t="s">
        <v>4</v>
      </c>
      <c r="O1" s="45" t="s">
        <v>38</v>
      </c>
      <c r="P1" s="51" t="s">
        <v>1089</v>
      </c>
      <c r="Q1" s="52" t="s">
        <v>1090</v>
      </c>
    </row>
    <row x14ac:dyDescent="0.25" r="2" customHeight="1" ht="19.5">
      <c r="A2" s="45" t="s">
        <v>1091</v>
      </c>
      <c r="B2" s="45" t="s">
        <v>872</v>
      </c>
      <c r="C2" s="45" t="s">
        <v>132</v>
      </c>
      <c r="D2" s="45" t="s">
        <v>32</v>
      </c>
      <c r="E2" s="45" t="s">
        <v>1092</v>
      </c>
      <c r="F2" s="45" t="s">
        <v>7</v>
      </c>
      <c r="G2" s="45" t="s">
        <v>11</v>
      </c>
      <c r="H2" s="53">
        <v>55</v>
      </c>
      <c r="I2" s="54">
        <f>IF(H2:H1001&lt;45, "Adult", IF(H2:H1001&lt;60, "Middle Age", IF(H2:H1001&lt;70, "Old", "Very Old")))</f>
      </c>
      <c r="J2" s="55">
        <v>42468</v>
      </c>
      <c r="K2" s="56">
        <v>141604</v>
      </c>
      <c r="L2" s="54">
        <f>IF(K2:K1001&lt;50000,"0-50",IF(K2:K1001&lt;100001,"51-100",IF(K2:K1001&lt;150001,"101-150",IF(K2:K1001&lt;200001,"151-200",IF(K2:K1001&lt;250001,"201-250","above 250")))))</f>
      </c>
      <c r="M2" s="57">
        <v>0.15</v>
      </c>
      <c r="N2" s="45" t="s">
        <v>15</v>
      </c>
      <c r="O2" s="45" t="s">
        <v>67</v>
      </c>
      <c r="P2" s="58">
        <v>44485</v>
      </c>
      <c r="Q2" s="53">
        <f>IF(ISBLANK(P2:P1001),"",DATEDIF(J2:J1001,P2:P1001,"Y"))</f>
      </c>
    </row>
    <row x14ac:dyDescent="0.25" r="3" customHeight="1" ht="19.5">
      <c r="A3" s="45" t="s">
        <v>1093</v>
      </c>
      <c r="B3" s="45" t="s">
        <v>955</v>
      </c>
      <c r="C3" s="45" t="s">
        <v>138</v>
      </c>
      <c r="D3" s="45" t="s">
        <v>32</v>
      </c>
      <c r="E3" s="45" t="s">
        <v>1094</v>
      </c>
      <c r="F3" s="45" t="s">
        <v>10</v>
      </c>
      <c r="G3" s="45" t="s">
        <v>8</v>
      </c>
      <c r="H3" s="53">
        <v>59</v>
      </c>
      <c r="I3" s="54">
        <f>IF(H3:H1002&lt;45, "Adult", IF(H3:H1002&lt;60, "Middle Age", IF(H3:H1002&lt;70, "Old", "Very Old")))</f>
      </c>
      <c r="J3" s="55">
        <v>35763</v>
      </c>
      <c r="K3" s="56">
        <v>99975</v>
      </c>
      <c r="L3" s="54">
        <f>IF(K3:K1002&lt;50000,"0-50",IF(K3:K1002&lt;100001,"51-100",IF(K3:K1002&lt;150001,"101-150",IF(K3:K1002&lt;200001,"151-200",IF(K3:K1002&lt;250001,"201-250","above 250")))))</f>
      </c>
      <c r="M3" s="57">
        <v>0</v>
      </c>
      <c r="N3" s="45" t="s">
        <v>12</v>
      </c>
      <c r="O3" s="45" t="s">
        <v>53</v>
      </c>
      <c r="P3" s="51"/>
      <c r="Q3" s="52">
        <f>IF(ISBLANK(P3:P1002), "", DATEDIF(J3:J1002, P3:P1002, "Y"))</f>
      </c>
    </row>
    <row x14ac:dyDescent="0.25" r="4" customHeight="1" ht="19.5">
      <c r="A4" s="45" t="s">
        <v>1095</v>
      </c>
      <c r="B4" s="45" t="s">
        <v>739</v>
      </c>
      <c r="C4" s="45" t="s">
        <v>96</v>
      </c>
      <c r="D4" s="45" t="s">
        <v>28</v>
      </c>
      <c r="E4" s="45" t="s">
        <v>1096</v>
      </c>
      <c r="F4" s="45" t="s">
        <v>7</v>
      </c>
      <c r="G4" s="45" t="s">
        <v>14</v>
      </c>
      <c r="H4" s="53">
        <v>50</v>
      </c>
      <c r="I4" s="54">
        <f>IF(H4:H1003&lt;45, "Adult", IF(H4:H1003&lt;60, "Middle Age", IF(H4:H1003&lt;70, "Old", "Very Old")))</f>
      </c>
      <c r="J4" s="55">
        <v>39016</v>
      </c>
      <c r="K4" s="56">
        <v>163099</v>
      </c>
      <c r="L4" s="54">
        <f>IF(K4:K1003&lt;50000,"0-50",IF(K4:K1003&lt;100001,"51-100",IF(K4:K1003&lt;150001,"101-150",IF(K4:K1003&lt;200001,"151-200",IF(K4:K1003&lt;250001,"201-250","above 250")))))</f>
      </c>
      <c r="M4" s="57">
        <v>0.2</v>
      </c>
      <c r="N4" s="45" t="s">
        <v>15</v>
      </c>
      <c r="O4" s="45" t="s">
        <v>51</v>
      </c>
      <c r="P4" s="51"/>
      <c r="Q4" s="52">
        <f>IF(ISBLANK(P4:P1003), "", DATEDIF(J4:J1003, P4:P1003, "Y"))</f>
      </c>
    </row>
    <row x14ac:dyDescent="0.25" r="5" customHeight="1" ht="19.5">
      <c r="A5" s="45" t="s">
        <v>1097</v>
      </c>
      <c r="B5" s="45" t="s">
        <v>89</v>
      </c>
      <c r="C5" s="45" t="s">
        <v>90</v>
      </c>
      <c r="D5" s="45" t="s">
        <v>32</v>
      </c>
      <c r="E5" s="45" t="s">
        <v>1094</v>
      </c>
      <c r="F5" s="45" t="s">
        <v>7</v>
      </c>
      <c r="G5" s="45" t="s">
        <v>14</v>
      </c>
      <c r="H5" s="53">
        <v>26</v>
      </c>
      <c r="I5" s="54">
        <f>IF(H5:H1004&lt;45, "Adult", IF(H5:H1004&lt;60, "Middle Age", IF(H5:H1004&lt;70, "Old", "Very Old")))</f>
      </c>
      <c r="J5" s="55">
        <v>43735</v>
      </c>
      <c r="K5" s="56">
        <v>84913</v>
      </c>
      <c r="L5" s="54">
        <f>IF(K5:K1004&lt;50000,"0-50",IF(K5:K1004&lt;100001,"51-100",IF(K5:K1004&lt;150001,"101-150",IF(K5:K1004&lt;200001,"151-200",IF(K5:K1004&lt;250001,"201-250","above 250")))))</f>
      </c>
      <c r="M5" s="57">
        <v>0.07</v>
      </c>
      <c r="N5" s="45" t="s">
        <v>15</v>
      </c>
      <c r="O5" s="45" t="s">
        <v>51</v>
      </c>
      <c r="P5" s="51"/>
      <c r="Q5" s="52">
        <f>IF(ISBLANK(P5:P1004), "", DATEDIF(J5:J1004, P5:P1004, "Y"))</f>
      </c>
    </row>
    <row x14ac:dyDescent="0.25" r="6" customHeight="1" ht="19.5">
      <c r="A6" s="45" t="s">
        <v>1098</v>
      </c>
      <c r="B6" s="45" t="s">
        <v>861</v>
      </c>
      <c r="C6" s="45" t="s">
        <v>128</v>
      </c>
      <c r="D6" s="45" t="s">
        <v>28</v>
      </c>
      <c r="E6" s="45" t="s">
        <v>1094</v>
      </c>
      <c r="F6" s="45" t="s">
        <v>10</v>
      </c>
      <c r="G6" s="45" t="s">
        <v>8</v>
      </c>
      <c r="H6" s="53">
        <v>55</v>
      </c>
      <c r="I6" s="54">
        <f>IF(H6:H1005&lt;45, "Adult", IF(H6:H1005&lt;60, "Middle Age", IF(H6:H1005&lt;70, "Old", "Very Old")))</f>
      </c>
      <c r="J6" s="55">
        <v>35023</v>
      </c>
      <c r="K6" s="56">
        <v>95409</v>
      </c>
      <c r="L6" s="54">
        <f>IF(K6:K1005&lt;50000,"0-50",IF(K6:K1005&lt;100001,"51-100",IF(K6:K1005&lt;150001,"101-150",IF(K6:K1005&lt;200001,"151-200",IF(K6:K1005&lt;250001,"201-250","above 250")))))</f>
      </c>
      <c r="M6" s="57">
        <v>0</v>
      </c>
      <c r="N6" s="45" t="s">
        <v>15</v>
      </c>
      <c r="O6" s="45" t="s">
        <v>61</v>
      </c>
      <c r="P6" s="51"/>
      <c r="Q6" s="52">
        <f>IF(ISBLANK(P6:P1005), "", DATEDIF(J6:J1005, P6:P1005, "Y"))</f>
      </c>
    </row>
    <row x14ac:dyDescent="0.25" r="7" customHeight="1" ht="19.5">
      <c r="A7" s="45" t="s">
        <v>1099</v>
      </c>
      <c r="B7" s="45" t="s">
        <v>921</v>
      </c>
      <c r="C7" s="45" t="s">
        <v>78</v>
      </c>
      <c r="D7" s="45" t="s">
        <v>36</v>
      </c>
      <c r="E7" s="45" t="s">
        <v>1100</v>
      </c>
      <c r="F7" s="45" t="s">
        <v>10</v>
      </c>
      <c r="G7" s="45" t="s">
        <v>8</v>
      </c>
      <c r="H7" s="53">
        <v>57</v>
      </c>
      <c r="I7" s="54">
        <f>IF(H7:H1006&lt;45, "Adult", IF(H7:H1006&lt;60, "Middle Age", IF(H7:H1006&lt;70, "Old", "Very Old")))</f>
      </c>
      <c r="J7" s="55">
        <v>42759</v>
      </c>
      <c r="K7" s="56">
        <v>50994</v>
      </c>
      <c r="L7" s="54">
        <f>IF(K2:K1006&lt;50000,"0-50",IF(K2:K1006&lt;100001,"51-100",IF(K2:K1006&lt;150001,"101-150",IF(K2:K1006&lt;200001,"151-200",IF(K2:K1006&lt;250001,"201-250","above 250")))))</f>
      </c>
      <c r="M7" s="57">
        <v>0</v>
      </c>
      <c r="N7" s="45" t="s">
        <v>12</v>
      </c>
      <c r="O7" s="45" t="s">
        <v>53</v>
      </c>
      <c r="P7" s="51"/>
      <c r="Q7" s="52">
        <f>IF(ISBLANK(P7:P1006), "", DATEDIF(J7:J1006, P7:P1006, "Y"))</f>
      </c>
    </row>
    <row x14ac:dyDescent="0.25" r="8" customHeight="1" ht="19.5">
      <c r="A8" s="45" t="s">
        <v>1101</v>
      </c>
      <c r="B8" s="45" t="s">
        <v>133</v>
      </c>
      <c r="C8" s="45" t="s">
        <v>110</v>
      </c>
      <c r="D8" s="45" t="s">
        <v>32</v>
      </c>
      <c r="E8" s="45" t="s">
        <v>1100</v>
      </c>
      <c r="F8" s="45" t="s">
        <v>7</v>
      </c>
      <c r="G8" s="45" t="s">
        <v>14</v>
      </c>
      <c r="H8" s="53">
        <v>27</v>
      </c>
      <c r="I8" s="54">
        <f>IF(H8:H1007&lt;45, "Adult", IF(H8:H1007&lt;60, "Middle Age", IF(H8:H1007&lt;70, "Old", "Very Old")))</f>
      </c>
      <c r="J8" s="55">
        <v>44013</v>
      </c>
      <c r="K8" s="56">
        <v>119746</v>
      </c>
      <c r="L8" s="54">
        <f>IF(K8:K1007&lt;50000,"0-50",IF(K8:K1007&lt;100001,"51-100",IF(K8:K1007&lt;150001,"101-150",IF(K8:K1007&lt;200001,"151-200",IF(K8:K1007&lt;250001,"201-250","above 250")))))</f>
      </c>
      <c r="M8" s="57">
        <v>0.1</v>
      </c>
      <c r="N8" s="45" t="s">
        <v>15</v>
      </c>
      <c r="O8" s="45" t="s">
        <v>61</v>
      </c>
      <c r="P8" s="51"/>
      <c r="Q8" s="52">
        <f>IF(ISBLANK(P8:P1007), "", DATEDIF(J8:J1007, P8:P1007, "Y"))</f>
      </c>
    </row>
    <row x14ac:dyDescent="0.25" r="9" customHeight="1" ht="19.5">
      <c r="A9" s="45" t="s">
        <v>1102</v>
      </c>
      <c r="B9" s="45" t="s">
        <v>48</v>
      </c>
      <c r="C9" s="45" t="s">
        <v>80</v>
      </c>
      <c r="D9" s="45" t="s">
        <v>28</v>
      </c>
      <c r="E9" s="45" t="s">
        <v>1094</v>
      </c>
      <c r="F9" s="45" t="s">
        <v>10</v>
      </c>
      <c r="G9" s="45" t="s">
        <v>11</v>
      </c>
      <c r="H9" s="53">
        <v>25</v>
      </c>
      <c r="I9" s="54">
        <f>IF(H9:H1008&lt;45, "Adult", IF(H9:H1008&lt;60, "Middle Age", IF(H9:H1008&lt;70, "Old", "Very Old")))</f>
      </c>
      <c r="J9" s="55">
        <v>43967</v>
      </c>
      <c r="K9" s="56">
        <v>41336</v>
      </c>
      <c r="L9" s="54">
        <f>IF(K9:K1008&lt;50000,"0-50",IF(K9:K1008&lt;100001,"51-100",IF(K9:K1008&lt;150001,"101-150",IF(K9:K1008&lt;200001,"151-200",IF(K9:K1008&lt;250001,"201-250","above 250")))))</f>
      </c>
      <c r="M9" s="57">
        <v>0</v>
      </c>
      <c r="N9" s="45" t="s">
        <v>15</v>
      </c>
      <c r="O9" s="45" t="s">
        <v>59</v>
      </c>
      <c r="P9" s="58">
        <v>44336</v>
      </c>
      <c r="Q9" s="53">
        <f>IF(ISBLANK(P9:P1008), "", DATEDIF(J9:J1008, P9:P1008, "Y"))</f>
      </c>
    </row>
    <row x14ac:dyDescent="0.25" r="10" customHeight="1" ht="19.5">
      <c r="A10" s="45" t="s">
        <v>1103</v>
      </c>
      <c r="B10" s="45" t="s">
        <v>193</v>
      </c>
      <c r="C10" s="45" t="s">
        <v>110</v>
      </c>
      <c r="D10" s="45" t="s">
        <v>24</v>
      </c>
      <c r="E10" s="45" t="s">
        <v>1094</v>
      </c>
      <c r="F10" s="45" t="s">
        <v>10</v>
      </c>
      <c r="G10" s="45" t="s">
        <v>14</v>
      </c>
      <c r="H10" s="53">
        <v>29</v>
      </c>
      <c r="I10" s="54">
        <f>IF(H10:H1009&lt;45, "Adult", IF(H10:H1009&lt;60, "Middle Age", IF(H10:H1009&lt;70, "Old", "Very Old")))</f>
      </c>
      <c r="J10" s="55">
        <v>43490</v>
      </c>
      <c r="K10" s="56">
        <v>113527</v>
      </c>
      <c r="L10" s="54">
        <f>IF(K10:K1009&lt;50000,"0-50",IF(K10:K1009&lt;100001,"51-100",IF(K10:K1009&lt;150001,"101-150",IF(K10:K1009&lt;200001,"151-200",IF(K10:K1009&lt;250001,"201-250","above 250")))))</f>
      </c>
      <c r="M10" s="57">
        <v>0.06</v>
      </c>
      <c r="N10" s="45" t="s">
        <v>15</v>
      </c>
      <c r="O10" s="45" t="s">
        <v>42</v>
      </c>
      <c r="P10" s="51"/>
      <c r="Q10" s="52">
        <f>IF(ISBLANK(P10:P1009), "", DATEDIF(J10:J1009, P10:P1009, "Y"))</f>
      </c>
    </row>
    <row x14ac:dyDescent="0.25" r="11" customHeight="1" ht="19.5">
      <c r="A11" s="45" t="s">
        <v>1104</v>
      </c>
      <c r="B11" s="45" t="s">
        <v>318</v>
      </c>
      <c r="C11" s="45" t="s">
        <v>128</v>
      </c>
      <c r="D11" s="45" t="s">
        <v>28</v>
      </c>
      <c r="E11" s="45" t="s">
        <v>1096</v>
      </c>
      <c r="F11" s="45" t="s">
        <v>7</v>
      </c>
      <c r="G11" s="45" t="s">
        <v>14</v>
      </c>
      <c r="H11" s="53">
        <v>34</v>
      </c>
      <c r="I11" s="54">
        <f>IF(H11:H1010&lt;45, "Adult", IF(H11:H1010&lt;60, "Middle Age", IF(H11:H1010&lt;70, "Old", "Very Old")))</f>
      </c>
      <c r="J11" s="55">
        <v>43264</v>
      </c>
      <c r="K11" s="56">
        <v>77203</v>
      </c>
      <c r="L11" s="54">
        <f>IF(K11:K1010&lt;50000,"0-50",IF(K11:K1010&lt;100001,"51-100",IF(K11:K1010&lt;150001,"101-150",IF(K11:K1010&lt;200001,"151-200",IF(K11:K1010&lt;250001,"201-250","above 250")))))</f>
      </c>
      <c r="M11" s="57">
        <v>0</v>
      </c>
      <c r="N11" s="45" t="s">
        <v>15</v>
      </c>
      <c r="O11" s="45" t="s">
        <v>51</v>
      </c>
      <c r="P11" s="51"/>
      <c r="Q11" s="52">
        <f>IF(ISBLANK(P11:P1010), "", DATEDIF(J11:J1010, P11:P1010, "Y"))</f>
      </c>
    </row>
    <row x14ac:dyDescent="0.25" r="12" customHeight="1" ht="18.75">
      <c r="A12" s="45" t="s">
        <v>1105</v>
      </c>
      <c r="B12" s="45" t="s">
        <v>357</v>
      </c>
      <c r="C12" s="45" t="s">
        <v>132</v>
      </c>
      <c r="D12" s="45" t="s">
        <v>30</v>
      </c>
      <c r="E12" s="45" t="s">
        <v>1094</v>
      </c>
      <c r="F12" s="45" t="s">
        <v>7</v>
      </c>
      <c r="G12" s="3"/>
      <c r="H12" s="53">
        <v>36</v>
      </c>
      <c r="I12" s="54">
        <f>IF(H12:H1011&lt;45, "Adult", IF(H12:H1011&lt;60, "Middle Age", IF(H12:H1011&lt;70, "Old", "Very Old")))</f>
      </c>
      <c r="J12" s="55">
        <v>39855</v>
      </c>
      <c r="K12" s="56">
        <v>157333</v>
      </c>
      <c r="L12" s="54">
        <f>IF(K12:K1011&lt;50000,"0-50",IF(K12:K1011&lt;100001,"51-100",IF(K12:K1011&lt;150001,"101-150",IF(K12:K1011&lt;200001,"151-200",IF(K12:K1011&lt;250001,"201-250","above 250")))))</f>
      </c>
      <c r="M12" s="57">
        <v>0.15</v>
      </c>
      <c r="N12" s="45" t="s">
        <v>15</v>
      </c>
      <c r="O12" s="45" t="s">
        <v>59</v>
      </c>
      <c r="P12" s="51"/>
      <c r="Q12" s="52">
        <f>IF(ISBLANK(P12:P1011), "", DATEDIF(J12:J1011, P12:P1011, "Y"))</f>
      </c>
    </row>
    <row x14ac:dyDescent="0.25" r="13" customHeight="1" ht="18.75">
      <c r="A13" s="45" t="s">
        <v>1106</v>
      </c>
      <c r="B13" s="45" t="s">
        <v>131</v>
      </c>
      <c r="C13" s="45" t="s">
        <v>92</v>
      </c>
      <c r="D13" s="45" t="s">
        <v>26</v>
      </c>
      <c r="E13" s="45" t="s">
        <v>1096</v>
      </c>
      <c r="F13" s="45" t="s">
        <v>7</v>
      </c>
      <c r="G13" s="45" t="s">
        <v>14</v>
      </c>
      <c r="H13" s="53">
        <v>27</v>
      </c>
      <c r="I13" s="54">
        <f>IF(H13:H1012&lt;45, "Adult", IF(H13:H1012&lt;60, "Middle Age", IF(H13:H1012&lt;70, "Old", "Very Old")))</f>
      </c>
      <c r="J13" s="55">
        <v>44490</v>
      </c>
      <c r="K13" s="56">
        <v>109851</v>
      </c>
      <c r="L13" s="54">
        <f>IF(K13:K1012&lt;50000,"0-50",IF(K13:K1012&lt;100001,"51-100",IF(K13:K1012&lt;150001,"101-150",IF(K13:K1012&lt;200001,"151-200",IF(K13:K1012&lt;250001,"201-250","above 250")))))</f>
      </c>
      <c r="M13" s="57">
        <v>0</v>
      </c>
      <c r="N13" s="45" t="s">
        <v>15</v>
      </c>
      <c r="O13" s="45" t="s">
        <v>67</v>
      </c>
      <c r="P13" s="51"/>
      <c r="Q13" s="52">
        <f>IF(ISBLANK(P13:P1012), "", DATEDIF(J13:J1012, P13:P1012, "Y"))</f>
      </c>
    </row>
    <row x14ac:dyDescent="0.25" r="14" customHeight="1" ht="18.75">
      <c r="A14" s="45" t="s">
        <v>1107</v>
      </c>
      <c r="B14" s="45" t="s">
        <v>958</v>
      </c>
      <c r="C14" s="45" t="s">
        <v>110</v>
      </c>
      <c r="D14" s="45" t="s">
        <v>30</v>
      </c>
      <c r="E14" s="45" t="s">
        <v>1094</v>
      </c>
      <c r="F14" s="45" t="s">
        <v>10</v>
      </c>
      <c r="G14" s="45" t="s">
        <v>14</v>
      </c>
      <c r="H14" s="53">
        <v>59</v>
      </c>
      <c r="I14" s="54">
        <f>IF(H14:H1013&lt;45, "Adult", IF(H14:H1013&lt;60, "Middle Age", IF(H14:H1013&lt;70, "Old", "Very Old")))</f>
      </c>
      <c r="J14" s="55">
        <v>36233</v>
      </c>
      <c r="K14" s="56">
        <v>105086</v>
      </c>
      <c r="L14" s="54">
        <f>IF(K14:K1013&lt;50000,"0-50",IF(K14:K1013&lt;100001,"51-100",IF(K14:K1013&lt;150001,"101-150",IF(K14:K1013&lt;200001,"151-200",IF(K14:K1013&lt;250001,"201-250","above 250")))))</f>
      </c>
      <c r="M14" s="57">
        <v>0.09</v>
      </c>
      <c r="N14" s="45" t="s">
        <v>15</v>
      </c>
      <c r="O14" s="45" t="s">
        <v>42</v>
      </c>
      <c r="P14" s="51"/>
      <c r="Q14" s="52">
        <f>IF(ISBLANK(P14:P1013), "", DATEDIF(J14:J1013, P14:P1013, "Y"))</f>
      </c>
    </row>
    <row x14ac:dyDescent="0.25" r="15" customHeight="1" ht="18.75">
      <c r="A15" s="45" t="s">
        <v>1108</v>
      </c>
      <c r="B15" s="45" t="s">
        <v>764</v>
      </c>
      <c r="C15" s="45" t="s">
        <v>132</v>
      </c>
      <c r="D15" s="45" t="s">
        <v>28</v>
      </c>
      <c r="E15" s="45" t="s">
        <v>1092</v>
      </c>
      <c r="F15" s="45" t="s">
        <v>7</v>
      </c>
      <c r="G15" s="45" t="s">
        <v>8</v>
      </c>
      <c r="H15" s="53">
        <v>51</v>
      </c>
      <c r="I15" s="54">
        <f>IF(H15:H1014&lt;45, "Adult", IF(H15:H1014&lt;60, "Middle Age", IF(H15:H1014&lt;70, "Old", "Very Old")))</f>
      </c>
      <c r="J15" s="55">
        <v>44357</v>
      </c>
      <c r="K15" s="56">
        <v>146742</v>
      </c>
      <c r="L15" s="54">
        <f>IF(K15:K1014&lt;50000,"0-50",IF(K15:K1014&lt;100001,"51-100",IF(K15:K1014&lt;150001,"101-150",IF(K15:K1014&lt;200001,"151-200",IF(K15:K1014&lt;250001,"201-250","above 250")))))</f>
      </c>
      <c r="M15" s="57">
        <v>0.1</v>
      </c>
      <c r="N15" s="45" t="s">
        <v>12</v>
      </c>
      <c r="O15" s="45" t="s">
        <v>69</v>
      </c>
      <c r="P15" s="51"/>
      <c r="Q15" s="52">
        <f>IF(ISBLANK(P15:P1014), "", DATEDIF(J15:J1014, P15:P1014, "Y"))</f>
      </c>
    </row>
    <row x14ac:dyDescent="0.25" r="16" customHeight="1" ht="18.75">
      <c r="A16" s="45" t="s">
        <v>1109</v>
      </c>
      <c r="B16" s="45" t="s">
        <v>247</v>
      </c>
      <c r="C16" s="45" t="s">
        <v>128</v>
      </c>
      <c r="D16" s="45" t="s">
        <v>24</v>
      </c>
      <c r="E16" s="45" t="s">
        <v>1096</v>
      </c>
      <c r="F16" s="45" t="s">
        <v>10</v>
      </c>
      <c r="G16" s="45" t="s">
        <v>8</v>
      </c>
      <c r="H16" s="53">
        <v>31</v>
      </c>
      <c r="I16" s="54">
        <f>IF(H16:H1015&lt;45, "Adult", IF(H16:H1015&lt;60, "Middle Age", IF(H16:H1015&lt;70, "Old", "Very Old")))</f>
      </c>
      <c r="J16" s="55">
        <v>43043</v>
      </c>
      <c r="K16" s="56">
        <v>97078</v>
      </c>
      <c r="L16" s="54">
        <f>IF(K16:K1015&lt;50000,"0-50",IF(K16:K1015&lt;100001,"51-100",IF(K16:K1015&lt;150001,"101-150",IF(K16:K1015&lt;200001,"151-200",IF(K16:K1015&lt;250001,"201-250","above 250")))))</f>
      </c>
      <c r="M16" s="57">
        <v>0</v>
      </c>
      <c r="N16" s="45" t="s">
        <v>15</v>
      </c>
      <c r="O16" s="45" t="s">
        <v>42</v>
      </c>
      <c r="P16" s="58">
        <v>43899</v>
      </c>
      <c r="Q16" s="53">
        <f>IF(ISBLANK(P16:P1015), "", DATEDIF(J16:J1015, P16:P1015, "Y"))</f>
      </c>
    </row>
    <row x14ac:dyDescent="0.25" r="17" customHeight="1" ht="18.75">
      <c r="A17" s="45" t="s">
        <v>1110</v>
      </c>
      <c r="B17" s="45" t="s">
        <v>473</v>
      </c>
      <c r="C17" s="45" t="s">
        <v>142</v>
      </c>
      <c r="D17" s="45" t="s">
        <v>34</v>
      </c>
      <c r="E17" s="45" t="s">
        <v>1092</v>
      </c>
      <c r="F17" s="45" t="s">
        <v>7</v>
      </c>
      <c r="G17" s="45" t="s">
        <v>8</v>
      </c>
      <c r="H17" s="53">
        <v>41</v>
      </c>
      <c r="I17" s="54">
        <f>IF(H17:H1016&lt;45, "Adult", IF(H17:H1016&lt;60, "Middle Age", IF(H17:H1016&lt;70, "Old", "Very Old")))</f>
      </c>
      <c r="J17" s="55">
        <v>41346</v>
      </c>
      <c r="K17" s="56">
        <v>249270</v>
      </c>
      <c r="L17" s="54">
        <f>IF(K17:K1016&lt;50000,"0-50",IF(K17:K1016&lt;100001,"51-100",IF(K17:K1016&lt;150001,"101-150",IF(K17:K1016&lt;200001,"151-200",IF(K17:K1016&lt;250001,"201-250","above 250")))))</f>
      </c>
      <c r="M17" s="57">
        <v>0.3</v>
      </c>
      <c r="N17" s="45" t="s">
        <v>15</v>
      </c>
      <c r="O17" s="45" t="s">
        <v>67</v>
      </c>
      <c r="P17" s="51"/>
      <c r="Q17" s="52">
        <f>IF(ISBLANK(P17:P1016), "", DATEDIF(J17:J1016, P17:P1016, "Y"))</f>
      </c>
    </row>
    <row x14ac:dyDescent="0.25" r="18" customHeight="1" ht="18.75">
      <c r="A18" s="45" t="s">
        <v>1111</v>
      </c>
      <c r="B18" s="45" t="s">
        <v>1072</v>
      </c>
      <c r="C18" s="45" t="s">
        <v>96</v>
      </c>
      <c r="D18" s="45" t="s">
        <v>28</v>
      </c>
      <c r="E18" s="45" t="s">
        <v>1092</v>
      </c>
      <c r="F18" s="45" t="s">
        <v>7</v>
      </c>
      <c r="G18" s="45" t="s">
        <v>11</v>
      </c>
      <c r="H18" s="53">
        <v>65</v>
      </c>
      <c r="I18" s="54">
        <f>IF(H18:H1017&lt;45, "Adult", IF(H18:H1017&lt;60, "Middle Age", IF(H18:H1017&lt;70, "Old", "Very Old")))</f>
      </c>
      <c r="J18" s="55">
        <v>37319</v>
      </c>
      <c r="K18" s="56">
        <v>175837</v>
      </c>
      <c r="L18" s="54">
        <f>IF(K18:K1017&lt;50000,"0-50",IF(K18:K1017&lt;100001,"51-100",IF(K18:K1017&lt;150001,"101-150",IF(K18:K1017&lt;200001,"151-200",IF(K18:K1017&lt;250001,"201-250","above 250")))))</f>
      </c>
      <c r="M18" s="57">
        <v>0.2</v>
      </c>
      <c r="N18" s="45" t="s">
        <v>15</v>
      </c>
      <c r="O18" s="45" t="s">
        <v>61</v>
      </c>
      <c r="P18" s="51"/>
      <c r="Q18" s="52">
        <f>IF(ISBLANK(P18:P1017), "", DATEDIF(J18:J1017, P18:P1017, "Y"))</f>
      </c>
    </row>
    <row x14ac:dyDescent="0.25" r="19" customHeight="1" ht="18.75">
      <c r="A19" s="45" t="s">
        <v>1112</v>
      </c>
      <c r="B19" s="45" t="s">
        <v>1049</v>
      </c>
      <c r="C19" s="45" t="s">
        <v>132</v>
      </c>
      <c r="D19" s="45" t="s">
        <v>34</v>
      </c>
      <c r="E19" s="45" t="s">
        <v>1096</v>
      </c>
      <c r="F19" s="45" t="s">
        <v>7</v>
      </c>
      <c r="G19" s="45" t="s">
        <v>17</v>
      </c>
      <c r="H19" s="53">
        <v>64</v>
      </c>
      <c r="I19" s="54">
        <f>IF(H19:H1018&lt;45, "Adult", IF(H19:H1018&lt;60, "Middle Age", IF(H19:H1018&lt;70, "Old", "Very Old")))</f>
      </c>
      <c r="J19" s="55">
        <v>37956</v>
      </c>
      <c r="K19" s="56">
        <v>154828</v>
      </c>
      <c r="L19" s="54">
        <f>IF(K19:K1018&lt;50000,"0-50",IF(K19:K1018&lt;100001,"51-100",IF(K19:K1018&lt;150001,"101-150",IF(K19:K1018&lt;200001,"151-200",IF(K19:K1018&lt;250001,"201-250","above 250")))))</f>
      </c>
      <c r="M19" s="57">
        <v>0.13</v>
      </c>
      <c r="N19" s="45" t="s">
        <v>15</v>
      </c>
      <c r="O19" s="45" t="s">
        <v>67</v>
      </c>
      <c r="P19" s="51"/>
      <c r="Q19" s="52">
        <f>IF(ISBLANK(P19:P1018), "", DATEDIF(J19:J1018, P19:P1018, "Y"))</f>
      </c>
    </row>
    <row x14ac:dyDescent="0.25" r="20" customHeight="1" ht="18.75">
      <c r="A20" s="45" t="s">
        <v>1113</v>
      </c>
      <c r="B20" s="45" t="s">
        <v>1051</v>
      </c>
      <c r="C20" s="45" t="s">
        <v>96</v>
      </c>
      <c r="D20" s="45" t="s">
        <v>32</v>
      </c>
      <c r="E20" s="45" t="s">
        <v>1100</v>
      </c>
      <c r="F20" s="45" t="s">
        <v>10</v>
      </c>
      <c r="G20" s="45" t="s">
        <v>14</v>
      </c>
      <c r="H20" s="53">
        <v>64</v>
      </c>
      <c r="I20" s="54">
        <f>IF(H20:H1019&lt;45, "Adult", IF(H20:H1019&lt;60, "Middle Age", IF(H20:H1019&lt;70, "Old", "Very Old")))</f>
      </c>
      <c r="J20" s="55">
        <v>41581</v>
      </c>
      <c r="K20" s="56">
        <v>186503</v>
      </c>
      <c r="L20" s="54">
        <f>IF(K20:K1019&lt;50000,"0-50",IF(K20:K1019&lt;100001,"51-100",IF(K20:K1019&lt;150001,"101-150",IF(K20:K1019&lt;200001,"151-200",IF(K20:K1019&lt;250001,"201-250","above 250")))))</f>
      </c>
      <c r="M20" s="57">
        <v>0.24</v>
      </c>
      <c r="N20" s="45" t="s">
        <v>15</v>
      </c>
      <c r="O20" s="45" t="s">
        <v>55</v>
      </c>
      <c r="P20" s="51"/>
      <c r="Q20" s="52">
        <f>IF(ISBLANK(P20:P1019), "", DATEDIF(J20:J1019, P20:P1019, "Y"))</f>
      </c>
    </row>
    <row x14ac:dyDescent="0.25" r="21" customHeight="1" ht="15.75">
      <c r="A21" s="45" t="s">
        <v>1114</v>
      </c>
      <c r="B21" s="45" t="s">
        <v>576</v>
      </c>
      <c r="C21" s="45" t="s">
        <v>96</v>
      </c>
      <c r="D21" s="45" t="s">
        <v>36</v>
      </c>
      <c r="E21" s="45" t="s">
        <v>1092</v>
      </c>
      <c r="F21" s="45" t="s">
        <v>10</v>
      </c>
      <c r="G21" s="45" t="s">
        <v>8</v>
      </c>
      <c r="H21" s="53">
        <v>45</v>
      </c>
      <c r="I21" s="54">
        <f>IF(H21:H1020&lt;45, "Adult", IF(H21:H1020&lt;60, "Middle Age", IF(H21:H1020&lt;70, "Old", "Very Old")))</f>
      </c>
      <c r="J21" s="55">
        <v>37446</v>
      </c>
      <c r="K21" s="56">
        <v>166331</v>
      </c>
      <c r="L21" s="54">
        <f>IF(K21:K1020&lt;50000,"0-50",IF(K21:K1020&lt;100001,"51-100",IF(K21:K1020&lt;150001,"101-150",IF(K21:K1020&lt;200001,"151-200",IF(K21:K1020&lt;250001,"201-250","above 250")))))</f>
      </c>
      <c r="M21" s="57">
        <v>0.18</v>
      </c>
      <c r="N21" s="45" t="s">
        <v>12</v>
      </c>
      <c r="O21" s="45" t="s">
        <v>53</v>
      </c>
      <c r="P21" s="51"/>
      <c r="Q21" s="52">
        <f>IF(ISBLANK(P21:P1020), "", DATEDIF(J21:J1020, P21:P1020, "Y"))</f>
      </c>
    </row>
    <row x14ac:dyDescent="0.25" r="22" customHeight="1" ht="15.75">
      <c r="A22" s="45" t="s">
        <v>1115</v>
      </c>
      <c r="B22" s="45" t="s">
        <v>906</v>
      </c>
      <c r="C22" s="45" t="s">
        <v>132</v>
      </c>
      <c r="D22" s="45" t="s">
        <v>32</v>
      </c>
      <c r="E22" s="45" t="s">
        <v>1094</v>
      </c>
      <c r="F22" s="45" t="s">
        <v>10</v>
      </c>
      <c r="G22" s="45" t="s">
        <v>17</v>
      </c>
      <c r="H22" s="53">
        <v>56</v>
      </c>
      <c r="I22" s="54">
        <f>IF(H22:H1021&lt;45, "Adult", IF(H22:H1021&lt;60, "Middle Age", IF(H22:H1021&lt;70, "Old", "Very Old")))</f>
      </c>
      <c r="J22" s="55">
        <v>40917</v>
      </c>
      <c r="K22" s="56">
        <v>146140</v>
      </c>
      <c r="L22" s="54">
        <f>IF(K22:K1021&lt;50000,"0-50",IF(K22:K1021&lt;100001,"51-100",IF(K22:K1021&lt;150001,"101-150",IF(K22:K1021&lt;200001,"151-200",IF(K22:K1021&lt;250001,"201-250","above 250")))))</f>
      </c>
      <c r="M22" s="57">
        <v>0.1</v>
      </c>
      <c r="N22" s="45" t="s">
        <v>9</v>
      </c>
      <c r="O22" s="45" t="s">
        <v>57</v>
      </c>
      <c r="P22" s="51"/>
      <c r="Q22" s="52">
        <f>IF(ISBLANK(P22:P1021), "", DATEDIF(J22:J1021, P22:P1021, "Y"))</f>
      </c>
    </row>
    <row x14ac:dyDescent="0.25" r="23" customHeight="1" ht="15.75">
      <c r="A23" s="45" t="s">
        <v>1116</v>
      </c>
      <c r="B23" s="45" t="s">
        <v>355</v>
      </c>
      <c r="C23" s="45" t="s">
        <v>96</v>
      </c>
      <c r="D23" s="45" t="s">
        <v>36</v>
      </c>
      <c r="E23" s="45" t="s">
        <v>1094</v>
      </c>
      <c r="F23" s="45" t="s">
        <v>7</v>
      </c>
      <c r="G23" s="45" t="s">
        <v>17</v>
      </c>
      <c r="H23" s="53">
        <v>36</v>
      </c>
      <c r="I23" s="54">
        <f>IF(H23:H1022&lt;45, "Adult", IF(H23:H1022&lt;60, "Middle Age", IF(H23:H1022&lt;70, "Old", "Very Old")))</f>
      </c>
      <c r="J23" s="55">
        <v>44288</v>
      </c>
      <c r="K23" s="56">
        <v>151703</v>
      </c>
      <c r="L23" s="54">
        <f>IF(K23:K1022&lt;50000,"0-50",IF(K23:K1022&lt;100001,"51-100",IF(K23:K1022&lt;150001,"101-150",IF(K23:K1022&lt;200001,"151-200",IF(K23:K1022&lt;250001,"201-250","above 250")))))</f>
      </c>
      <c r="M23" s="57">
        <v>0.21</v>
      </c>
      <c r="N23" s="45" t="s">
        <v>15</v>
      </c>
      <c r="O23" s="45" t="s">
        <v>59</v>
      </c>
      <c r="P23" s="51"/>
      <c r="Q23" s="52">
        <f>IF(ISBLANK(P23:P1022), "", DATEDIF(J23:J1022, P23:P1022, "Y"))</f>
      </c>
    </row>
    <row x14ac:dyDescent="0.25" r="24" customHeight="1" ht="15.75">
      <c r="A24" s="45" t="s">
        <v>1117</v>
      </c>
      <c r="B24" s="45" t="s">
        <v>956</v>
      </c>
      <c r="C24" s="45" t="s">
        <v>96</v>
      </c>
      <c r="D24" s="45" t="s">
        <v>32</v>
      </c>
      <c r="E24" s="45" t="s">
        <v>1092</v>
      </c>
      <c r="F24" s="45" t="s">
        <v>10</v>
      </c>
      <c r="G24" s="45" t="s">
        <v>17</v>
      </c>
      <c r="H24" s="53">
        <v>59</v>
      </c>
      <c r="I24" s="54">
        <f>IF(H24:H1023&lt;45, "Adult", IF(H24:H1023&lt;60, "Middle Age", IF(H24:H1023&lt;70, "Old", "Very Old")))</f>
      </c>
      <c r="J24" s="55">
        <v>37400</v>
      </c>
      <c r="K24" s="56">
        <v>172787</v>
      </c>
      <c r="L24" s="54">
        <f>IF(K24:K1023&lt;50000,"0-50",IF(K24:K1023&lt;100001,"51-100",IF(K24:K1023&lt;150001,"101-150",IF(K24:K1023&lt;200001,"151-200",IF(K24:K1023&lt;250001,"201-250","above 250")))))</f>
      </c>
      <c r="M24" s="57">
        <v>0.28</v>
      </c>
      <c r="N24" s="45" t="s">
        <v>9</v>
      </c>
      <c r="O24" s="45" t="s">
        <v>63</v>
      </c>
      <c r="P24" s="51"/>
      <c r="Q24" s="52">
        <f>IF(ISBLANK(P24:P1023), "", DATEDIF(J24:J1023, P24:P1023, "Y"))</f>
      </c>
    </row>
    <row x14ac:dyDescent="0.25" r="25" customHeight="1" ht="15.75">
      <c r="A25" s="45" t="s">
        <v>1118</v>
      </c>
      <c r="B25" s="45" t="s">
        <v>381</v>
      </c>
      <c r="C25" s="45" t="s">
        <v>80</v>
      </c>
      <c r="D25" s="45" t="s">
        <v>36</v>
      </c>
      <c r="E25" s="45" t="s">
        <v>1096</v>
      </c>
      <c r="F25" s="45" t="s">
        <v>10</v>
      </c>
      <c r="G25" s="45" t="s">
        <v>14</v>
      </c>
      <c r="H25" s="53">
        <v>37</v>
      </c>
      <c r="I25" s="54">
        <f>IF(H25:H1024&lt;45, "Adult", IF(H25:H1024&lt;60, "Middle Age", IF(H25:H1024&lt;70, "Old", "Very Old")))</f>
      </c>
      <c r="J25" s="55">
        <v>43713</v>
      </c>
      <c r="K25" s="56">
        <v>49998</v>
      </c>
      <c r="L25" s="54">
        <f>IF(K25:K1024&lt;50000,"0-50",IF(K25:K1024&lt;100001,"51-100",IF(K25:K1024&lt;150001,"101-150",IF(K25:K1024&lt;200001,"151-200",IF(K25:K1024&lt;250001,"201-250","above 250")))))</f>
      </c>
      <c r="M25" s="57">
        <v>0</v>
      </c>
      <c r="N25" s="45" t="s">
        <v>15</v>
      </c>
      <c r="O25" s="45" t="s">
        <v>67</v>
      </c>
      <c r="P25" s="51"/>
      <c r="Q25" s="52">
        <f>IF(ISBLANK(P25:P1024), "", DATEDIF(J25:J1024, P25:P1024, "Y"))</f>
      </c>
    </row>
    <row x14ac:dyDescent="0.25" r="26" customHeight="1" ht="15.75">
      <c r="A26" s="45" t="s">
        <v>1119</v>
      </c>
      <c r="B26" s="45" t="s">
        <v>541</v>
      </c>
      <c r="C26" s="45" t="s">
        <v>142</v>
      </c>
      <c r="D26" s="45" t="s">
        <v>36</v>
      </c>
      <c r="E26" s="45" t="s">
        <v>1096</v>
      </c>
      <c r="F26" s="45" t="s">
        <v>10</v>
      </c>
      <c r="G26" s="45" t="s">
        <v>8</v>
      </c>
      <c r="H26" s="53">
        <v>44</v>
      </c>
      <c r="I26" s="54">
        <f>IF(H26:H1025&lt;45, "Adult", IF(H26:H1025&lt;60, "Middle Age", IF(H26:H1025&lt;70, "Old", "Very Old")))</f>
      </c>
      <c r="J26" s="55">
        <v>41700</v>
      </c>
      <c r="K26" s="56">
        <v>207172</v>
      </c>
      <c r="L26" s="54">
        <f>IF(K26:K1025&lt;50000,"0-50",IF(K26:K1025&lt;100001,"51-100",IF(K26:K1025&lt;150001,"101-150",IF(K26:K1025&lt;200001,"151-200",IF(K26:K1025&lt;250001,"201-250","above 250")))))</f>
      </c>
      <c r="M26" s="57">
        <v>0.31</v>
      </c>
      <c r="N26" s="45" t="s">
        <v>12</v>
      </c>
      <c r="O26" s="45" t="s">
        <v>53</v>
      </c>
      <c r="P26" s="51"/>
      <c r="Q26" s="52">
        <f>IF(ISBLANK(P26:P1025), "", DATEDIF(J26:J1025, P26:P1025, "Y"))</f>
      </c>
    </row>
    <row x14ac:dyDescent="0.25" r="27" customHeight="1" ht="15.75">
      <c r="A27" s="45" t="s">
        <v>1120</v>
      </c>
      <c r="B27" s="45" t="s">
        <v>474</v>
      </c>
      <c r="C27" s="45" t="s">
        <v>96</v>
      </c>
      <c r="D27" s="45" t="s">
        <v>30</v>
      </c>
      <c r="E27" s="45" t="s">
        <v>1096</v>
      </c>
      <c r="F27" s="45" t="s">
        <v>10</v>
      </c>
      <c r="G27" s="45" t="s">
        <v>11</v>
      </c>
      <c r="H27" s="53">
        <v>41</v>
      </c>
      <c r="I27" s="54">
        <f>IF(H27:H1026&lt;45, "Adult", IF(H27:H1026&lt;60, "Middle Age", IF(H27:H1026&lt;70, "Old", "Very Old")))</f>
      </c>
      <c r="J27" s="55">
        <v>42111</v>
      </c>
      <c r="K27" s="56">
        <v>152239</v>
      </c>
      <c r="L27" s="54">
        <f>IF(K27:K1026&lt;50000,"0-50",IF(K27:K1026&lt;100001,"51-100",IF(K27:K1026&lt;150001,"101-150",IF(K27:K1026&lt;200001,"151-200",IF(K27:K1026&lt;250001,"201-250","above 250")))))</f>
      </c>
      <c r="M27" s="57">
        <v>0.23</v>
      </c>
      <c r="N27" s="45" t="s">
        <v>15</v>
      </c>
      <c r="O27" s="45" t="s">
        <v>55</v>
      </c>
      <c r="P27" s="51"/>
      <c r="Q27" s="52">
        <f>IF(ISBLANK(P27:P1026), "", DATEDIF(J27:J1026, P27:P1026, "Y"))</f>
      </c>
    </row>
    <row x14ac:dyDescent="0.25" r="28" customHeight="1" ht="15.75">
      <c r="A28" s="45" t="s">
        <v>1121</v>
      </c>
      <c r="B28" s="45" t="s">
        <v>904</v>
      </c>
      <c r="C28" s="45" t="s">
        <v>120</v>
      </c>
      <c r="D28" s="45" t="s">
        <v>26</v>
      </c>
      <c r="E28" s="45" t="s">
        <v>1100</v>
      </c>
      <c r="F28" s="45" t="s">
        <v>7</v>
      </c>
      <c r="G28" s="45" t="s">
        <v>17</v>
      </c>
      <c r="H28" s="53">
        <v>56</v>
      </c>
      <c r="I28" s="54">
        <f>IF(H28:H1027&lt;45, "Adult", IF(H28:H1027&lt;60, "Middle Age", IF(H28:H1027&lt;70, "Old", "Very Old")))</f>
      </c>
      <c r="J28" s="55">
        <v>38388</v>
      </c>
      <c r="K28" s="56">
        <v>98581</v>
      </c>
      <c r="L28" s="54">
        <f>IF(K28:K1027&lt;50000,"0-50",IF(K28:K1027&lt;100001,"51-100",IF(K28:K1027&lt;150001,"101-150",IF(K28:K1027&lt;200001,"151-200",IF(K28:K1027&lt;250001,"201-250","above 250")))))</f>
      </c>
      <c r="M28" s="57">
        <v>0</v>
      </c>
      <c r="N28" s="45" t="s">
        <v>9</v>
      </c>
      <c r="O28" s="45" t="s">
        <v>63</v>
      </c>
      <c r="P28" s="51"/>
      <c r="Q28" s="52">
        <f>IF(ISBLANK(P28:P1027), "", DATEDIF(J28:J1027, P28:P1027, "Y"))</f>
      </c>
    </row>
    <row x14ac:dyDescent="0.25" r="29" customHeight="1" ht="15.75">
      <c r="A29" s="45" t="s">
        <v>1122</v>
      </c>
      <c r="B29" s="45" t="s">
        <v>521</v>
      </c>
      <c r="C29" s="45" t="s">
        <v>142</v>
      </c>
      <c r="D29" s="45" t="s">
        <v>26</v>
      </c>
      <c r="E29" s="45" t="s">
        <v>1096</v>
      </c>
      <c r="F29" s="45" t="s">
        <v>10</v>
      </c>
      <c r="G29" s="45" t="s">
        <v>8</v>
      </c>
      <c r="H29" s="53">
        <v>43</v>
      </c>
      <c r="I29" s="54">
        <f>IF(H29:H1028&lt;45, "Adult", IF(H29:H1028&lt;60, "Middle Age", IF(H29:H1028&lt;70, "Old", "Very Old")))</f>
      </c>
      <c r="J29" s="55">
        <v>38145</v>
      </c>
      <c r="K29" s="56">
        <v>246231</v>
      </c>
      <c r="L29" s="54">
        <f>IF(K29:K1028&lt;50000,"0-50",IF(K29:K1028&lt;100001,"51-100",IF(K29:K1028&lt;150001,"101-150",IF(K29:K1028&lt;200001,"151-200",IF(K29:K1028&lt;250001,"201-250","above 250")))))</f>
      </c>
      <c r="M29" s="57">
        <v>0.31</v>
      </c>
      <c r="N29" s="45" t="s">
        <v>15</v>
      </c>
      <c r="O29" s="45" t="s">
        <v>67</v>
      </c>
      <c r="P29" s="51"/>
      <c r="Q29" s="52">
        <f>IF(ISBLANK(P29:P1028), "", DATEDIF(J29:J1028, P29:P1028, "Y"))</f>
      </c>
    </row>
    <row x14ac:dyDescent="0.25" r="30" customHeight="1" ht="15.75">
      <c r="A30" s="45" t="s">
        <v>1123</v>
      </c>
      <c r="B30" s="45" t="s">
        <v>1054</v>
      </c>
      <c r="C30" s="45" t="s">
        <v>98</v>
      </c>
      <c r="D30" s="45" t="s">
        <v>26</v>
      </c>
      <c r="E30" s="45" t="s">
        <v>1096</v>
      </c>
      <c r="F30" s="45" t="s">
        <v>10</v>
      </c>
      <c r="G30" s="45" t="s">
        <v>8</v>
      </c>
      <c r="H30" s="53">
        <v>64</v>
      </c>
      <c r="I30" s="54">
        <f>IF(H30:H1029&lt;45, "Adult", IF(H30:H1029&lt;60, "Middle Age", IF(H30:H1029&lt;70, "Old", "Very Old")))</f>
      </c>
      <c r="J30" s="55">
        <v>35403</v>
      </c>
      <c r="K30" s="56">
        <v>99354</v>
      </c>
      <c r="L30" s="54">
        <f>IF(K30:K1029&lt;50000,"0-50",IF(K30:K1029&lt;100001,"51-100",IF(K30:K1029&lt;150001,"101-150",IF(K30:K1029&lt;200001,"151-200",IF(K30:K1029&lt;250001,"201-250","above 250")))))</f>
      </c>
      <c r="M30" s="57">
        <v>0.12</v>
      </c>
      <c r="N30" s="45" t="s">
        <v>12</v>
      </c>
      <c r="O30" s="45" t="s">
        <v>47</v>
      </c>
      <c r="P30" s="51"/>
      <c r="Q30" s="52">
        <f>IF(ISBLANK(P30:P1029), "", DATEDIF(J30:J1029, P30:P1029, "Y"))</f>
      </c>
    </row>
    <row x14ac:dyDescent="0.25" r="31" customHeight="1" ht="15.75">
      <c r="A31" s="45" t="s">
        <v>1124</v>
      </c>
      <c r="B31" s="45" t="s">
        <v>1030</v>
      </c>
      <c r="C31" s="45" t="s">
        <v>142</v>
      </c>
      <c r="D31" s="45" t="s">
        <v>32</v>
      </c>
      <c r="E31" s="45" t="s">
        <v>1100</v>
      </c>
      <c r="F31" s="45" t="s">
        <v>10</v>
      </c>
      <c r="G31" s="45" t="s">
        <v>8</v>
      </c>
      <c r="H31" s="53">
        <v>63</v>
      </c>
      <c r="I31" s="54">
        <f>IF(H31:H1030&lt;45, "Adult", IF(H31:H1030&lt;60, "Middle Age", IF(H31:H1030&lt;70, "Old", "Very Old")))</f>
      </c>
      <c r="J31" s="55">
        <v>41040</v>
      </c>
      <c r="K31" s="56">
        <v>231141</v>
      </c>
      <c r="L31" s="54">
        <f>IF(K31:K1030&lt;50000,"0-50",IF(K31:K1030&lt;100001,"51-100",IF(K31:K1030&lt;150001,"101-150",IF(K31:K1030&lt;200001,"151-200",IF(K31:K1030&lt;250001,"201-250","above 250")))))</f>
      </c>
      <c r="M31" s="57">
        <v>0.34</v>
      </c>
      <c r="N31" s="45" t="s">
        <v>12</v>
      </c>
      <c r="O31" s="45" t="s">
        <v>47</v>
      </c>
      <c r="P31" s="51"/>
      <c r="Q31" s="52">
        <f>IF(ISBLANK(P31:P1030), "", DATEDIF(J31:J1030, P31:P1030, "Y"))</f>
      </c>
    </row>
    <row x14ac:dyDescent="0.25" r="32" customHeight="1" ht="15.75">
      <c r="A32" s="45" t="s">
        <v>1125</v>
      </c>
      <c r="B32" s="45" t="s">
        <v>160</v>
      </c>
      <c r="C32" s="45" t="s">
        <v>106</v>
      </c>
      <c r="D32" s="45" t="s">
        <v>32</v>
      </c>
      <c r="E32" s="45" t="s">
        <v>1092</v>
      </c>
      <c r="F32" s="45" t="s">
        <v>10</v>
      </c>
      <c r="G32" s="45" t="s">
        <v>8</v>
      </c>
      <c r="H32" s="53">
        <v>28</v>
      </c>
      <c r="I32" s="54">
        <f>IF(H32:H1031&lt;45, "Adult", IF(H32:H1031&lt;60, "Middle Age", IF(H32:H1031&lt;70, "Old", "Very Old")))</f>
      </c>
      <c r="J32" s="55">
        <v>42911</v>
      </c>
      <c r="K32" s="56">
        <v>54775</v>
      </c>
      <c r="L32" s="54">
        <f>IF(K32:K1031&lt;50000,"0-50",IF(K32:K1031&lt;100001,"51-100",IF(K32:K1031&lt;150001,"101-150",IF(K32:K1031&lt;200001,"151-200",IF(K32:K1031&lt;250001,"201-250","above 250")))))</f>
      </c>
      <c r="M32" s="57">
        <v>0</v>
      </c>
      <c r="N32" s="45" t="s">
        <v>15</v>
      </c>
      <c r="O32" s="45" t="s">
        <v>55</v>
      </c>
      <c r="P32" s="51"/>
      <c r="Q32" s="52">
        <f>IF(ISBLANK(P32:P1031), "", DATEDIF(J32:J1031, P32:P1031, "Y"))</f>
      </c>
    </row>
    <row x14ac:dyDescent="0.25" r="33" customHeight="1" ht="15.75">
      <c r="A33" s="45" t="s">
        <v>1126</v>
      </c>
      <c r="B33" s="45" t="s">
        <v>1073</v>
      </c>
      <c r="C33" s="45" t="s">
        <v>80</v>
      </c>
      <c r="D33" s="45" t="s">
        <v>28</v>
      </c>
      <c r="E33" s="45" t="s">
        <v>1094</v>
      </c>
      <c r="F33" s="45" t="s">
        <v>10</v>
      </c>
      <c r="G33" s="45" t="s">
        <v>17</v>
      </c>
      <c r="H33" s="53">
        <v>65</v>
      </c>
      <c r="I33" s="54">
        <f>IF(H33:H1032&lt;45, "Adult", IF(H33:H1032&lt;60, "Middle Age", IF(H33:H1032&lt;70, "Old", "Very Old")))</f>
      </c>
      <c r="J33" s="55">
        <v>38123</v>
      </c>
      <c r="K33" s="56">
        <v>55499</v>
      </c>
      <c r="L33" s="54">
        <f>IF(K33:K1032&lt;50000,"0-50",IF(K33:K1032&lt;100001,"51-100",IF(K33:K1032&lt;150001,"101-150",IF(K33:K1032&lt;200001,"151-200",IF(K33:K1032&lt;250001,"201-250","above 250")))))</f>
      </c>
      <c r="M33" s="57">
        <v>0</v>
      </c>
      <c r="N33" s="45" t="s">
        <v>9</v>
      </c>
      <c r="O33" s="45" t="s">
        <v>57</v>
      </c>
      <c r="P33" s="51"/>
      <c r="Q33" s="52">
        <f>IF(ISBLANK(P33:P1032), "", DATEDIF(J33:J1032, P33:P1032, "Y"))</f>
      </c>
    </row>
    <row x14ac:dyDescent="0.25" r="34" customHeight="1" ht="15.75">
      <c r="A34" s="45" t="s">
        <v>1127</v>
      </c>
      <c r="B34" s="45" t="s">
        <v>999</v>
      </c>
      <c r="C34" s="45" t="s">
        <v>82</v>
      </c>
      <c r="D34" s="45" t="s">
        <v>36</v>
      </c>
      <c r="E34" s="45" t="s">
        <v>1092</v>
      </c>
      <c r="F34" s="45" t="s">
        <v>10</v>
      </c>
      <c r="G34" s="45" t="s">
        <v>14</v>
      </c>
      <c r="H34" s="53">
        <v>61</v>
      </c>
      <c r="I34" s="54">
        <f>IF(H34:H1033&lt;45, "Adult", IF(H34:H1033&lt;60, "Middle Age", IF(H34:H1033&lt;70, "Old", "Very Old")))</f>
      </c>
      <c r="J34" s="55">
        <v>39640</v>
      </c>
      <c r="K34" s="56">
        <v>66521</v>
      </c>
      <c r="L34" s="54">
        <f>IF(K34:K1033&lt;50000,"0-50",IF(K34:K1033&lt;100001,"51-100",IF(K34:K1033&lt;150001,"101-150",IF(K34:K1033&lt;200001,"151-200",IF(K34:K1033&lt;250001,"201-250","above 250")))))</f>
      </c>
      <c r="M34" s="57">
        <v>0</v>
      </c>
      <c r="N34" s="45" t="s">
        <v>15</v>
      </c>
      <c r="O34" s="45" t="s">
        <v>67</v>
      </c>
      <c r="P34" s="51"/>
      <c r="Q34" s="52">
        <f>IF(ISBLANK(P34:P1033), "", DATEDIF(J34:J1033, P34:P1033, "Y"))</f>
      </c>
    </row>
    <row x14ac:dyDescent="0.25" r="35" customHeight="1" ht="15.75">
      <c r="A35" s="45" t="s">
        <v>1128</v>
      </c>
      <c r="B35" s="45" t="s">
        <v>213</v>
      </c>
      <c r="C35" s="45" t="s">
        <v>78</v>
      </c>
      <c r="D35" s="45" t="s">
        <v>36</v>
      </c>
      <c r="E35" s="45" t="s">
        <v>1096</v>
      </c>
      <c r="F35" s="45" t="s">
        <v>10</v>
      </c>
      <c r="G35" s="45" t="s">
        <v>8</v>
      </c>
      <c r="H35" s="53">
        <v>30</v>
      </c>
      <c r="I35" s="54">
        <f>IF(H35:H1034&lt;45, "Adult", IF(H35:H1034&lt;60, "Middle Age", IF(H35:H1034&lt;70, "Old", "Very Old")))</f>
      </c>
      <c r="J35" s="55">
        <v>42642</v>
      </c>
      <c r="K35" s="56">
        <v>59100</v>
      </c>
      <c r="L35" s="54">
        <f>IF(K35:K1034&lt;50000,"0-50",IF(K35:K1034&lt;100001,"51-100",IF(K35:K1034&lt;150001,"101-150",IF(K35:K1034&lt;200001,"151-200",IF(K35:K1034&lt;250001,"201-250","above 250")))))</f>
      </c>
      <c r="M35" s="57">
        <v>0</v>
      </c>
      <c r="N35" s="45" t="s">
        <v>12</v>
      </c>
      <c r="O35" s="45" t="s">
        <v>53</v>
      </c>
      <c r="P35" s="51"/>
      <c r="Q35" s="52">
        <f>IF(ISBLANK(P35:P1034), "", DATEDIF(J35:J1034, P35:P1034, "Y"))</f>
      </c>
    </row>
    <row x14ac:dyDescent="0.25" r="36" customHeight="1" ht="15.75">
      <c r="A36" s="45" t="s">
        <v>1129</v>
      </c>
      <c r="B36" s="45" t="s">
        <v>121</v>
      </c>
      <c r="C36" s="45" t="s">
        <v>80</v>
      </c>
      <c r="D36" s="45" t="s">
        <v>28</v>
      </c>
      <c r="E36" s="45" t="s">
        <v>1092</v>
      </c>
      <c r="F36" s="45" t="s">
        <v>7</v>
      </c>
      <c r="G36" s="45" t="s">
        <v>14</v>
      </c>
      <c r="H36" s="53">
        <v>27</v>
      </c>
      <c r="I36" s="54">
        <f>IF(H36:H1035&lt;45, "Adult", IF(H36:H1035&lt;60, "Middle Age", IF(H36:H1035&lt;70, "Old", "Very Old")))</f>
      </c>
      <c r="J36" s="55">
        <v>43226</v>
      </c>
      <c r="K36" s="56">
        <v>49011</v>
      </c>
      <c r="L36" s="54">
        <f>IF(K36:K1035&lt;50000,"0-50",IF(K36:K1035&lt;100001,"51-100",IF(K36:K1035&lt;150001,"101-150",IF(K36:K1035&lt;200001,"151-200",IF(K36:K1035&lt;250001,"201-250","above 250")))))</f>
      </c>
      <c r="M36" s="57">
        <v>0</v>
      </c>
      <c r="N36" s="45" t="s">
        <v>15</v>
      </c>
      <c r="O36" s="45" t="s">
        <v>51</v>
      </c>
      <c r="P36" s="51"/>
      <c r="Q36" s="52">
        <f>IF(ISBLANK(P36:P1035), "", DATEDIF(J36:J1035, P36:P1035, "Y"))</f>
      </c>
    </row>
    <row x14ac:dyDescent="0.25" r="37" customHeight="1" ht="15.75">
      <c r="A37" s="45" t="s">
        <v>1130</v>
      </c>
      <c r="B37" s="45" t="s">
        <v>267</v>
      </c>
      <c r="C37" s="45" t="s">
        <v>100</v>
      </c>
      <c r="D37" s="45" t="s">
        <v>32</v>
      </c>
      <c r="E37" s="45" t="s">
        <v>1094</v>
      </c>
      <c r="F37" s="45" t="s">
        <v>7</v>
      </c>
      <c r="G37" s="45" t="s">
        <v>14</v>
      </c>
      <c r="H37" s="53">
        <v>32</v>
      </c>
      <c r="I37" s="54">
        <f>IF(H37:H1036&lt;45, "Adult", IF(H37:H1036&lt;60, "Middle Age", IF(H37:H1036&lt;70, "Old", "Very Old")))</f>
      </c>
      <c r="J37" s="55">
        <v>41681</v>
      </c>
      <c r="K37" s="56">
        <v>99575</v>
      </c>
      <c r="L37" s="54">
        <f>IF(K37:K1036&lt;50000,"0-50",IF(K37:K1036&lt;100001,"51-100",IF(K37:K1036&lt;150001,"101-150",IF(K37:K1036&lt;200001,"151-200",IF(K37:K1036&lt;250001,"201-250","above 250")))))</f>
      </c>
      <c r="M37" s="57">
        <v>0</v>
      </c>
      <c r="N37" s="45" t="s">
        <v>15</v>
      </c>
      <c r="O37" s="45" t="s">
        <v>42</v>
      </c>
      <c r="P37" s="51"/>
      <c r="Q37" s="52">
        <f>IF(ISBLANK(P37:P1036), "", DATEDIF(J37:J1036, P37:P1036, "Y"))</f>
      </c>
    </row>
    <row x14ac:dyDescent="0.25" r="38" customHeight="1" ht="15.75">
      <c r="A38" s="45" t="s">
        <v>1131</v>
      </c>
      <c r="B38" s="45" t="s">
        <v>320</v>
      </c>
      <c r="C38" s="45" t="s">
        <v>92</v>
      </c>
      <c r="D38" s="45" t="s">
        <v>26</v>
      </c>
      <c r="E38" s="45" t="s">
        <v>1094</v>
      </c>
      <c r="F38" s="45" t="s">
        <v>7</v>
      </c>
      <c r="G38" s="45" t="s">
        <v>8</v>
      </c>
      <c r="H38" s="53">
        <v>34</v>
      </c>
      <c r="I38" s="54">
        <f>IF(H38:H1037&lt;45, "Adult", IF(H38:H1037&lt;60, "Middle Age", IF(H38:H1037&lt;70, "Old", "Very Old")))</f>
      </c>
      <c r="J38" s="55">
        <v>43815</v>
      </c>
      <c r="K38" s="56">
        <v>99989</v>
      </c>
      <c r="L38" s="54">
        <f>IF(K38:K1037&lt;50000,"0-50",IF(K38:K1037&lt;100001,"51-100",IF(K38:K1037&lt;150001,"101-150",IF(K38:K1037&lt;200001,"151-200",IF(K38:K1037&lt;250001,"201-250","above 250")))))</f>
      </c>
      <c r="M38" s="57">
        <v>0</v>
      </c>
      <c r="N38" s="45" t="s">
        <v>12</v>
      </c>
      <c r="O38" s="45" t="s">
        <v>49</v>
      </c>
      <c r="P38" s="51"/>
      <c r="Q38" s="52">
        <f>IF(ISBLANK(P38:P1037), "", DATEDIF(J38:J1037, P38:P1037, "Y"))</f>
      </c>
    </row>
    <row x14ac:dyDescent="0.25" r="39" customHeight="1" ht="15.75">
      <c r="A39" s="45" t="s">
        <v>1132</v>
      </c>
      <c r="B39" s="45" t="s">
        <v>141</v>
      </c>
      <c r="C39" s="45" t="s">
        <v>142</v>
      </c>
      <c r="D39" s="45" t="s">
        <v>34</v>
      </c>
      <c r="E39" s="45" t="s">
        <v>1092</v>
      </c>
      <c r="F39" s="45" t="s">
        <v>10</v>
      </c>
      <c r="G39" s="45" t="s">
        <v>14</v>
      </c>
      <c r="H39" s="53">
        <v>27</v>
      </c>
      <c r="I39" s="54">
        <f>IF(H39:H1038&lt;45, "Adult", IF(H39:H1038&lt;60, "Middle Age", IF(H39:H1038&lt;70, "Old", "Very Old")))</f>
      </c>
      <c r="J39" s="55">
        <v>43758</v>
      </c>
      <c r="K39" s="56">
        <v>256420</v>
      </c>
      <c r="L39" s="54">
        <f>IF(K39:K1038&lt;50000,"0-50",IF(K39:K1038&lt;100001,"51-100",IF(K39:K1038&lt;150001,"101-150",IF(K39:K1038&lt;200001,"151-200",IF(K39:K1038&lt;250001,"201-250","above 250")))))</f>
      </c>
      <c r="M39" s="57">
        <v>0.3</v>
      </c>
      <c r="N39" s="45" t="s">
        <v>15</v>
      </c>
      <c r="O39" s="45" t="s">
        <v>61</v>
      </c>
      <c r="P39" s="51"/>
      <c r="Q39" s="52">
        <f>IF(ISBLANK(P39:P1038), "", DATEDIF(J39:J1038, P39:P1038, "Y"))</f>
      </c>
    </row>
    <row x14ac:dyDescent="0.25" r="40" customHeight="1" ht="15.75">
      <c r="A40" s="45" t="s">
        <v>1133</v>
      </c>
      <c r="B40" s="45" t="s">
        <v>335</v>
      </c>
      <c r="C40" s="45" t="s">
        <v>138</v>
      </c>
      <c r="D40" s="45" t="s">
        <v>32</v>
      </c>
      <c r="E40" s="45" t="s">
        <v>1094</v>
      </c>
      <c r="F40" s="45" t="s">
        <v>7</v>
      </c>
      <c r="G40" s="45" t="s">
        <v>17</v>
      </c>
      <c r="H40" s="53">
        <v>35</v>
      </c>
      <c r="I40" s="54">
        <f>IF(H40:H1039&lt;45, "Adult", IF(H40:H1039&lt;60, "Middle Age", IF(H40:H1039&lt;70, "Old", "Very Old")))</f>
      </c>
      <c r="J40" s="55">
        <v>41409</v>
      </c>
      <c r="K40" s="56">
        <v>78940</v>
      </c>
      <c r="L40" s="54">
        <f>IF(K40:K1039&lt;50000,"0-50",IF(K40:K1039&lt;100001,"51-100",IF(K40:K1039&lt;150001,"101-150",IF(K40:K1039&lt;200001,"151-200",IF(K40:K1039&lt;250001,"201-250","above 250")))))</f>
      </c>
      <c r="M40" s="57">
        <v>0</v>
      </c>
      <c r="N40" s="45" t="s">
        <v>15</v>
      </c>
      <c r="O40" s="45" t="s">
        <v>59</v>
      </c>
      <c r="P40" s="51"/>
      <c r="Q40" s="52">
        <f>IF(ISBLANK(P40:P1039), "", DATEDIF(J40:J1039, P40:P1039, "Y"))</f>
      </c>
    </row>
    <row x14ac:dyDescent="0.25" r="41" customHeight="1" ht="15.75">
      <c r="A41" s="45" t="s">
        <v>1134</v>
      </c>
      <c r="B41" s="45" t="s">
        <v>923</v>
      </c>
      <c r="C41" s="45" t="s">
        <v>100</v>
      </c>
      <c r="D41" s="45" t="s">
        <v>32</v>
      </c>
      <c r="E41" s="45" t="s">
        <v>1100</v>
      </c>
      <c r="F41" s="45" t="s">
        <v>7</v>
      </c>
      <c r="G41" s="45" t="s">
        <v>17</v>
      </c>
      <c r="H41" s="53">
        <v>57</v>
      </c>
      <c r="I41" s="54">
        <f>IF(H41:H1040&lt;45, "Adult", IF(H41:H1040&lt;60, "Middle Age", IF(H41:H1040&lt;70, "Old", "Very Old")))</f>
      </c>
      <c r="J41" s="55">
        <v>34337</v>
      </c>
      <c r="K41" s="56">
        <v>82872</v>
      </c>
      <c r="L41" s="54">
        <f>IF(K41:K1040&lt;50000,"0-50",IF(K41:K1040&lt;100001,"51-100",IF(K41:K1040&lt;150001,"101-150",IF(K41:K1040&lt;200001,"151-200",IF(K41:K1040&lt;250001,"201-250","above 250")))))</f>
      </c>
      <c r="M41" s="57">
        <v>0</v>
      </c>
      <c r="N41" s="45" t="s">
        <v>9</v>
      </c>
      <c r="O41" s="45" t="s">
        <v>57</v>
      </c>
      <c r="P41" s="51"/>
      <c r="Q41" s="52">
        <f>IF(ISBLANK(P41:P1040), "", DATEDIF(J41:J1040, P41:P1040, "Y"))</f>
      </c>
    </row>
    <row x14ac:dyDescent="0.25" r="42" customHeight="1" ht="15.75">
      <c r="A42" s="45" t="s">
        <v>1135</v>
      </c>
      <c r="B42" s="45" t="s">
        <v>218</v>
      </c>
      <c r="C42" s="45" t="s">
        <v>130</v>
      </c>
      <c r="D42" s="45" t="s">
        <v>30</v>
      </c>
      <c r="E42" s="45" t="s">
        <v>1096</v>
      </c>
      <c r="F42" s="45" t="s">
        <v>10</v>
      </c>
      <c r="G42" s="45" t="s">
        <v>8</v>
      </c>
      <c r="H42" s="53">
        <v>30</v>
      </c>
      <c r="I42" s="54">
        <f>IF(H42:H1041&lt;45, "Adult", IF(H42:H1041&lt;60, "Middle Age", IF(H42:H1041&lt;70, "Old", "Very Old")))</f>
      </c>
      <c r="J42" s="55">
        <v>42884</v>
      </c>
      <c r="K42" s="56">
        <v>86317</v>
      </c>
      <c r="L42" s="54">
        <f>IF(K42:K1041&lt;50000,"0-50",IF(K42:K1041&lt;100001,"51-100",IF(K42:K1041&lt;150001,"101-150",IF(K42:K1041&lt;200001,"151-200",IF(K42:K1041&lt;250001,"201-250","above 250")))))</f>
      </c>
      <c r="M42" s="57">
        <v>0</v>
      </c>
      <c r="N42" s="45" t="s">
        <v>12</v>
      </c>
      <c r="O42" s="45" t="s">
        <v>49</v>
      </c>
      <c r="P42" s="58">
        <v>42932</v>
      </c>
      <c r="Q42" s="53">
        <f>IF(ISBLANK(P42:P1041), "", DATEDIF(J42:J1041, P42:P1041, "Y"))</f>
      </c>
    </row>
    <row x14ac:dyDescent="0.25" r="43" customHeight="1" ht="15.75">
      <c r="A43" s="45" t="s">
        <v>1136</v>
      </c>
      <c r="B43" s="45" t="s">
        <v>811</v>
      </c>
      <c r="C43" s="45" t="s">
        <v>110</v>
      </c>
      <c r="D43" s="45" t="s">
        <v>34</v>
      </c>
      <c r="E43" s="45" t="s">
        <v>1096</v>
      </c>
      <c r="F43" s="45" t="s">
        <v>7</v>
      </c>
      <c r="G43" s="45" t="s">
        <v>14</v>
      </c>
      <c r="H43" s="53">
        <v>53</v>
      </c>
      <c r="I43" s="54">
        <f>IF(H43:H1042&lt;45, "Adult", IF(H43:H1042&lt;60, "Middle Age", IF(H43:H1042&lt;70, "Old", "Very Old")))</f>
      </c>
      <c r="J43" s="55">
        <v>41601</v>
      </c>
      <c r="K43" s="56">
        <v>113135</v>
      </c>
      <c r="L43" s="54">
        <f>IF(K43:K1042&lt;50000,"0-50",IF(K43:K1042&lt;100001,"51-100",IF(K43:K1042&lt;150001,"101-150",IF(K43:K1042&lt;200001,"151-200",IF(K43:K1042&lt;250001,"201-250","above 250")))))</f>
      </c>
      <c r="M43" s="57">
        <v>0.05</v>
      </c>
      <c r="N43" s="45" t="s">
        <v>15</v>
      </c>
      <c r="O43" s="45" t="s">
        <v>42</v>
      </c>
      <c r="P43" s="51"/>
      <c r="Q43" s="52">
        <f>IF(ISBLANK(P43:P1042), "", DATEDIF(J43:J1042, P43:P1042, "Y"))</f>
      </c>
    </row>
    <row x14ac:dyDescent="0.25" r="44" customHeight="1" ht="15.75">
      <c r="A44" s="45" t="s">
        <v>1137</v>
      </c>
      <c r="B44" s="45" t="s">
        <v>781</v>
      </c>
      <c r="C44" s="45" t="s">
        <v>142</v>
      </c>
      <c r="D44" s="45" t="s">
        <v>32</v>
      </c>
      <c r="E44" s="45" t="s">
        <v>1096</v>
      </c>
      <c r="F44" s="45" t="s">
        <v>10</v>
      </c>
      <c r="G44" s="45" t="s">
        <v>14</v>
      </c>
      <c r="H44" s="53">
        <v>52</v>
      </c>
      <c r="I44" s="54">
        <f>IF(H44:H1043&lt;45, "Adult", IF(H44:H1043&lt;60, "Middle Age", IF(H44:H1043&lt;70, "Old", "Very Old")))</f>
      </c>
      <c r="J44" s="55">
        <v>38664</v>
      </c>
      <c r="K44" s="56">
        <v>199808</v>
      </c>
      <c r="L44" s="54">
        <f>IF(K44:K1043&lt;50000,"0-50",IF(K44:K1043&lt;100001,"51-100",IF(K44:K1043&lt;150001,"101-150",IF(K44:K1043&lt;200001,"151-200",IF(K44:K1043&lt;250001,"201-250","above 250")))))</f>
      </c>
      <c r="M44" s="57">
        <v>0.32</v>
      </c>
      <c r="N44" s="45" t="s">
        <v>15</v>
      </c>
      <c r="O44" s="45" t="s">
        <v>67</v>
      </c>
      <c r="P44" s="51"/>
      <c r="Q44" s="52">
        <f>IF(ISBLANK(P44:P1043), "", DATEDIF(J44:J1043, P44:P1043, "Y"))</f>
      </c>
    </row>
    <row x14ac:dyDescent="0.25" r="45" customHeight="1" ht="15.75">
      <c r="A45" s="45" t="s">
        <v>1138</v>
      </c>
      <c r="B45" s="45" t="s">
        <v>386</v>
      </c>
      <c r="C45" s="45" t="s">
        <v>78</v>
      </c>
      <c r="D45" s="45" t="s">
        <v>36</v>
      </c>
      <c r="E45" s="45" t="s">
        <v>1096</v>
      </c>
      <c r="F45" s="45" t="s">
        <v>10</v>
      </c>
      <c r="G45" s="45" t="s">
        <v>8</v>
      </c>
      <c r="H45" s="53">
        <v>37</v>
      </c>
      <c r="I45" s="54">
        <f>IF(H45:H1044&lt;45, "Adult", IF(H45:H1044&lt;60, "Middle Age", IF(H45:H1044&lt;70, "Old", "Very Old")))</f>
      </c>
      <c r="J45" s="55">
        <v>41592</v>
      </c>
      <c r="K45" s="56">
        <v>56037</v>
      </c>
      <c r="L45" s="54">
        <f>IF(K45:K1044&lt;50000,"0-50",IF(K45:K1044&lt;100001,"51-100",IF(K45:K1044&lt;150001,"101-150",IF(K45:K1044&lt;200001,"151-200",IF(K45:K1044&lt;250001,"201-250","above 250")))))</f>
      </c>
      <c r="M45" s="57">
        <v>0</v>
      </c>
      <c r="N45" s="45" t="s">
        <v>12</v>
      </c>
      <c r="O45" s="45" t="s">
        <v>69</v>
      </c>
      <c r="P45" s="51"/>
      <c r="Q45" s="52">
        <f>IF(ISBLANK(P45:P1044), "", DATEDIF(J45:J1044, P45:P1044, "Y"))</f>
      </c>
    </row>
    <row x14ac:dyDescent="0.25" r="46" customHeight="1" ht="15.75">
      <c r="A46" s="45" t="s">
        <v>1139</v>
      </c>
      <c r="B46" s="45" t="s">
        <v>192</v>
      </c>
      <c r="C46" s="45" t="s">
        <v>132</v>
      </c>
      <c r="D46" s="45" t="s">
        <v>34</v>
      </c>
      <c r="E46" s="45" t="s">
        <v>1092</v>
      </c>
      <c r="F46" s="45" t="s">
        <v>7</v>
      </c>
      <c r="G46" s="45" t="s">
        <v>14</v>
      </c>
      <c r="H46" s="53">
        <v>29</v>
      </c>
      <c r="I46" s="54">
        <f>IF(H46:H1045&lt;45, "Adult", IF(H46:H1045&lt;60, "Middle Age", IF(H46:H1045&lt;70, "Old", "Very Old")))</f>
      </c>
      <c r="J46" s="55">
        <v>43609</v>
      </c>
      <c r="K46" s="56">
        <v>122350</v>
      </c>
      <c r="L46" s="54">
        <f>IF(K46:K1045&lt;50000,"0-50",IF(K46:K1045&lt;100001,"51-100",IF(K46:K1045&lt;150001,"101-150",IF(K46:K1045&lt;200001,"151-200",IF(K46:K1045&lt;250001,"201-250","above 250")))))</f>
      </c>
      <c r="M46" s="57">
        <v>0.12</v>
      </c>
      <c r="N46" s="45" t="s">
        <v>15</v>
      </c>
      <c r="O46" s="45" t="s">
        <v>61</v>
      </c>
      <c r="P46" s="51"/>
      <c r="Q46" s="52">
        <f>IF(ISBLANK(P46:P1045), "", DATEDIF(J46:J1045, P46:P1045, "Y"))</f>
      </c>
    </row>
    <row x14ac:dyDescent="0.25" r="47" customHeight="1" ht="15.75">
      <c r="A47" s="45" t="s">
        <v>1140</v>
      </c>
      <c r="B47" s="45" t="s">
        <v>456</v>
      </c>
      <c r="C47" s="45" t="s">
        <v>100</v>
      </c>
      <c r="D47" s="45" t="s">
        <v>32</v>
      </c>
      <c r="E47" s="45" t="s">
        <v>1092</v>
      </c>
      <c r="F47" s="45" t="s">
        <v>10</v>
      </c>
      <c r="G47" s="45" t="s">
        <v>14</v>
      </c>
      <c r="H47" s="53">
        <v>40</v>
      </c>
      <c r="I47" s="54">
        <f>IF(H47:H1046&lt;45, "Adult", IF(H47:H1046&lt;60, "Middle Age", IF(H47:H1046&lt;70, "Old", "Very Old")))</f>
      </c>
      <c r="J47" s="55">
        <v>40486</v>
      </c>
      <c r="K47" s="56">
        <v>92952</v>
      </c>
      <c r="L47" s="54">
        <f>IF(K47:K1046&lt;50000,"0-50",IF(K47:K1046&lt;100001,"51-100",IF(K47:K1046&lt;150001,"101-150",IF(K47:K1046&lt;200001,"151-200",IF(K47:K1046&lt;250001,"201-250","above 250")))))</f>
      </c>
      <c r="M47" s="57">
        <v>0</v>
      </c>
      <c r="N47" s="45" t="s">
        <v>15</v>
      </c>
      <c r="O47" s="45" t="s">
        <v>67</v>
      </c>
      <c r="P47" s="51"/>
      <c r="Q47" s="52">
        <f>IF(ISBLANK(P47:P1046), "", DATEDIF(J47:J1046, P47:P1046, "Y"))</f>
      </c>
    </row>
    <row x14ac:dyDescent="0.25" r="48" customHeight="1" ht="15.75">
      <c r="A48" s="45" t="s">
        <v>1141</v>
      </c>
      <c r="B48" s="45" t="s">
        <v>268</v>
      </c>
      <c r="C48" s="45" t="s">
        <v>90</v>
      </c>
      <c r="D48" s="45" t="s">
        <v>32</v>
      </c>
      <c r="E48" s="45" t="s">
        <v>1100</v>
      </c>
      <c r="F48" s="45" t="s">
        <v>10</v>
      </c>
      <c r="G48" s="45" t="s">
        <v>17</v>
      </c>
      <c r="H48" s="53">
        <v>32</v>
      </c>
      <c r="I48" s="54">
        <f>IF(H48:H1047&lt;45, "Adult", IF(H48:H1047&lt;60, "Middle Age", IF(H48:H1047&lt;70, "Old", "Very Old")))</f>
      </c>
      <c r="J48" s="55">
        <v>41353</v>
      </c>
      <c r="K48" s="56">
        <v>79921</v>
      </c>
      <c r="L48" s="54">
        <f>IF(K48:K1047&lt;50000,"0-50",IF(K48:K1047&lt;100001,"51-100",IF(K48:K1047&lt;150001,"101-150",IF(K48:K1047&lt;200001,"151-200",IF(K48:K1047&lt;250001,"201-250","above 250")))))</f>
      </c>
      <c r="M48" s="57">
        <v>0.05</v>
      </c>
      <c r="N48" s="45" t="s">
        <v>15</v>
      </c>
      <c r="O48" s="45" t="s">
        <v>42</v>
      </c>
      <c r="P48" s="51"/>
      <c r="Q48" s="52">
        <f>IF(ISBLANK(P48:P1047), "", DATEDIF(J48:J1047, P48:P1047, "Y"))</f>
      </c>
    </row>
    <row x14ac:dyDescent="0.25" r="49" customHeight="1" ht="15.75">
      <c r="A49" s="45" t="s">
        <v>1142</v>
      </c>
      <c r="B49" s="45" t="s">
        <v>383</v>
      </c>
      <c r="C49" s="45" t="s">
        <v>96</v>
      </c>
      <c r="D49" s="45" t="s">
        <v>32</v>
      </c>
      <c r="E49" s="45" t="s">
        <v>1092</v>
      </c>
      <c r="F49" s="45" t="s">
        <v>7</v>
      </c>
      <c r="G49" s="45" t="s">
        <v>11</v>
      </c>
      <c r="H49" s="53">
        <v>37</v>
      </c>
      <c r="I49" s="54">
        <f>IF(H49:H1048&lt;45, "Adult", IF(H49:H1048&lt;60, "Middle Age", IF(H49:H1048&lt;70, "Old", "Very Old")))</f>
      </c>
      <c r="J49" s="55">
        <v>40076</v>
      </c>
      <c r="K49" s="56">
        <v>167199</v>
      </c>
      <c r="L49" s="54">
        <f>IF(K49:K1048&lt;50000,"0-50",IF(K49:K1048&lt;100001,"51-100",IF(K49:K1048&lt;150001,"101-150",IF(K49:K1048&lt;200001,"151-200",IF(K49:K1048&lt;250001,"201-250","above 250")))))</f>
      </c>
      <c r="M49" s="57">
        <v>0.2</v>
      </c>
      <c r="N49" s="45" t="s">
        <v>15</v>
      </c>
      <c r="O49" s="45" t="s">
        <v>67</v>
      </c>
      <c r="P49" s="51"/>
      <c r="Q49" s="52">
        <f>IF(ISBLANK(P49:P1048), "", DATEDIF(J49:J1048, P49:P1048, "Y"))</f>
      </c>
    </row>
    <row x14ac:dyDescent="0.25" r="50" customHeight="1" ht="15.75">
      <c r="A50" s="45" t="s">
        <v>1143</v>
      </c>
      <c r="B50" s="45" t="s">
        <v>785</v>
      </c>
      <c r="C50" s="45" t="s">
        <v>120</v>
      </c>
      <c r="D50" s="45" t="s">
        <v>26</v>
      </c>
      <c r="E50" s="45" t="s">
        <v>1092</v>
      </c>
      <c r="F50" s="45" t="s">
        <v>10</v>
      </c>
      <c r="G50" s="45" t="s">
        <v>14</v>
      </c>
      <c r="H50" s="53">
        <v>52</v>
      </c>
      <c r="I50" s="54">
        <f>IF(H50:H1049&lt;45, "Adult", IF(H50:H1049&lt;60, "Middle Age", IF(H50:H1049&lt;70, "Old", "Very Old")))</f>
      </c>
      <c r="J50" s="55">
        <v>41199</v>
      </c>
      <c r="K50" s="56">
        <v>71476</v>
      </c>
      <c r="L50" s="54">
        <f>IF(K50:K1049&lt;50000,"0-50",IF(K50:K1049&lt;100001,"51-100",IF(K50:K1049&lt;150001,"101-150",IF(K50:K1049&lt;200001,"151-200",IF(K50:K1049&lt;250001,"201-250","above 250")))))</f>
      </c>
      <c r="M50" s="57">
        <v>0</v>
      </c>
      <c r="N50" s="45" t="s">
        <v>15</v>
      </c>
      <c r="O50" s="45" t="s">
        <v>61</v>
      </c>
      <c r="P50" s="51"/>
      <c r="Q50" s="52">
        <f>IF(ISBLANK(P50:P1049), "", DATEDIF(J50:J1049, P50:P1049, "Y"))</f>
      </c>
    </row>
    <row x14ac:dyDescent="0.25" r="51" customHeight="1" ht="15.75">
      <c r="A51" s="45" t="s">
        <v>1144</v>
      </c>
      <c r="B51" s="45" t="s">
        <v>561</v>
      </c>
      <c r="C51" s="45" t="s">
        <v>96</v>
      </c>
      <c r="D51" s="45" t="s">
        <v>26</v>
      </c>
      <c r="E51" s="45" t="s">
        <v>1094</v>
      </c>
      <c r="F51" s="45" t="s">
        <v>7</v>
      </c>
      <c r="G51" s="45" t="s">
        <v>14</v>
      </c>
      <c r="H51" s="53">
        <v>45</v>
      </c>
      <c r="I51" s="54">
        <f>IF(H51:H1050&lt;45, "Adult", IF(H51:H1050&lt;60, "Middle Age", IF(H51:H1050&lt;70, "Old", "Very Old")))</f>
      </c>
      <c r="J51" s="55">
        <v>41941</v>
      </c>
      <c r="K51" s="56">
        <v>189420</v>
      </c>
      <c r="L51" s="54">
        <f>IF(K51:K1050&lt;50000,"0-50",IF(K51:K1050&lt;100001,"51-100",IF(K51:K1050&lt;150001,"101-150",IF(K51:K1050&lt;200001,"151-200",IF(K51:K1050&lt;250001,"201-250","above 250")))))</f>
      </c>
      <c r="M51" s="57">
        <v>0.2</v>
      </c>
      <c r="N51" s="45" t="s">
        <v>15</v>
      </c>
      <c r="O51" s="45" t="s">
        <v>67</v>
      </c>
      <c r="P51" s="51"/>
      <c r="Q51" s="52">
        <f>IF(ISBLANK(P51:P1050), "", DATEDIF(J51:J1050, P51:P1050, "Y"))</f>
      </c>
    </row>
    <row x14ac:dyDescent="0.25" r="52" customHeight="1" ht="15.75">
      <c r="A52" s="45" t="s">
        <v>1145</v>
      </c>
      <c r="B52" s="45" t="s">
        <v>1055</v>
      </c>
      <c r="C52" s="45" t="s">
        <v>104</v>
      </c>
      <c r="D52" s="45" t="s">
        <v>30</v>
      </c>
      <c r="E52" s="45" t="s">
        <v>1092</v>
      </c>
      <c r="F52" s="45" t="s">
        <v>7</v>
      </c>
      <c r="G52" s="45" t="s">
        <v>14</v>
      </c>
      <c r="H52" s="53">
        <v>64</v>
      </c>
      <c r="I52" s="54">
        <f>IF(H52:H1051&lt;45, "Adult", IF(H52:H1051&lt;60, "Middle Age", IF(H52:H1051&lt;70, "Old", "Very Old")))</f>
      </c>
      <c r="J52" s="55">
        <v>37184</v>
      </c>
      <c r="K52" s="56">
        <v>64057</v>
      </c>
      <c r="L52" s="54">
        <f>IF(K52:K1051&lt;50000,"0-50",IF(K52:K1051&lt;100001,"51-100",IF(K52:K1051&lt;150001,"101-150",IF(K52:K1051&lt;200001,"151-200",IF(K52:K1051&lt;250001,"201-250","above 250")))))</f>
      </c>
      <c r="M52" s="57">
        <v>0</v>
      </c>
      <c r="N52" s="45" t="s">
        <v>15</v>
      </c>
      <c r="O52" s="45" t="s">
        <v>61</v>
      </c>
      <c r="P52" s="51"/>
      <c r="Q52" s="52">
        <f>IF(ISBLANK(P52:P1051), "", DATEDIF(J52:J1051, P52:P1051, "Y"))</f>
      </c>
    </row>
    <row x14ac:dyDescent="0.25" r="53" customHeight="1" ht="15.75">
      <c r="A53" s="45" t="s">
        <v>1146</v>
      </c>
      <c r="B53" s="45" t="s">
        <v>127</v>
      </c>
      <c r="C53" s="45" t="s">
        <v>82</v>
      </c>
      <c r="D53" s="45" t="s">
        <v>34</v>
      </c>
      <c r="E53" s="45" t="s">
        <v>1094</v>
      </c>
      <c r="F53" s="45" t="s">
        <v>7</v>
      </c>
      <c r="G53" s="45" t="s">
        <v>11</v>
      </c>
      <c r="H53" s="53">
        <v>27</v>
      </c>
      <c r="I53" s="54">
        <f>IF(H53:H1052&lt;45, "Adult", IF(H53:H1052&lt;60, "Middle Age", IF(H53:H1052&lt;70, "Old", "Very Old")))</f>
      </c>
      <c r="J53" s="55">
        <v>44460</v>
      </c>
      <c r="K53" s="56">
        <v>68728</v>
      </c>
      <c r="L53" s="54">
        <f>IF(K53:K1052&lt;50000,"0-50",IF(K53:K1052&lt;100001,"51-100",IF(K53:K1052&lt;150001,"101-150",IF(K53:K1052&lt;200001,"151-200",IF(K53:K1052&lt;250001,"201-250","above 250")))))</f>
      </c>
      <c r="M53" s="57">
        <v>0</v>
      </c>
      <c r="N53" s="45" t="s">
        <v>15</v>
      </c>
      <c r="O53" s="45" t="s">
        <v>61</v>
      </c>
      <c r="P53" s="51"/>
      <c r="Q53" s="52">
        <f>IF(ISBLANK(P53:P1052), "", DATEDIF(J53:J1052, P53:P1052, "Y"))</f>
      </c>
    </row>
    <row x14ac:dyDescent="0.25" r="54" customHeight="1" ht="15.75">
      <c r="A54" s="45" t="s">
        <v>1147</v>
      </c>
      <c r="B54" s="45" t="s">
        <v>41</v>
      </c>
      <c r="C54" s="45" t="s">
        <v>132</v>
      </c>
      <c r="D54" s="45" t="s">
        <v>32</v>
      </c>
      <c r="E54" s="45" t="s">
        <v>1094</v>
      </c>
      <c r="F54" s="45" t="s">
        <v>7</v>
      </c>
      <c r="G54" s="45" t="s">
        <v>8</v>
      </c>
      <c r="H54" s="53">
        <v>25</v>
      </c>
      <c r="I54" s="54">
        <f>IF(H54:H1053&lt;45, "Adult", IF(H54:H1053&lt;60, "Middle Age", IF(H54:H1053&lt;70, "Old", "Very Old")))</f>
      </c>
      <c r="J54" s="55">
        <v>44379</v>
      </c>
      <c r="K54" s="56">
        <v>125633</v>
      </c>
      <c r="L54" s="54">
        <f>IF(K54:K1053&lt;50000,"0-50",IF(K54:K1053&lt;100001,"51-100",IF(K54:K1053&lt;150001,"101-150",IF(K54:K1053&lt;200001,"151-200",IF(K54:K1053&lt;250001,"201-250","above 250")))))</f>
      </c>
      <c r="M54" s="57">
        <v>0.11</v>
      </c>
      <c r="N54" s="45" t="s">
        <v>12</v>
      </c>
      <c r="O54" s="45" t="s">
        <v>47</v>
      </c>
      <c r="P54" s="51"/>
      <c r="Q54" s="52">
        <f>IF(ISBLANK(P54:P1053), "", DATEDIF(J54:J1053, P54:P1053, "Y"))</f>
      </c>
    </row>
    <row x14ac:dyDescent="0.25" r="55" customHeight="1" ht="15.75">
      <c r="A55" s="45" t="s">
        <v>1148</v>
      </c>
      <c r="B55" s="45" t="s">
        <v>338</v>
      </c>
      <c r="C55" s="45" t="s">
        <v>82</v>
      </c>
      <c r="D55" s="45" t="s">
        <v>34</v>
      </c>
      <c r="E55" s="45" t="s">
        <v>1094</v>
      </c>
      <c r="F55" s="45" t="s">
        <v>10</v>
      </c>
      <c r="G55" s="45" t="s">
        <v>17</v>
      </c>
      <c r="H55" s="53">
        <v>35</v>
      </c>
      <c r="I55" s="54">
        <f>IF(H55:H1054&lt;45, "Adult", IF(H55:H1054&lt;60, "Middle Age", IF(H55:H1054&lt;70, "Old", "Very Old")))</f>
      </c>
      <c r="J55" s="55">
        <v>40678</v>
      </c>
      <c r="K55" s="56">
        <v>66889</v>
      </c>
      <c r="L55" s="54">
        <f>IF(K55:K1054&lt;50000,"0-50",IF(K55:K1054&lt;100001,"51-100",IF(K55:K1054&lt;150001,"101-150",IF(K55:K1054&lt;200001,"151-200",IF(K55:K1054&lt;250001,"201-250","above 250")))))</f>
      </c>
      <c r="M55" s="57">
        <v>0</v>
      </c>
      <c r="N55" s="45" t="s">
        <v>15</v>
      </c>
      <c r="O55" s="45" t="s">
        <v>55</v>
      </c>
      <c r="P55" s="51"/>
      <c r="Q55" s="52">
        <f>IF(ISBLANK(P55:P1054), "", DATEDIF(J55:J1054, P55:P1054, "Y"))</f>
      </c>
    </row>
    <row x14ac:dyDescent="0.25" r="56" customHeight="1" ht="15.75">
      <c r="A56" s="45" t="s">
        <v>1149</v>
      </c>
      <c r="B56" s="45" t="s">
        <v>572</v>
      </c>
      <c r="C56" s="45" t="s">
        <v>96</v>
      </c>
      <c r="D56" s="45" t="s">
        <v>24</v>
      </c>
      <c r="E56" s="45" t="s">
        <v>1092</v>
      </c>
      <c r="F56" s="45" t="s">
        <v>7</v>
      </c>
      <c r="G56" s="45" t="s">
        <v>8</v>
      </c>
      <c r="H56" s="53">
        <v>36</v>
      </c>
      <c r="I56" s="54">
        <f>IF(H56:H1055&lt;45, "Adult", IF(H56:H1055&lt;60, "Middle Age", IF(H56:H1055&lt;70, "Old", "Very Old")))</f>
      </c>
      <c r="J56" s="55">
        <v>42276</v>
      </c>
      <c r="K56" s="56">
        <v>178700</v>
      </c>
      <c r="L56" s="54">
        <f>IF(K56:K1055&lt;50000,"0-50",IF(K56:K1055&lt;100001,"51-100",IF(K56:K1055&lt;150001,"101-150",IF(K56:K1055&lt;200001,"151-200",IF(K56:K1055&lt;250001,"201-250","above 250")))))</f>
      </c>
      <c r="M56" s="57">
        <v>0.29</v>
      </c>
      <c r="N56" s="45" t="s">
        <v>15</v>
      </c>
      <c r="O56" s="45" t="s">
        <v>67</v>
      </c>
      <c r="P56" s="51"/>
      <c r="Q56" s="52">
        <f>IF(ISBLANK(P56:P1055), "", DATEDIF(J56:J1055, P56:P1055, "Y"))</f>
      </c>
    </row>
    <row x14ac:dyDescent="0.25" r="57" customHeight="1" ht="15.75">
      <c r="A57" s="45" t="s">
        <v>1150</v>
      </c>
      <c r="B57" s="45" t="s">
        <v>287</v>
      </c>
      <c r="C57" s="45" t="s">
        <v>102</v>
      </c>
      <c r="D57" s="45" t="s">
        <v>26</v>
      </c>
      <c r="E57" s="45" t="s">
        <v>1092</v>
      </c>
      <c r="F57" s="45" t="s">
        <v>7</v>
      </c>
      <c r="G57" s="45" t="s">
        <v>14</v>
      </c>
      <c r="H57" s="53">
        <v>33</v>
      </c>
      <c r="I57" s="54">
        <f>IF(H57:H1056&lt;45, "Adult", IF(H57:H1056&lt;60, "Middle Age", IF(H57:H1056&lt;70, "Old", "Very Old")))</f>
      </c>
      <c r="J57" s="55">
        <v>43456</v>
      </c>
      <c r="K57" s="56">
        <v>83990</v>
      </c>
      <c r="L57" s="54">
        <f>IF(K57:K1056&lt;50000,"0-50",IF(K57:K1056&lt;100001,"51-100",IF(K57:K1056&lt;150001,"101-150",IF(K57:K1056&lt;200001,"151-200",IF(K57:K1056&lt;250001,"201-250","above 250")))))</f>
      </c>
      <c r="M57" s="57">
        <v>0</v>
      </c>
      <c r="N57" s="45" t="s">
        <v>15</v>
      </c>
      <c r="O57" s="45" t="s">
        <v>51</v>
      </c>
      <c r="P57" s="51"/>
      <c r="Q57" s="52">
        <f>IF(ISBLANK(P57:P1056), "", DATEDIF(J57:J1056, P57:P1056, "Y"))</f>
      </c>
    </row>
    <row x14ac:dyDescent="0.25" r="58" customHeight="1" ht="15.75">
      <c r="A58" s="45" t="s">
        <v>1151</v>
      </c>
      <c r="B58" s="45" t="s">
        <v>784</v>
      </c>
      <c r="C58" s="45" t="s">
        <v>84</v>
      </c>
      <c r="D58" s="45" t="s">
        <v>26</v>
      </c>
      <c r="E58" s="45" t="s">
        <v>1100</v>
      </c>
      <c r="F58" s="45" t="s">
        <v>7</v>
      </c>
      <c r="G58" s="45" t="s">
        <v>14</v>
      </c>
      <c r="H58" s="53">
        <v>52</v>
      </c>
      <c r="I58" s="54">
        <f>IF(H58:H1057&lt;45, "Adult", IF(H58:H1057&lt;60, "Middle Age", IF(H58:H1057&lt;70, "Old", "Very Old")))</f>
      </c>
      <c r="J58" s="55">
        <v>38696</v>
      </c>
      <c r="K58" s="56">
        <v>102043</v>
      </c>
      <c r="L58" s="54">
        <f>IF(K58:K1057&lt;50000,"0-50",IF(K58:K1057&lt;100001,"51-100",IF(K58:K1057&lt;150001,"101-150",IF(K58:K1057&lt;200001,"151-200",IF(K58:K1057&lt;250001,"201-250","above 250")))))</f>
      </c>
      <c r="M58" s="57">
        <v>0</v>
      </c>
      <c r="N58" s="45" t="s">
        <v>15</v>
      </c>
      <c r="O58" s="45" t="s">
        <v>51</v>
      </c>
      <c r="P58" s="51"/>
      <c r="Q58" s="52">
        <f>IF(ISBLANK(P58:P1057), "", DATEDIF(J58:J1057, P58:P1057, "Y"))</f>
      </c>
    </row>
    <row x14ac:dyDescent="0.25" r="59" customHeight="1" ht="15.75">
      <c r="A59" s="45" t="s">
        <v>1152</v>
      </c>
      <c r="B59" s="45" t="s">
        <v>634</v>
      </c>
      <c r="C59" s="45" t="s">
        <v>118</v>
      </c>
      <c r="D59" s="45" t="s">
        <v>26</v>
      </c>
      <c r="E59" s="45" t="s">
        <v>1094</v>
      </c>
      <c r="F59" s="45" t="s">
        <v>7</v>
      </c>
      <c r="G59" s="45" t="s">
        <v>8</v>
      </c>
      <c r="H59" s="53">
        <v>46</v>
      </c>
      <c r="I59" s="54">
        <f>IF(H59:H1058&lt;45, "Adult", IF(H59:H1058&lt;60, "Middle Age", IF(H59:H1058&lt;70, "Old", "Very Old")))</f>
      </c>
      <c r="J59" s="55">
        <v>37041</v>
      </c>
      <c r="K59" s="56">
        <v>90678</v>
      </c>
      <c r="L59" s="54">
        <f>IF(K59:K1058&lt;50000,"0-50",IF(K59:K1058&lt;100001,"51-100",IF(K59:K1058&lt;150001,"101-150",IF(K59:K1058&lt;200001,"151-200",IF(K59:K1058&lt;250001,"201-250","above 250")))))</f>
      </c>
      <c r="M59" s="57">
        <v>0</v>
      </c>
      <c r="N59" s="45" t="s">
        <v>15</v>
      </c>
      <c r="O59" s="45" t="s">
        <v>55</v>
      </c>
      <c r="P59" s="51"/>
      <c r="Q59" s="52">
        <f>IF(ISBLANK(P59:P1058), "", DATEDIF(J59:J1058, P59:P1058, "Y"))</f>
      </c>
    </row>
    <row x14ac:dyDescent="0.25" r="60" customHeight="1" ht="15.75">
      <c r="A60" s="45" t="s">
        <v>1153</v>
      </c>
      <c r="B60" s="45" t="s">
        <v>636</v>
      </c>
      <c r="C60" s="45" t="s">
        <v>86</v>
      </c>
      <c r="D60" s="45" t="s">
        <v>30</v>
      </c>
      <c r="E60" s="45" t="s">
        <v>1094</v>
      </c>
      <c r="F60" s="45" t="s">
        <v>7</v>
      </c>
      <c r="G60" s="45" t="s">
        <v>11</v>
      </c>
      <c r="H60" s="53">
        <v>46</v>
      </c>
      <c r="I60" s="54">
        <f>IF(H60:H1059&lt;45, "Adult", IF(H60:H1059&lt;60, "Middle Age", IF(H60:H1059&lt;70, "Old", "Very Old")))</f>
      </c>
      <c r="J60" s="55">
        <v>39681</v>
      </c>
      <c r="K60" s="56">
        <v>59067</v>
      </c>
      <c r="L60" s="54">
        <f>IF(K60:K1059&lt;50000,"0-50",IF(K60:K1059&lt;100001,"51-100",IF(K60:K1059&lt;150001,"101-150",IF(K60:K1059&lt;200001,"151-200",IF(K60:K1059&lt;250001,"201-250","above 250")))))</f>
      </c>
      <c r="M60" s="57">
        <v>0</v>
      </c>
      <c r="N60" s="45" t="s">
        <v>15</v>
      </c>
      <c r="O60" s="45" t="s">
        <v>59</v>
      </c>
      <c r="P60" s="51"/>
      <c r="Q60" s="52">
        <f>IF(ISBLANK(P60:P1059), "", DATEDIF(J60:J1059, P60:P1059, "Y"))</f>
      </c>
    </row>
    <row x14ac:dyDescent="0.25" r="61" customHeight="1" ht="15.75">
      <c r="A61" s="45" t="s">
        <v>1154</v>
      </c>
      <c r="B61" s="45" t="s">
        <v>580</v>
      </c>
      <c r="C61" s="45" t="s">
        <v>132</v>
      </c>
      <c r="D61" s="45" t="s">
        <v>34</v>
      </c>
      <c r="E61" s="45" t="s">
        <v>1092</v>
      </c>
      <c r="F61" s="45" t="s">
        <v>10</v>
      </c>
      <c r="G61" s="45" t="s">
        <v>8</v>
      </c>
      <c r="H61" s="53">
        <v>45</v>
      </c>
      <c r="I61" s="54">
        <f>IF(H61:H1060&lt;45, "Adult", IF(H61:H1060&lt;60, "Middle Age", IF(H61:H1060&lt;70, "Old", "Very Old")))</f>
      </c>
      <c r="J61" s="55">
        <v>44266</v>
      </c>
      <c r="K61" s="56">
        <v>135062</v>
      </c>
      <c r="L61" s="54">
        <f>IF(K61:K1060&lt;50000,"0-50",IF(K61:K1060&lt;100001,"51-100",IF(K61:K1060&lt;150001,"101-150",IF(K61:K1060&lt;200001,"151-200",IF(K61:K1060&lt;250001,"201-250","above 250")))))</f>
      </c>
      <c r="M61" s="57">
        <v>0.15</v>
      </c>
      <c r="N61" s="45" t="s">
        <v>12</v>
      </c>
      <c r="O61" s="45" t="s">
        <v>49</v>
      </c>
      <c r="P61" s="51"/>
      <c r="Q61" s="52">
        <f>IF(ISBLANK(P61:P1060), "", DATEDIF(J61:J1060, P61:P1060, "Y"))</f>
      </c>
    </row>
    <row x14ac:dyDescent="0.25" r="62" customHeight="1" ht="15.75">
      <c r="A62" s="45" t="s">
        <v>1155</v>
      </c>
      <c r="B62" s="45" t="s">
        <v>857</v>
      </c>
      <c r="C62" s="45" t="s">
        <v>132</v>
      </c>
      <c r="D62" s="45" t="s">
        <v>32</v>
      </c>
      <c r="E62" s="45" t="s">
        <v>1100</v>
      </c>
      <c r="F62" s="45" t="s">
        <v>7</v>
      </c>
      <c r="G62" s="45" t="s">
        <v>17</v>
      </c>
      <c r="H62" s="53">
        <v>55</v>
      </c>
      <c r="I62" s="54">
        <f>IF(H62:H1061&lt;45, "Adult", IF(H62:H1061&lt;60, "Middle Age", IF(H62:H1061&lt;70, "Old", "Very Old")))</f>
      </c>
      <c r="J62" s="55">
        <v>38945</v>
      </c>
      <c r="K62" s="56">
        <v>159044</v>
      </c>
      <c r="L62" s="54">
        <f>IF(K62:K1061&lt;50000,"0-50",IF(K62:K1061&lt;100001,"51-100",IF(K62:K1061&lt;150001,"101-150",IF(K62:K1061&lt;200001,"151-200",IF(K62:K1061&lt;250001,"201-250","above 250")))))</f>
      </c>
      <c r="M62" s="57">
        <v>0.1</v>
      </c>
      <c r="N62" s="45" t="s">
        <v>9</v>
      </c>
      <c r="O62" s="45" t="s">
        <v>57</v>
      </c>
      <c r="P62" s="51"/>
      <c r="Q62" s="52">
        <f>IF(ISBLANK(P62:P1061), "", DATEDIF(J62:J1061, P62:P1061, "Y"))</f>
      </c>
    </row>
    <row x14ac:dyDescent="0.25" r="63" customHeight="1" ht="15.75">
      <c r="A63" s="45" t="s">
        <v>1156</v>
      </c>
      <c r="B63" s="45" t="s">
        <v>543</v>
      </c>
      <c r="C63" s="45" t="s">
        <v>128</v>
      </c>
      <c r="D63" s="45" t="s">
        <v>24</v>
      </c>
      <c r="E63" s="45" t="s">
        <v>1094</v>
      </c>
      <c r="F63" s="45" t="s">
        <v>7</v>
      </c>
      <c r="G63" s="45" t="s">
        <v>17</v>
      </c>
      <c r="H63" s="53">
        <v>44</v>
      </c>
      <c r="I63" s="54">
        <f>IF(H63:H1062&lt;45, "Adult", IF(H63:H1062&lt;60, "Middle Age", IF(H63:H1062&lt;70, "Old", "Very Old")))</f>
      </c>
      <c r="J63" s="55">
        <v>43467</v>
      </c>
      <c r="K63" s="56">
        <v>74691</v>
      </c>
      <c r="L63" s="54">
        <f>IF(K63:K1062&lt;50000,"0-50",IF(K63:K1062&lt;100001,"51-100",IF(K63:K1062&lt;150001,"101-150",IF(K63:K1062&lt;200001,"151-200",IF(K63:K1062&lt;250001,"201-250","above 250")))))</f>
      </c>
      <c r="M63" s="57">
        <v>0</v>
      </c>
      <c r="N63" s="45" t="s">
        <v>9</v>
      </c>
      <c r="O63" s="45" t="s">
        <v>57</v>
      </c>
      <c r="P63" s="58">
        <v>44020</v>
      </c>
      <c r="Q63" s="53">
        <f>IF(ISBLANK(P63:P1062), "", DATEDIF(J63:J1062, P63:P1062, "Y"))</f>
      </c>
    </row>
    <row x14ac:dyDescent="0.25" r="64" customHeight="1" ht="15.75">
      <c r="A64" s="45" t="s">
        <v>1157</v>
      </c>
      <c r="B64" s="45" t="s">
        <v>542</v>
      </c>
      <c r="C64" s="45" t="s">
        <v>98</v>
      </c>
      <c r="D64" s="45" t="s">
        <v>26</v>
      </c>
      <c r="E64" s="45" t="s">
        <v>1100</v>
      </c>
      <c r="F64" s="45" t="s">
        <v>7</v>
      </c>
      <c r="G64" s="45" t="s">
        <v>17</v>
      </c>
      <c r="H64" s="53">
        <v>44</v>
      </c>
      <c r="I64" s="54">
        <f>IF(H64:H1063&lt;45, "Adult", IF(H64:H1063&lt;60, "Middle Age", IF(H64:H1063&lt;70, "Old", "Very Old")))</f>
      </c>
      <c r="J64" s="55">
        <v>39800</v>
      </c>
      <c r="K64" s="56">
        <v>92753</v>
      </c>
      <c r="L64" s="54">
        <f>IF(K64:K1063&lt;50000,"0-50",IF(K64:K1063&lt;100001,"51-100",IF(K64:K1063&lt;150001,"101-150",IF(K64:K1063&lt;200001,"151-200",IF(K64:K1063&lt;250001,"201-250","above 250")))))</f>
      </c>
      <c r="M64" s="57">
        <v>0.13</v>
      </c>
      <c r="N64" s="45" t="s">
        <v>15</v>
      </c>
      <c r="O64" s="45" t="s">
        <v>42</v>
      </c>
      <c r="P64" s="58">
        <v>44371</v>
      </c>
      <c r="Q64" s="53">
        <f>IF(ISBLANK(P64:P1063), "", DATEDIF(J64:J1063, P64:P1063, "Y"))</f>
      </c>
    </row>
    <row x14ac:dyDescent="0.25" r="65" customHeight="1" ht="15.75">
      <c r="A65" s="45" t="s">
        <v>1158</v>
      </c>
      <c r="B65" s="45" t="s">
        <v>578</v>
      </c>
      <c r="C65" s="45" t="s">
        <v>142</v>
      </c>
      <c r="D65" s="45" t="s">
        <v>30</v>
      </c>
      <c r="E65" s="45" t="s">
        <v>1096</v>
      </c>
      <c r="F65" s="45" t="s">
        <v>10</v>
      </c>
      <c r="G65" s="45" t="s">
        <v>11</v>
      </c>
      <c r="H65" s="53">
        <v>45</v>
      </c>
      <c r="I65" s="54">
        <f>IF(H65:H1064&lt;45, "Adult", IF(H65:H1064&lt;60, "Middle Age", IF(H65:H1064&lt;70, "Old", "Very Old")))</f>
      </c>
      <c r="J65" s="55">
        <v>41493</v>
      </c>
      <c r="K65" s="56">
        <v>236946</v>
      </c>
      <c r="L65" s="54">
        <f>IF(K65:K1064&lt;50000,"0-50",IF(K65:K1064&lt;100001,"51-100",IF(K65:K1064&lt;150001,"101-150",IF(K65:K1064&lt;200001,"151-200",IF(K65:K1064&lt;250001,"201-250","above 250")))))</f>
      </c>
      <c r="M65" s="57">
        <v>0.37</v>
      </c>
      <c r="N65" s="45" t="s">
        <v>15</v>
      </c>
      <c r="O65" s="45" t="s">
        <v>67</v>
      </c>
      <c r="P65" s="51"/>
      <c r="Q65" s="52">
        <f>IF(ISBLANK(P65:P1064), "", DATEDIF(J65:J1064, P65:P1064, "Y"))</f>
      </c>
    </row>
    <row x14ac:dyDescent="0.25" r="66" customHeight="1" ht="15.75">
      <c r="A66" s="45" t="s">
        <v>1159</v>
      </c>
      <c r="B66" s="45" t="s">
        <v>361</v>
      </c>
      <c r="C66" s="45" t="s">
        <v>80</v>
      </c>
      <c r="D66" s="45" t="s">
        <v>28</v>
      </c>
      <c r="E66" s="45" t="s">
        <v>1100</v>
      </c>
      <c r="F66" s="45" t="s">
        <v>7</v>
      </c>
      <c r="G66" s="45" t="s">
        <v>11</v>
      </c>
      <c r="H66" s="53">
        <v>36</v>
      </c>
      <c r="I66" s="54">
        <f>IF(H66:H1065&lt;45, "Adult", IF(H66:H1065&lt;60, "Middle Age", IF(H66:H1065&lt;70, "Old", "Very Old")))</f>
      </c>
      <c r="J66" s="55">
        <v>44435</v>
      </c>
      <c r="K66" s="56">
        <v>48906</v>
      </c>
      <c r="L66" s="54">
        <f>IF(K66:K1065&lt;50000,"0-50",IF(K66:K1065&lt;100001,"51-100",IF(K66:K1065&lt;150001,"101-150",IF(K66:K1065&lt;200001,"151-200",IF(K66:K1065&lt;250001,"201-250","above 250")))))</f>
      </c>
      <c r="M66" s="57">
        <v>0</v>
      </c>
      <c r="N66" s="45" t="s">
        <v>15</v>
      </c>
      <c r="O66" s="45" t="s">
        <v>59</v>
      </c>
      <c r="P66" s="51"/>
      <c r="Q66" s="52">
        <f>IF(ISBLANK(P66:P1065), "", DATEDIF(J66:J1065, P66:P1065, "Y"))</f>
      </c>
    </row>
    <row x14ac:dyDescent="0.25" r="67" customHeight="1" ht="15.75">
      <c r="A67" s="45" t="s">
        <v>1160</v>
      </c>
      <c r="B67" s="45" t="s">
        <v>411</v>
      </c>
      <c r="C67" s="45" t="s">
        <v>128</v>
      </c>
      <c r="D67" s="45" t="s">
        <v>36</v>
      </c>
      <c r="E67" s="45" t="s">
        <v>1100</v>
      </c>
      <c r="F67" s="45" t="s">
        <v>7</v>
      </c>
      <c r="G67" s="45" t="s">
        <v>14</v>
      </c>
      <c r="H67" s="53">
        <v>38</v>
      </c>
      <c r="I67" s="54">
        <f>IF(H67:H1066&lt;45, "Adult", IF(H67:H1066&lt;60, "Middle Age", IF(H67:H1066&lt;70, "Old", "Very Old")))</f>
      </c>
      <c r="J67" s="55">
        <v>39474</v>
      </c>
      <c r="K67" s="56">
        <v>80024</v>
      </c>
      <c r="L67" s="54">
        <f>IF(K67:K1066&lt;50000,"0-50",IF(K67:K1066&lt;100001,"51-100",IF(K67:K1066&lt;150001,"101-150",IF(K67:K1066&lt;200001,"151-200",IF(K67:K1066&lt;250001,"201-250","above 250")))))</f>
      </c>
      <c r="M67" s="57">
        <v>0</v>
      </c>
      <c r="N67" s="45" t="s">
        <v>15</v>
      </c>
      <c r="O67" s="45" t="s">
        <v>55</v>
      </c>
      <c r="P67" s="51"/>
      <c r="Q67" s="52">
        <f>IF(ISBLANK(P67:P1066), "", DATEDIF(J67:J1066, P67:P1066, "Y"))</f>
      </c>
    </row>
    <row x14ac:dyDescent="0.25" r="68" customHeight="1" ht="15.75">
      <c r="A68" s="45" t="s">
        <v>1161</v>
      </c>
      <c r="B68" s="45" t="s">
        <v>779</v>
      </c>
      <c r="C68" s="45" t="s">
        <v>104</v>
      </c>
      <c r="D68" s="45" t="s">
        <v>30</v>
      </c>
      <c r="E68" s="45" t="s">
        <v>1096</v>
      </c>
      <c r="F68" s="45" t="s">
        <v>7</v>
      </c>
      <c r="G68" s="45" t="s">
        <v>14</v>
      </c>
      <c r="H68" s="53">
        <v>41</v>
      </c>
      <c r="I68" s="54">
        <f>IF(H68:H1067&lt;45, "Adult", IF(H68:H1067&lt;60, "Middle Age", IF(H68:H1067&lt;70, "Old", "Very Old")))</f>
      </c>
      <c r="J68" s="55">
        <v>40109</v>
      </c>
      <c r="K68" s="56">
        <v>54415</v>
      </c>
      <c r="L68" s="54">
        <f>IF(K68:K1067&lt;50000,"0-50",IF(K68:K1067&lt;100001,"51-100",IF(K68:K1067&lt;150001,"101-150",IF(K68:K1067&lt;200001,"151-200",IF(K68:K1067&lt;250001,"201-250","above 250")))))</f>
      </c>
      <c r="M68" s="57">
        <v>0</v>
      </c>
      <c r="N68" s="45" t="s">
        <v>15</v>
      </c>
      <c r="O68" s="45" t="s">
        <v>67</v>
      </c>
      <c r="P68" s="58">
        <v>41661</v>
      </c>
      <c r="Q68" s="53">
        <f>IF(ISBLANK(P68:P1067), "", DATEDIF(J68:J1067, P68:P1067, "Y"))</f>
      </c>
    </row>
    <row x14ac:dyDescent="0.25" r="69" customHeight="1" ht="15.75">
      <c r="A69" s="45" t="s">
        <v>1162</v>
      </c>
      <c r="B69" s="45" t="s">
        <v>215</v>
      </c>
      <c r="C69" s="45" t="s">
        <v>110</v>
      </c>
      <c r="D69" s="45" t="s">
        <v>34</v>
      </c>
      <c r="E69" s="45" t="s">
        <v>1092</v>
      </c>
      <c r="F69" s="45" t="s">
        <v>7</v>
      </c>
      <c r="G69" s="45" t="s">
        <v>8</v>
      </c>
      <c r="H69" s="53">
        <v>30</v>
      </c>
      <c r="I69" s="54">
        <f>IF(H69:H1068&lt;45, "Adult", IF(H69:H1068&lt;60, "Middle Age", IF(H69:H1068&lt;70, "Old", "Very Old")))</f>
      </c>
      <c r="J69" s="55">
        <v>42484</v>
      </c>
      <c r="K69" s="56">
        <v>120341</v>
      </c>
      <c r="L69" s="54">
        <f>IF(K69:K1068&lt;50000,"0-50",IF(K69:K1068&lt;100001,"51-100",IF(K69:K1068&lt;150001,"101-150",IF(K69:K1068&lt;200001,"151-200",IF(K69:K1068&lt;250001,"201-250","above 250")))))</f>
      </c>
      <c r="M69" s="57">
        <v>0.07</v>
      </c>
      <c r="N69" s="45" t="s">
        <v>15</v>
      </c>
      <c r="O69" s="45" t="s">
        <v>67</v>
      </c>
      <c r="P69" s="51"/>
      <c r="Q69" s="52">
        <f>IF(ISBLANK(P69:P1068), "", DATEDIF(J69:J1068, P69:P1068, "Y"))</f>
      </c>
    </row>
    <row x14ac:dyDescent="0.25" r="70" customHeight="1" ht="15.75">
      <c r="A70" s="45" t="s">
        <v>1163</v>
      </c>
      <c r="B70" s="45" t="s">
        <v>526</v>
      </c>
      <c r="C70" s="45" t="s">
        <v>142</v>
      </c>
      <c r="D70" s="45" t="s">
        <v>32</v>
      </c>
      <c r="E70" s="45" t="s">
        <v>1096</v>
      </c>
      <c r="F70" s="45" t="s">
        <v>7</v>
      </c>
      <c r="G70" s="45" t="s">
        <v>17</v>
      </c>
      <c r="H70" s="53">
        <v>43</v>
      </c>
      <c r="I70" s="54">
        <f>IF(H70:H1069&lt;45, "Adult", IF(H70:H1069&lt;60, "Middle Age", IF(H70:H1069&lt;70, "Old", "Very Old")))</f>
      </c>
      <c r="J70" s="55">
        <v>40029</v>
      </c>
      <c r="K70" s="56">
        <v>208415</v>
      </c>
      <c r="L70" s="54">
        <f>IF(K70:K1069&lt;50000,"0-50",IF(K70:K1069&lt;100001,"51-100",IF(K70:K1069&lt;150001,"101-150",IF(K70:K1069&lt;200001,"151-200",IF(K70:K1069&lt;250001,"201-250","above 250")))))</f>
      </c>
      <c r="M70" s="57">
        <v>0.35</v>
      </c>
      <c r="N70" s="45" t="s">
        <v>15</v>
      </c>
      <c r="O70" s="45" t="s">
        <v>67</v>
      </c>
      <c r="P70" s="51"/>
      <c r="Q70" s="52">
        <f>IF(ISBLANK(P70:P1069), "", DATEDIF(J70:J1069, P70:P1069, "Y"))</f>
      </c>
    </row>
    <row x14ac:dyDescent="0.25" r="71" customHeight="1" ht="15.75">
      <c r="A71" s="45" t="s">
        <v>1164</v>
      </c>
      <c r="B71" s="45" t="s">
        <v>270</v>
      </c>
      <c r="C71" s="45" t="s">
        <v>88</v>
      </c>
      <c r="D71" s="45" t="s">
        <v>32</v>
      </c>
      <c r="E71" s="45" t="s">
        <v>1096</v>
      </c>
      <c r="F71" s="45" t="s">
        <v>7</v>
      </c>
      <c r="G71" s="45" t="s">
        <v>8</v>
      </c>
      <c r="H71" s="53">
        <v>32</v>
      </c>
      <c r="I71" s="54">
        <f>IF(H71:H1070&lt;45, "Adult", IF(H71:H1070&lt;60, "Middle Age", IF(H71:H1070&lt;70, "Old", "Very Old")))</f>
      </c>
      <c r="J71" s="55">
        <v>43835</v>
      </c>
      <c r="K71" s="56">
        <v>78844</v>
      </c>
      <c r="L71" s="54">
        <f>IF(K71:K1070&lt;50000,"0-50",IF(K71:K1070&lt;100001,"51-100",IF(K71:K1070&lt;150001,"101-150",IF(K71:K1070&lt;200001,"151-200",IF(K71:K1070&lt;250001,"201-250","above 250")))))</f>
      </c>
      <c r="M71" s="57">
        <v>0</v>
      </c>
      <c r="N71" s="45" t="s">
        <v>15</v>
      </c>
      <c r="O71" s="45" t="s">
        <v>67</v>
      </c>
      <c r="P71" s="51"/>
      <c r="Q71" s="52">
        <f>IF(ISBLANK(P71:P1070), "", DATEDIF(J71:J1070, P71:P1070, "Y"))</f>
      </c>
    </row>
    <row x14ac:dyDescent="0.25" r="72" customHeight="1" ht="15.75">
      <c r="A72" s="45" t="s">
        <v>1165</v>
      </c>
      <c r="B72" s="45" t="s">
        <v>943</v>
      </c>
      <c r="C72" s="45" t="s">
        <v>102</v>
      </c>
      <c r="D72" s="45" t="s">
        <v>26</v>
      </c>
      <c r="E72" s="45" t="s">
        <v>1094</v>
      </c>
      <c r="F72" s="45" t="s">
        <v>10</v>
      </c>
      <c r="G72" s="45" t="s">
        <v>14</v>
      </c>
      <c r="H72" s="53">
        <v>58</v>
      </c>
      <c r="I72" s="54">
        <f>IF(H72:H1071&lt;45, "Adult", IF(H72:H1071&lt;60, "Middle Age", IF(H72:H1071&lt;70, "Old", "Very Old")))</f>
      </c>
      <c r="J72" s="55">
        <v>37399</v>
      </c>
      <c r="K72" s="56">
        <v>76354</v>
      </c>
      <c r="L72" s="54">
        <f>IF(K72:K1071&lt;50000,"0-50",IF(K72:K1071&lt;100001,"51-100",IF(K72:K1071&lt;150001,"101-150",IF(K72:K1071&lt;200001,"151-200",IF(K72:K1071&lt;250001,"201-250","above 250")))))</f>
      </c>
      <c r="M72" s="57">
        <v>0</v>
      </c>
      <c r="N72" s="45" t="s">
        <v>15</v>
      </c>
      <c r="O72" s="45" t="s">
        <v>61</v>
      </c>
      <c r="P72" s="58">
        <v>44465</v>
      </c>
      <c r="Q72" s="53">
        <f>IF(ISBLANK(P72:P1071), "", DATEDIF(J72:J1071, P72:P1071, "Y"))</f>
      </c>
    </row>
    <row x14ac:dyDescent="0.25" r="73" customHeight="1" ht="15.75">
      <c r="A73" s="45" t="s">
        <v>1166</v>
      </c>
      <c r="B73" s="45" t="s">
        <v>382</v>
      </c>
      <c r="C73" s="45" t="s">
        <v>96</v>
      </c>
      <c r="D73" s="45" t="s">
        <v>28</v>
      </c>
      <c r="E73" s="45" t="s">
        <v>1096</v>
      </c>
      <c r="F73" s="45" t="s">
        <v>7</v>
      </c>
      <c r="G73" s="45" t="s">
        <v>17</v>
      </c>
      <c r="H73" s="53">
        <v>37</v>
      </c>
      <c r="I73" s="54">
        <f>IF(H73:H1072&lt;45, "Adult", IF(H73:H1072&lt;60, "Middle Age", IF(H73:H1072&lt;70, "Old", "Very Old")))</f>
      </c>
      <c r="J73" s="55">
        <v>43493</v>
      </c>
      <c r="K73" s="56">
        <v>165927</v>
      </c>
      <c r="L73" s="54">
        <f>IF(K73:K1072&lt;50000,"0-50",IF(K73:K1072&lt;100001,"51-100",IF(K73:K1072&lt;150001,"101-150",IF(K73:K1072&lt;200001,"151-200",IF(K73:K1072&lt;250001,"201-250","above 250")))))</f>
      </c>
      <c r="M73" s="57">
        <v>0.2</v>
      </c>
      <c r="N73" s="45" t="s">
        <v>15</v>
      </c>
      <c r="O73" s="45" t="s">
        <v>61</v>
      </c>
      <c r="P73" s="51"/>
      <c r="Q73" s="52">
        <f>IF(ISBLANK(P73:P1072), "", DATEDIF(J73:J1072, P73:P1072, "Y"))</f>
      </c>
    </row>
    <row x14ac:dyDescent="0.25" r="74" customHeight="1" ht="15.75">
      <c r="A74" s="45" t="s">
        <v>1167</v>
      </c>
      <c r="B74" s="45" t="s">
        <v>413</v>
      </c>
      <c r="C74" s="45" t="s">
        <v>110</v>
      </c>
      <c r="D74" s="45" t="s">
        <v>24</v>
      </c>
      <c r="E74" s="45" t="s">
        <v>1096</v>
      </c>
      <c r="F74" s="45" t="s">
        <v>7</v>
      </c>
      <c r="G74" s="45" t="s">
        <v>17</v>
      </c>
      <c r="H74" s="53">
        <v>38</v>
      </c>
      <c r="I74" s="54">
        <f>IF(H74:H1073&lt;45, "Adult", IF(H74:H1073&lt;60, "Middle Age", IF(H74:H1073&lt;70, "Old", "Very Old")))</f>
      </c>
      <c r="J74" s="55">
        <v>44516</v>
      </c>
      <c r="K74" s="56">
        <v>109812</v>
      </c>
      <c r="L74" s="54">
        <f>IF(K74:K1073&lt;50000,"0-50",IF(K74:K1073&lt;100001,"51-100",IF(K74:K1073&lt;150001,"101-150",IF(K74:K1073&lt;200001,"151-200",IF(K74:K1073&lt;250001,"201-250","above 250")))))</f>
      </c>
      <c r="M74" s="57">
        <v>0.09</v>
      </c>
      <c r="N74" s="45" t="s">
        <v>9</v>
      </c>
      <c r="O74" s="45" t="s">
        <v>57</v>
      </c>
      <c r="P74" s="51"/>
      <c r="Q74" s="52">
        <f>IF(ISBLANK(P74:P1073), "", DATEDIF(J74:J1073, P74:P1073, "Y"))</f>
      </c>
    </row>
    <row x14ac:dyDescent="0.25" r="75" customHeight="1" ht="15.75">
      <c r="A75" s="45" t="s">
        <v>1168</v>
      </c>
      <c r="B75" s="45" t="s">
        <v>869</v>
      </c>
      <c r="C75" s="45" t="s">
        <v>92</v>
      </c>
      <c r="D75" s="45" t="s">
        <v>26</v>
      </c>
      <c r="E75" s="45" t="s">
        <v>1100</v>
      </c>
      <c r="F75" s="45" t="s">
        <v>10</v>
      </c>
      <c r="G75" s="45" t="s">
        <v>8</v>
      </c>
      <c r="H75" s="53">
        <v>55</v>
      </c>
      <c r="I75" s="54">
        <f>IF(H75:H1074&lt;45, "Adult", IF(H75:H1074&lt;60, "Middle Age", IF(H75:H1074&lt;70, "Old", "Very Old")))</f>
      </c>
      <c r="J75" s="55">
        <v>36041</v>
      </c>
      <c r="K75" s="56">
        <v>86299</v>
      </c>
      <c r="L75" s="54">
        <f>IF(K75:K1074&lt;50000,"0-50",IF(K75:K1074&lt;100001,"51-100",IF(K75:K1074&lt;150001,"101-150",IF(K75:K1074&lt;200001,"151-200",IF(K75:K1074&lt;250001,"201-250","above 250")))))</f>
      </c>
      <c r="M75" s="57">
        <v>0</v>
      </c>
      <c r="N75" s="45" t="s">
        <v>15</v>
      </c>
      <c r="O75" s="45" t="s">
        <v>67</v>
      </c>
      <c r="P75" s="51"/>
      <c r="Q75" s="52">
        <f>IF(ISBLANK(P75:P1074), "", DATEDIF(J75:J1074, P75:P1074, "Y"))</f>
      </c>
    </row>
    <row x14ac:dyDescent="0.25" r="76" customHeight="1" ht="15.75">
      <c r="A76" s="45" t="s">
        <v>1169</v>
      </c>
      <c r="B76" s="45" t="s">
        <v>922</v>
      </c>
      <c r="C76" s="45" t="s">
        <v>142</v>
      </c>
      <c r="D76" s="45" t="s">
        <v>34</v>
      </c>
      <c r="E76" s="45" t="s">
        <v>1092</v>
      </c>
      <c r="F76" s="45" t="s">
        <v>10</v>
      </c>
      <c r="G76" s="45" t="s">
        <v>17</v>
      </c>
      <c r="H76" s="53">
        <v>57</v>
      </c>
      <c r="I76" s="54">
        <f>IF(H76:H1075&lt;45, "Adult", IF(H76:H1075&lt;60, "Middle Age", IF(H76:H1075&lt;70, "Old", "Very Old")))</f>
      </c>
      <c r="J76" s="55">
        <v>37828</v>
      </c>
      <c r="K76" s="56">
        <v>206624</v>
      </c>
      <c r="L76" s="54">
        <f>IF(K76:K1075&lt;50000,"0-50",IF(K76:K1075&lt;100001,"51-100",IF(K76:K1075&lt;150001,"101-150",IF(K76:K1075&lt;200001,"151-200",IF(K76:K1075&lt;250001,"201-250","above 250")))))</f>
      </c>
      <c r="M76" s="57">
        <v>0.4</v>
      </c>
      <c r="N76" s="45" t="s">
        <v>9</v>
      </c>
      <c r="O76" s="45" t="s">
        <v>65</v>
      </c>
      <c r="P76" s="51"/>
      <c r="Q76" s="52">
        <f>IF(ISBLANK(P76:P1075), "", DATEDIF(J76:J1075, P76:P1075, "Y"))</f>
      </c>
    </row>
    <row x14ac:dyDescent="0.25" r="77" customHeight="1" ht="15.75">
      <c r="A77" s="45" t="s">
        <v>1170</v>
      </c>
      <c r="B77" s="45" t="s">
        <v>360</v>
      </c>
      <c r="C77" s="45" t="s">
        <v>106</v>
      </c>
      <c r="D77" s="45" t="s">
        <v>32</v>
      </c>
      <c r="E77" s="45" t="s">
        <v>1094</v>
      </c>
      <c r="F77" s="45" t="s">
        <v>10</v>
      </c>
      <c r="G77" s="45" t="s">
        <v>17</v>
      </c>
      <c r="H77" s="53">
        <v>36</v>
      </c>
      <c r="I77" s="54">
        <f>IF(H77:H1076&lt;45, "Adult", IF(H77:H1076&lt;60, "Middle Age", IF(H77:H1076&lt;70, "Old", "Very Old")))</f>
      </c>
      <c r="J77" s="55">
        <v>40535</v>
      </c>
      <c r="K77" s="56">
        <v>53215</v>
      </c>
      <c r="L77" s="54">
        <f>IF(K77:K1076&lt;50000,"0-50",IF(K77:K1076&lt;100001,"51-100",IF(K77:K1076&lt;150001,"101-150",IF(K77:K1076&lt;200001,"151-200",IF(K77:K1076&lt;250001,"201-250","above 250")))))</f>
      </c>
      <c r="M77" s="57">
        <v>0</v>
      </c>
      <c r="N77" s="45" t="s">
        <v>9</v>
      </c>
      <c r="O77" s="45" t="s">
        <v>65</v>
      </c>
      <c r="P77" s="58">
        <v>41725</v>
      </c>
      <c r="Q77" s="53">
        <f>IF(ISBLANK(P77:P1076), "", DATEDIF(J77:J1076, P77:P1076, "Y"))</f>
      </c>
    </row>
    <row x14ac:dyDescent="0.25" r="78" customHeight="1" ht="15.75">
      <c r="A78" s="45" t="s">
        <v>1171</v>
      </c>
      <c r="B78" s="45" t="s">
        <v>221</v>
      </c>
      <c r="C78" s="45" t="s">
        <v>140</v>
      </c>
      <c r="D78" s="45" t="s">
        <v>26</v>
      </c>
      <c r="E78" s="45" t="s">
        <v>1092</v>
      </c>
      <c r="F78" s="45" t="s">
        <v>7</v>
      </c>
      <c r="G78" s="45" t="s">
        <v>8</v>
      </c>
      <c r="H78" s="53">
        <v>30</v>
      </c>
      <c r="I78" s="54">
        <f>IF(H78:H1077&lt;45, "Adult", IF(H78:H1077&lt;60, "Middle Age", IF(H78:H1077&lt;70, "Old", "Very Old")))</f>
      </c>
      <c r="J78" s="55">
        <v>42877</v>
      </c>
      <c r="K78" s="56">
        <v>86858</v>
      </c>
      <c r="L78" s="54">
        <f>IF(K78:K1077&lt;50000,"0-50",IF(K78:K1077&lt;100001,"51-100",IF(K78:K1077&lt;150001,"101-150",IF(K78:K1077&lt;200001,"151-200",IF(K78:K1077&lt;250001,"201-250","above 250")))))</f>
      </c>
      <c r="M78" s="57">
        <v>0</v>
      </c>
      <c r="N78" s="45" t="s">
        <v>12</v>
      </c>
      <c r="O78" s="45" t="s">
        <v>53</v>
      </c>
      <c r="P78" s="58">
        <v>43016</v>
      </c>
      <c r="Q78" s="53">
        <f>IF(ISBLANK(P78:P1077), "", DATEDIF(J78:J1077, P78:P1077, "Y"))</f>
      </c>
    </row>
    <row x14ac:dyDescent="0.25" r="79" customHeight="1" ht="15.75">
      <c r="A79" s="45" t="s">
        <v>1172</v>
      </c>
      <c r="B79" s="45" t="s">
        <v>452</v>
      </c>
      <c r="C79" s="45" t="s">
        <v>90</v>
      </c>
      <c r="D79" s="45" t="s">
        <v>32</v>
      </c>
      <c r="E79" s="45" t="s">
        <v>1094</v>
      </c>
      <c r="F79" s="45" t="s">
        <v>10</v>
      </c>
      <c r="G79" s="45" t="s">
        <v>8</v>
      </c>
      <c r="H79" s="53">
        <v>40</v>
      </c>
      <c r="I79" s="54">
        <f>IF(H79:H1078&lt;45, "Adult", IF(H79:H1078&lt;60, "Middle Age", IF(H79:H1078&lt;70, "Old", "Very Old")))</f>
      </c>
      <c r="J79" s="55">
        <v>39265</v>
      </c>
      <c r="K79" s="56">
        <v>93971</v>
      </c>
      <c r="L79" s="54">
        <f>IF(K79:K1078&lt;50000,"0-50",IF(K79:K1078&lt;100001,"51-100",IF(K79:K1078&lt;150001,"101-150",IF(K79:K1078&lt;200001,"151-200",IF(K79:K1078&lt;250001,"201-250","above 250")))))</f>
      </c>
      <c r="M79" s="57">
        <v>0.08</v>
      </c>
      <c r="N79" s="45" t="s">
        <v>12</v>
      </c>
      <c r="O79" s="45" t="s">
        <v>53</v>
      </c>
      <c r="P79" s="51"/>
      <c r="Q79" s="52">
        <f>IF(ISBLANK(P79:P1078), "", DATEDIF(J79:J1078, P79:P1078, "Y"))</f>
      </c>
    </row>
    <row x14ac:dyDescent="0.25" r="80" customHeight="1" ht="15.75">
      <c r="A80" s="45" t="s">
        <v>1173</v>
      </c>
      <c r="B80" s="45" t="s">
        <v>316</v>
      </c>
      <c r="C80" s="45" t="s">
        <v>82</v>
      </c>
      <c r="D80" s="45" t="s">
        <v>28</v>
      </c>
      <c r="E80" s="45" t="s">
        <v>1100</v>
      </c>
      <c r="F80" s="45" t="s">
        <v>10</v>
      </c>
      <c r="G80" s="45" t="s">
        <v>17</v>
      </c>
      <c r="H80" s="53">
        <v>34</v>
      </c>
      <c r="I80" s="54">
        <f>IF(H80:H1079&lt;45, "Adult", IF(H80:H1079&lt;60, "Middle Age", IF(H80:H1079&lt;70, "Old", "Very Old")))</f>
      </c>
      <c r="J80" s="55">
        <v>42182</v>
      </c>
      <c r="K80" s="56">
        <v>57008</v>
      </c>
      <c r="L80" s="54">
        <f>IF(K80:K1079&lt;50000,"0-50",IF(K80:K1079&lt;100001,"51-100",IF(K80:K1079&lt;150001,"101-150",IF(K80:K1079&lt;200001,"151-200",IF(K80:K1079&lt;250001,"201-250","above 250")))))</f>
      </c>
      <c r="M80" s="57">
        <v>0</v>
      </c>
      <c r="N80" s="45" t="s">
        <v>15</v>
      </c>
      <c r="O80" s="45" t="s">
        <v>61</v>
      </c>
      <c r="P80" s="51"/>
      <c r="Q80" s="52">
        <f>IF(ISBLANK(P80:P1079), "", DATEDIF(J80:J1079, P80:P1079, "Y"))</f>
      </c>
    </row>
    <row x14ac:dyDescent="0.25" r="81" customHeight="1" ht="15.75">
      <c r="A81" s="45" t="s">
        <v>1174</v>
      </c>
      <c r="B81" s="45" t="s">
        <v>976</v>
      </c>
      <c r="C81" s="45" t="s">
        <v>132</v>
      </c>
      <c r="D81" s="45" t="s">
        <v>28</v>
      </c>
      <c r="E81" s="45" t="s">
        <v>1094</v>
      </c>
      <c r="F81" s="45" t="s">
        <v>10</v>
      </c>
      <c r="G81" s="45" t="s">
        <v>17</v>
      </c>
      <c r="H81" s="53">
        <v>60</v>
      </c>
      <c r="I81" s="54">
        <f>IF(H81:H1080&lt;45, "Adult", IF(H81:H1080&lt;60, "Middle Age", IF(H81:H1080&lt;70, "Old", "Very Old")))</f>
      </c>
      <c r="J81" s="55">
        <v>42270</v>
      </c>
      <c r="K81" s="56">
        <v>141899</v>
      </c>
      <c r="L81" s="54">
        <f>IF(K81:K1080&lt;50000,"0-50",IF(K81:K1080&lt;100001,"51-100",IF(K81:K1080&lt;150001,"101-150",IF(K81:K1080&lt;200001,"151-200",IF(K81:K1080&lt;250001,"201-250","above 250")))))</f>
      </c>
      <c r="M81" s="57">
        <v>0.15</v>
      </c>
      <c r="N81" s="45" t="s">
        <v>15</v>
      </c>
      <c r="O81" s="45" t="s">
        <v>61</v>
      </c>
      <c r="P81" s="51"/>
      <c r="Q81" s="52">
        <f>IF(ISBLANK(P81:P1080), "", DATEDIF(J81:J1080, P81:P1080, "Y"))</f>
      </c>
    </row>
    <row x14ac:dyDescent="0.25" r="82" customHeight="1" ht="15.75">
      <c r="A82" s="45" t="s">
        <v>1175</v>
      </c>
      <c r="B82" s="45" t="s">
        <v>478</v>
      </c>
      <c r="C82" s="45" t="s">
        <v>82</v>
      </c>
      <c r="D82" s="45" t="s">
        <v>34</v>
      </c>
      <c r="E82" s="45" t="s">
        <v>1100</v>
      </c>
      <c r="F82" s="45" t="s">
        <v>10</v>
      </c>
      <c r="G82" s="45" t="s">
        <v>11</v>
      </c>
      <c r="H82" s="53">
        <v>41</v>
      </c>
      <c r="I82" s="54">
        <f>IF(H82:H1081&lt;45, "Adult", IF(H82:H1081&lt;60, "Middle Age", IF(H82:H1081&lt;70, "Old", "Very Old")))</f>
      </c>
      <c r="J82" s="55">
        <v>42626</v>
      </c>
      <c r="K82" s="56">
        <v>64847</v>
      </c>
      <c r="L82" s="54">
        <f>IF(K82:K1081&lt;50000,"0-50",IF(K82:K1081&lt;100001,"51-100",IF(K82:K1081&lt;150001,"101-150",IF(K82:K1081&lt;200001,"151-200",IF(K82:K1081&lt;250001,"201-250","above 250")))))</f>
      </c>
      <c r="M82" s="57">
        <v>0</v>
      </c>
      <c r="N82" s="45" t="s">
        <v>15</v>
      </c>
      <c r="O82" s="45" t="s">
        <v>59</v>
      </c>
      <c r="P82" s="51"/>
      <c r="Q82" s="52">
        <f>IF(ISBLANK(P82:P1081), "", DATEDIF(J82:J1081, P82:P1081, "Y"))</f>
      </c>
    </row>
    <row x14ac:dyDescent="0.25" r="83" customHeight="1" ht="15.75">
      <c r="A83" s="45" t="s">
        <v>1176</v>
      </c>
      <c r="B83" s="45" t="s">
        <v>810</v>
      </c>
      <c r="C83" s="45" t="s">
        <v>98</v>
      </c>
      <c r="D83" s="45" t="s">
        <v>26</v>
      </c>
      <c r="E83" s="45" t="s">
        <v>1092</v>
      </c>
      <c r="F83" s="45" t="s">
        <v>10</v>
      </c>
      <c r="G83" s="45" t="s">
        <v>14</v>
      </c>
      <c r="H83" s="53">
        <v>53</v>
      </c>
      <c r="I83" s="54">
        <f>IF(H83:H1082&lt;45, "Adult", IF(H83:H1082&lt;60, "Middle Age", IF(H83:H1082&lt;70, "Old", "Very Old")))</f>
      </c>
      <c r="J83" s="55">
        <v>33702</v>
      </c>
      <c r="K83" s="56">
        <v>116878</v>
      </c>
      <c r="L83" s="54">
        <f>IF(K83:K1082&lt;50000,"0-50",IF(K83:K1082&lt;100001,"51-100",IF(K83:K1082&lt;150001,"101-150",IF(K83:K1082&lt;200001,"151-200",IF(K83:K1082&lt;250001,"201-250","above 250")))))</f>
      </c>
      <c r="M83" s="57">
        <v>0.11</v>
      </c>
      <c r="N83" s="45" t="s">
        <v>15</v>
      </c>
      <c r="O83" s="45" t="s">
        <v>59</v>
      </c>
      <c r="P83" s="51"/>
      <c r="Q83" s="52">
        <f>IF(ISBLANK(P83:P1082), "", DATEDIF(J83:J1082, P83:P1082, "Y"))</f>
      </c>
    </row>
    <row x14ac:dyDescent="0.25" r="84" customHeight="1" ht="15.75">
      <c r="A84" s="45" t="s">
        <v>1177</v>
      </c>
      <c r="B84" s="45" t="s">
        <v>573</v>
      </c>
      <c r="C84" s="45" t="s">
        <v>120</v>
      </c>
      <c r="D84" s="45" t="s">
        <v>26</v>
      </c>
      <c r="E84" s="45" t="s">
        <v>1096</v>
      </c>
      <c r="F84" s="45" t="s">
        <v>10</v>
      </c>
      <c r="G84" s="45" t="s">
        <v>11</v>
      </c>
      <c r="H84" s="53">
        <v>45</v>
      </c>
      <c r="I84" s="54">
        <f>IF(H84:H1083&lt;45, "Adult", IF(H84:H1083&lt;60, "Middle Age", IF(H84:H1083&lt;70, "Old", "Very Old")))</f>
      </c>
      <c r="J84" s="55">
        <v>38388</v>
      </c>
      <c r="K84" s="56">
        <v>70505</v>
      </c>
      <c r="L84" s="54">
        <f>IF(K84:K1083&lt;50000,"0-50",IF(K84:K1083&lt;100001,"51-100",IF(K84:K1083&lt;150001,"101-150",IF(K84:K1083&lt;200001,"151-200",IF(K84:K1083&lt;250001,"201-250","above 250")))))</f>
      </c>
      <c r="M84" s="57">
        <v>0</v>
      </c>
      <c r="N84" s="45" t="s">
        <v>15</v>
      </c>
      <c r="O84" s="45" t="s">
        <v>42</v>
      </c>
      <c r="P84" s="51"/>
      <c r="Q84" s="52">
        <f>IF(ISBLANK(P84:P1083), "", DATEDIF(J84:J1083, P84:P1083, "Y"))</f>
      </c>
    </row>
    <row x14ac:dyDescent="0.25" r="85" customHeight="1" ht="15.75">
      <c r="A85" s="45" t="s">
        <v>1178</v>
      </c>
      <c r="B85" s="45" t="s">
        <v>223</v>
      </c>
      <c r="C85" s="45" t="s">
        <v>96</v>
      </c>
      <c r="D85" s="45" t="s">
        <v>26</v>
      </c>
      <c r="E85" s="45" t="s">
        <v>1092</v>
      </c>
      <c r="F85" s="45" t="s">
        <v>7</v>
      </c>
      <c r="G85" s="45" t="s">
        <v>17</v>
      </c>
      <c r="H85" s="53">
        <v>30</v>
      </c>
      <c r="I85" s="54">
        <f>IF(H85:H1084&lt;45, "Adult", IF(H85:H1084&lt;60, "Middle Age", IF(H85:H1084&lt;70, "Old", "Very Old")))</f>
      </c>
      <c r="J85" s="55">
        <v>42512</v>
      </c>
      <c r="K85" s="56">
        <v>189702</v>
      </c>
      <c r="L85" s="54">
        <f>IF(K85:K1084&lt;50000,"0-50",IF(K85:K1084&lt;100001,"51-100",IF(K85:K1084&lt;150001,"101-150",IF(K85:K1084&lt;200001,"151-200",IF(K85:K1084&lt;250001,"201-250","above 250")))))</f>
      </c>
      <c r="M85" s="57">
        <v>0.28</v>
      </c>
      <c r="N85" s="45" t="s">
        <v>9</v>
      </c>
      <c r="O85" s="45" t="s">
        <v>57</v>
      </c>
      <c r="P85" s="58">
        <v>44186</v>
      </c>
      <c r="Q85" s="53">
        <f>IF(ISBLANK(P85:P1084), "", DATEDIF(J85:J1084, P85:P1084, "Y"))</f>
      </c>
    </row>
    <row x14ac:dyDescent="0.25" r="86" customHeight="1" ht="15.75">
      <c r="A86" s="45" t="s">
        <v>1179</v>
      </c>
      <c r="B86" s="45" t="s">
        <v>87</v>
      </c>
      <c r="C86" s="45" t="s">
        <v>96</v>
      </c>
      <c r="D86" s="45" t="s">
        <v>24</v>
      </c>
      <c r="E86" s="45" t="s">
        <v>1096</v>
      </c>
      <c r="F86" s="45" t="s">
        <v>10</v>
      </c>
      <c r="G86" s="45" t="s">
        <v>14</v>
      </c>
      <c r="H86" s="53">
        <v>26</v>
      </c>
      <c r="I86" s="54">
        <f>IF(H86:H1085&lt;45, "Adult", IF(H86:H1085&lt;60, "Middle Age", IF(H86:H1085&lt;70, "Old", "Very Old")))</f>
      </c>
      <c r="J86" s="55">
        <v>44040</v>
      </c>
      <c r="K86" s="56">
        <v>180664</v>
      </c>
      <c r="L86" s="54">
        <f>IF(K86:K1085&lt;50000,"0-50",IF(K86:K1085&lt;100001,"51-100",IF(K86:K1085&lt;150001,"101-150",IF(K86:K1085&lt;200001,"151-200",IF(K86:K1085&lt;250001,"201-250","above 250")))))</f>
      </c>
      <c r="M86" s="57">
        <v>0.27</v>
      </c>
      <c r="N86" s="45" t="s">
        <v>15</v>
      </c>
      <c r="O86" s="45" t="s">
        <v>51</v>
      </c>
      <c r="P86" s="51"/>
      <c r="Q86" s="52">
        <f>IF(ISBLANK(P86:P1085), "", DATEDIF(J86:J1085, P86:P1085, "Y"))</f>
      </c>
    </row>
    <row x14ac:dyDescent="0.25" r="87" customHeight="1" ht="15.75">
      <c r="A87" s="45" t="s">
        <v>1180</v>
      </c>
      <c r="B87" s="45" t="s">
        <v>579</v>
      </c>
      <c r="C87" s="45" t="s">
        <v>86</v>
      </c>
      <c r="D87" s="45" t="s">
        <v>30</v>
      </c>
      <c r="E87" s="45" t="s">
        <v>1094</v>
      </c>
      <c r="F87" s="45" t="s">
        <v>7</v>
      </c>
      <c r="G87" s="45" t="s">
        <v>8</v>
      </c>
      <c r="H87" s="53">
        <v>45</v>
      </c>
      <c r="I87" s="54">
        <f>IF(H87:H1086&lt;45, "Adult", IF(H87:H1086&lt;60, "Middle Age", IF(H87:H1086&lt;70, "Old", "Very Old")))</f>
      </c>
      <c r="J87" s="55">
        <v>37972</v>
      </c>
      <c r="K87" s="56">
        <v>48345</v>
      </c>
      <c r="L87" s="54">
        <f>IF(K87:K1086&lt;50000,"0-50",IF(K87:K1086&lt;100001,"51-100",IF(K87:K1086&lt;150001,"101-150",IF(K87:K1086&lt;200001,"151-200",IF(K87:K1086&lt;250001,"201-250","above 250")))))</f>
      </c>
      <c r="M87" s="57">
        <v>0</v>
      </c>
      <c r="N87" s="45" t="s">
        <v>12</v>
      </c>
      <c r="O87" s="45" t="s">
        <v>49</v>
      </c>
      <c r="P87" s="51"/>
      <c r="Q87" s="52">
        <f>IF(ISBLANK(P87:P1086), "", DATEDIF(J87:J1086, P87:P1086, "Y"))</f>
      </c>
    </row>
    <row x14ac:dyDescent="0.25" r="88" customHeight="1" ht="15.75">
      <c r="A88" s="45" t="s">
        <v>1181</v>
      </c>
      <c r="B88" s="45" t="s">
        <v>500</v>
      </c>
      <c r="C88" s="45" t="s">
        <v>96</v>
      </c>
      <c r="D88" s="45" t="s">
        <v>30</v>
      </c>
      <c r="E88" s="45" t="s">
        <v>1094</v>
      </c>
      <c r="F88" s="45" t="s">
        <v>10</v>
      </c>
      <c r="G88" s="45" t="s">
        <v>8</v>
      </c>
      <c r="H88" s="53">
        <v>42</v>
      </c>
      <c r="I88" s="54">
        <f>IF(H88:H1087&lt;45, "Adult", IF(H88:H1087&lt;60, "Middle Age", IF(H88:H1087&lt;70, "Old", "Very Old")))</f>
      </c>
      <c r="J88" s="55">
        <v>41655</v>
      </c>
      <c r="K88" s="56">
        <v>152214</v>
      </c>
      <c r="L88" s="54">
        <f>IF(K88:K1087&lt;50000,"0-50",IF(K88:K1087&lt;100001,"51-100",IF(K88:K1087&lt;150001,"101-150",IF(K88:K1087&lt;200001,"151-200",IF(K88:K1087&lt;250001,"201-250","above 250")))))</f>
      </c>
      <c r="M88" s="57">
        <v>0.3</v>
      </c>
      <c r="N88" s="45" t="s">
        <v>12</v>
      </c>
      <c r="O88" s="45" t="s">
        <v>47</v>
      </c>
      <c r="P88" s="51"/>
      <c r="Q88" s="52">
        <f>IF(ISBLANK(P88:P1087), "", DATEDIF(J88:J1087, P88:P1087, "Y"))</f>
      </c>
    </row>
    <row x14ac:dyDescent="0.25" r="89" customHeight="1" ht="15.75">
      <c r="A89" s="45" t="s">
        <v>1182</v>
      </c>
      <c r="B89" s="45" t="s">
        <v>479</v>
      </c>
      <c r="C89" s="45" t="s">
        <v>88</v>
      </c>
      <c r="D89" s="45" t="s">
        <v>32</v>
      </c>
      <c r="E89" s="45" t="s">
        <v>1100</v>
      </c>
      <c r="F89" s="45" t="s">
        <v>7</v>
      </c>
      <c r="G89" s="45" t="s">
        <v>17</v>
      </c>
      <c r="H89" s="53">
        <v>41</v>
      </c>
      <c r="I89" s="54">
        <f>IF(H89:H1088&lt;45, "Adult", IF(H89:H1088&lt;60, "Middle Age", IF(H89:H1088&lt;70, "Old", "Very Old")))</f>
      </c>
      <c r="J89" s="55">
        <v>39931</v>
      </c>
      <c r="K89" s="56">
        <v>69803</v>
      </c>
      <c r="L89" s="54">
        <f>IF(K89:K1088&lt;50000,"0-50",IF(K89:K1088&lt;100001,"51-100",IF(K89:K1088&lt;150001,"101-150",IF(K89:K1088&lt;200001,"151-200",IF(K89:K1088&lt;250001,"201-250","above 250")))))</f>
      </c>
      <c r="M89" s="57">
        <v>0</v>
      </c>
      <c r="N89" s="45" t="s">
        <v>9</v>
      </c>
      <c r="O89" s="45" t="s">
        <v>57</v>
      </c>
      <c r="P89" s="51"/>
      <c r="Q89" s="52">
        <f>IF(ISBLANK(P89:P1088), "", DATEDIF(J89:J1088, P89:P1088, "Y"))</f>
      </c>
    </row>
    <row x14ac:dyDescent="0.25" r="90" customHeight="1" ht="15.75">
      <c r="A90" s="45" t="s">
        <v>1183</v>
      </c>
      <c r="B90" s="45" t="s">
        <v>689</v>
      </c>
      <c r="C90" s="45" t="s">
        <v>114</v>
      </c>
      <c r="D90" s="45" t="s">
        <v>32</v>
      </c>
      <c r="E90" s="45" t="s">
        <v>1100</v>
      </c>
      <c r="F90" s="45" t="s">
        <v>7</v>
      </c>
      <c r="G90" s="45" t="s">
        <v>17</v>
      </c>
      <c r="H90" s="53">
        <v>48</v>
      </c>
      <c r="I90" s="54">
        <f>IF(H90:H1089&lt;45, "Adult", IF(H90:H1089&lt;60, "Middle Age", IF(H90:H1089&lt;70, "Old", "Very Old")))</f>
      </c>
      <c r="J90" s="55">
        <v>43650</v>
      </c>
      <c r="K90" s="56">
        <v>76588</v>
      </c>
      <c r="L90" s="54">
        <f>IF(K90:K1089&lt;50000,"0-50",IF(K90:K1089&lt;100001,"51-100",IF(K90:K1089&lt;150001,"101-150",IF(K90:K1089&lt;200001,"151-200",IF(K90:K1089&lt;250001,"201-250","above 250")))))</f>
      </c>
      <c r="M90" s="57">
        <v>0</v>
      </c>
      <c r="N90" s="45" t="s">
        <v>9</v>
      </c>
      <c r="O90" s="45" t="s">
        <v>63</v>
      </c>
      <c r="P90" s="51"/>
      <c r="Q90" s="52">
        <f>IF(ISBLANK(P90:P1089), "", DATEDIF(J90:J1089, P90:P1089, "Y"))</f>
      </c>
    </row>
    <row x14ac:dyDescent="0.25" r="91" customHeight="1" ht="15.75">
      <c r="A91" s="45" t="s">
        <v>1184</v>
      </c>
      <c r="B91" s="45" t="s">
        <v>187</v>
      </c>
      <c r="C91" s="45" t="s">
        <v>116</v>
      </c>
      <c r="D91" s="45" t="s">
        <v>32</v>
      </c>
      <c r="E91" s="45" t="s">
        <v>1094</v>
      </c>
      <c r="F91" s="45" t="s">
        <v>10</v>
      </c>
      <c r="G91" s="45" t="s">
        <v>14</v>
      </c>
      <c r="H91" s="53">
        <v>29</v>
      </c>
      <c r="I91" s="54">
        <f>IF(H91:H1090&lt;45, "Adult", IF(H91:H1090&lt;60, "Middle Age", IF(H91:H1090&lt;70, "Old", "Very Old")))</f>
      </c>
      <c r="J91" s="55">
        <v>43444</v>
      </c>
      <c r="K91" s="56">
        <v>84596</v>
      </c>
      <c r="L91" s="54">
        <f>IF(K91:K1090&lt;50000,"0-50",IF(K91:K1090&lt;100001,"51-100",IF(K91:K1090&lt;150001,"101-150",IF(K91:K1090&lt;200001,"151-200",IF(K91:K1090&lt;250001,"201-250","above 250")))))</f>
      </c>
      <c r="M91" s="57">
        <v>0</v>
      </c>
      <c r="N91" s="45" t="s">
        <v>15</v>
      </c>
      <c r="O91" s="45" t="s">
        <v>59</v>
      </c>
      <c r="P91" s="51"/>
      <c r="Q91" s="52">
        <f>IF(ISBLANK(P91:P1090), "", DATEDIF(J91:J1090, P91:P1090, "Y"))</f>
      </c>
    </row>
    <row x14ac:dyDescent="0.25" r="92" customHeight="1" ht="15.75">
      <c r="A92" s="45" t="s">
        <v>1185</v>
      </c>
      <c r="B92" s="45" t="s">
        <v>129</v>
      </c>
      <c r="C92" s="45" t="s">
        <v>110</v>
      </c>
      <c r="D92" s="45" t="s">
        <v>34</v>
      </c>
      <c r="E92" s="45" t="s">
        <v>1092</v>
      </c>
      <c r="F92" s="45" t="s">
        <v>10</v>
      </c>
      <c r="G92" s="45" t="s">
        <v>8</v>
      </c>
      <c r="H92" s="53">
        <v>27</v>
      </c>
      <c r="I92" s="54">
        <f>IF(H92:H1091&lt;45, "Adult", IF(H92:H1091&lt;60, "Middle Age", IF(H92:H1091&lt;70, "Old", "Very Old")))</f>
      </c>
      <c r="J92" s="55">
        <v>43368</v>
      </c>
      <c r="K92" s="56">
        <v>114441</v>
      </c>
      <c r="L92" s="54">
        <f>IF(K92:K1091&lt;50000,"0-50",IF(K92:K1091&lt;100001,"51-100",IF(K92:K1091&lt;150001,"101-150",IF(K92:K1091&lt;200001,"151-200",IF(K92:K1091&lt;250001,"201-250","above 250")))))</f>
      </c>
      <c r="M92" s="57">
        <v>0.1</v>
      </c>
      <c r="N92" s="45" t="s">
        <v>12</v>
      </c>
      <c r="O92" s="45" t="s">
        <v>53</v>
      </c>
      <c r="P92" s="58">
        <v>43821</v>
      </c>
      <c r="Q92" s="53">
        <f>IF(ISBLANK(P92:P1091), "", DATEDIF(J92:J1091, P92:P1091, "Y"))</f>
      </c>
    </row>
    <row x14ac:dyDescent="0.25" r="93" customHeight="1" ht="15.75">
      <c r="A93" s="45" t="s">
        <v>1186</v>
      </c>
      <c r="B93" s="45" t="s">
        <v>286</v>
      </c>
      <c r="C93" s="45" t="s">
        <v>132</v>
      </c>
      <c r="D93" s="45" t="s">
        <v>28</v>
      </c>
      <c r="E93" s="45" t="s">
        <v>1096</v>
      </c>
      <c r="F93" s="45" t="s">
        <v>7</v>
      </c>
      <c r="G93" s="45" t="s">
        <v>8</v>
      </c>
      <c r="H93" s="53">
        <v>33</v>
      </c>
      <c r="I93" s="54">
        <f>IF(H93:H1092&lt;45, "Adult", IF(H93:H1092&lt;60, "Middle Age", IF(H93:H1092&lt;70, "Old", "Very Old")))</f>
      </c>
      <c r="J93" s="55">
        <v>43211</v>
      </c>
      <c r="K93" s="56">
        <v>140402</v>
      </c>
      <c r="L93" s="54">
        <f>IF(K93:K1092&lt;50000,"0-50",IF(K93:K1092&lt;100001,"51-100",IF(K93:K1092&lt;150001,"101-150",IF(K93:K1092&lt;200001,"151-200",IF(K93:K1092&lt;250001,"201-250","above 250")))))</f>
      </c>
      <c r="M93" s="57">
        <v>0.15</v>
      </c>
      <c r="N93" s="45" t="s">
        <v>12</v>
      </c>
      <c r="O93" s="45" t="s">
        <v>47</v>
      </c>
      <c r="P93" s="51"/>
      <c r="Q93" s="52">
        <f>IF(ISBLANK(P93:P1092), "", DATEDIF(J93:J1092, P93:P1092, "Y"))</f>
      </c>
    </row>
    <row x14ac:dyDescent="0.25" r="94" customHeight="1" ht="15.75">
      <c r="A94" s="45" t="s">
        <v>1187</v>
      </c>
      <c r="B94" s="45" t="s">
        <v>85</v>
      </c>
      <c r="C94" s="45" t="s">
        <v>82</v>
      </c>
      <c r="D94" s="45" t="s">
        <v>28</v>
      </c>
      <c r="E94" s="45" t="s">
        <v>1100</v>
      </c>
      <c r="F94" s="45" t="s">
        <v>7</v>
      </c>
      <c r="G94" s="45" t="s">
        <v>17</v>
      </c>
      <c r="H94" s="53">
        <v>26</v>
      </c>
      <c r="I94" s="54">
        <f>IF(H94:H1093&lt;45, "Adult", IF(H94:H1093&lt;60, "Middle Age", IF(H94:H1093&lt;70, "Old", "Very Old")))</f>
      </c>
      <c r="J94" s="55">
        <v>43578</v>
      </c>
      <c r="K94" s="56">
        <v>59817</v>
      </c>
      <c r="L94" s="54">
        <f>IF(K94:K1093&lt;50000,"0-50",IF(K94:K1093&lt;100001,"51-100",IF(K94:K1093&lt;150001,"101-150",IF(K94:K1093&lt;200001,"151-200",IF(K94:K1093&lt;250001,"201-250","above 250")))))</f>
      </c>
      <c r="M94" s="57">
        <v>0</v>
      </c>
      <c r="N94" s="45" t="s">
        <v>9</v>
      </c>
      <c r="O94" s="45" t="s">
        <v>65</v>
      </c>
      <c r="P94" s="51"/>
      <c r="Q94" s="52">
        <f>IF(ISBLANK(P94:P1093), "", DATEDIF(J94:J1093, P94:P1093, "Y"))</f>
      </c>
    </row>
    <row x14ac:dyDescent="0.25" r="95" customHeight="1" ht="15.75">
      <c r="A95" s="45" t="s">
        <v>1188</v>
      </c>
      <c r="B95" s="45" t="s">
        <v>246</v>
      </c>
      <c r="C95" s="45" t="s">
        <v>78</v>
      </c>
      <c r="D95" s="45" t="s">
        <v>36</v>
      </c>
      <c r="E95" s="45" t="s">
        <v>1094</v>
      </c>
      <c r="F95" s="45" t="s">
        <v>10</v>
      </c>
      <c r="G95" s="45" t="s">
        <v>8</v>
      </c>
      <c r="H95" s="53">
        <v>31</v>
      </c>
      <c r="I95" s="54">
        <f>IF(H95:H1094&lt;45, "Adult", IF(H95:H1094&lt;60, "Middle Age", IF(H95:H1094&lt;70, "Old", "Very Old")))</f>
      </c>
      <c r="J95" s="55">
        <v>42938</v>
      </c>
      <c r="K95" s="56">
        <v>55854</v>
      </c>
      <c r="L95" s="54">
        <f>IF(K95:K1094&lt;50000,"0-50",IF(K95:K1094&lt;100001,"51-100",IF(K95:K1094&lt;150001,"101-150",IF(K95:K1094&lt;200001,"151-200",IF(K95:K1094&lt;250001,"201-250","above 250")))))</f>
      </c>
      <c r="M95" s="57">
        <v>0</v>
      </c>
      <c r="N95" s="45" t="s">
        <v>15</v>
      </c>
      <c r="O95" s="45" t="s">
        <v>42</v>
      </c>
      <c r="P95" s="51"/>
      <c r="Q95" s="52">
        <f>IF(ISBLANK(P95:P1094), "", DATEDIF(J95:J1094, P95:P1094, "Y"))</f>
      </c>
    </row>
    <row x14ac:dyDescent="0.25" r="96" customHeight="1" ht="15.75">
      <c r="A96" s="45" t="s">
        <v>1189</v>
      </c>
      <c r="B96" s="45" t="s">
        <v>813</v>
      </c>
      <c r="C96" s="45" t="s">
        <v>130</v>
      </c>
      <c r="D96" s="45" t="s">
        <v>30</v>
      </c>
      <c r="E96" s="45" t="s">
        <v>1092</v>
      </c>
      <c r="F96" s="45" t="s">
        <v>10</v>
      </c>
      <c r="G96" s="45" t="s">
        <v>8</v>
      </c>
      <c r="H96" s="53">
        <v>53</v>
      </c>
      <c r="I96" s="54">
        <f>IF(H96:H1095&lt;45, "Adult", IF(H96:H1095&lt;60, "Middle Age", IF(H96:H1095&lt;70, "Old", "Very Old")))</f>
      </c>
      <c r="J96" s="55">
        <v>37576</v>
      </c>
      <c r="K96" s="56">
        <v>95998</v>
      </c>
      <c r="L96" s="54">
        <f>IF(K96:K1095&lt;50000,"0-50",IF(K96:K1095&lt;100001,"51-100",IF(K96:K1095&lt;150001,"101-150",IF(K96:K1095&lt;200001,"151-200",IF(K96:K1095&lt;250001,"201-250","above 250")))))</f>
      </c>
      <c r="M96" s="57">
        <v>0</v>
      </c>
      <c r="N96" s="45" t="s">
        <v>15</v>
      </c>
      <c r="O96" s="45" t="s">
        <v>67</v>
      </c>
      <c r="P96" s="51"/>
      <c r="Q96" s="52">
        <f>IF(ISBLANK(P96:P1095), "", DATEDIF(J96:J1095, P96:P1095, "Y"))</f>
      </c>
    </row>
    <row x14ac:dyDescent="0.25" r="97" customHeight="1" ht="15.75">
      <c r="A97" s="45" t="s">
        <v>1190</v>
      </c>
      <c r="B97" s="45" t="s">
        <v>317</v>
      </c>
      <c r="C97" s="45" t="s">
        <v>132</v>
      </c>
      <c r="D97" s="45" t="s">
        <v>36</v>
      </c>
      <c r="E97" s="45" t="s">
        <v>1094</v>
      </c>
      <c r="F97" s="45" t="s">
        <v>7</v>
      </c>
      <c r="G97" s="45" t="s">
        <v>8</v>
      </c>
      <c r="H97" s="53">
        <v>34</v>
      </c>
      <c r="I97" s="54">
        <f>IF(H97:H1096&lt;45, "Adult", IF(H97:H1096&lt;60, "Middle Age", IF(H97:H1096&lt;70, "Old", "Very Old")))</f>
      </c>
      <c r="J97" s="55">
        <v>42116</v>
      </c>
      <c r="K97" s="56">
        <v>154941</v>
      </c>
      <c r="L97" s="54">
        <f>IF(K97:K1096&lt;50000,"0-50",IF(K97:K1096&lt;100001,"51-100",IF(K97:K1096&lt;150001,"101-150",IF(K97:K1096&lt;200001,"151-200",IF(K97:K1096&lt;250001,"201-250","above 250")))))</f>
      </c>
      <c r="M97" s="57">
        <v>0.13</v>
      </c>
      <c r="N97" s="45" t="s">
        <v>15</v>
      </c>
      <c r="O97" s="45" t="s">
        <v>61</v>
      </c>
      <c r="P97" s="51"/>
      <c r="Q97" s="52">
        <f>IF(ISBLANK(P97:P1096), "", DATEDIF(J97:J1096, P97:P1096, "Y"))</f>
      </c>
    </row>
    <row x14ac:dyDescent="0.25" r="98" customHeight="1" ht="15.75">
      <c r="A98" s="45" t="s">
        <v>1191</v>
      </c>
      <c r="B98" s="45" t="s">
        <v>572</v>
      </c>
      <c r="C98" s="45" t="s">
        <v>142</v>
      </c>
      <c r="D98" s="45" t="s">
        <v>28</v>
      </c>
      <c r="E98" s="45" t="s">
        <v>1096</v>
      </c>
      <c r="F98" s="45" t="s">
        <v>7</v>
      </c>
      <c r="G98" s="45" t="s">
        <v>8</v>
      </c>
      <c r="H98" s="53">
        <v>54</v>
      </c>
      <c r="I98" s="54">
        <f>IF(H98:H1097&lt;45, "Adult", IF(H98:H1097&lt;60, "Middle Age", IF(H98:H1097&lt;70, "Old", "Very Old")))</f>
      </c>
      <c r="J98" s="55">
        <v>40734</v>
      </c>
      <c r="K98" s="56">
        <v>247022</v>
      </c>
      <c r="L98" s="54">
        <f>IF(K98:K1097&lt;50000,"0-50",IF(K98:K1097&lt;100001,"51-100",IF(K98:K1097&lt;150001,"101-150",IF(K98:K1097&lt;200001,"151-200",IF(K98:K1097&lt;250001,"201-250","above 250")))))</f>
      </c>
      <c r="M98" s="57">
        <v>0.3</v>
      </c>
      <c r="N98" s="45" t="s">
        <v>12</v>
      </c>
      <c r="O98" s="45" t="s">
        <v>47</v>
      </c>
      <c r="P98" s="51"/>
      <c r="Q98" s="52">
        <f>IF(ISBLANK(P98:P1097), "", DATEDIF(J98:J1097, P98:P1097, "Y"))</f>
      </c>
    </row>
    <row x14ac:dyDescent="0.25" r="99" customHeight="1" ht="15.75">
      <c r="A99" s="45" t="s">
        <v>1192</v>
      </c>
      <c r="B99" s="45" t="s">
        <v>273</v>
      </c>
      <c r="C99" s="45" t="s">
        <v>114</v>
      </c>
      <c r="D99" s="45" t="s">
        <v>32</v>
      </c>
      <c r="E99" s="45" t="s">
        <v>1094</v>
      </c>
      <c r="F99" s="45" t="s">
        <v>7</v>
      </c>
      <c r="G99" s="45" t="s">
        <v>17</v>
      </c>
      <c r="H99" s="53">
        <v>32</v>
      </c>
      <c r="I99" s="54">
        <f>IF(H99:H1098&lt;45, "Adult", IF(H99:H1098&lt;60, "Middle Age", IF(H99:H1098&lt;70, "Old", "Very Old")))</f>
      </c>
      <c r="J99" s="55">
        <v>44474</v>
      </c>
      <c r="K99" s="56">
        <v>88072</v>
      </c>
      <c r="L99" s="54">
        <f>IF(K99:K1098&lt;50000,"0-50",IF(K99:K1098&lt;100001,"51-100",IF(K99:K1098&lt;150001,"101-150",IF(K99:K1098&lt;200001,"151-200",IF(K99:K1098&lt;250001,"201-250","above 250")))))</f>
      </c>
      <c r="M99" s="57">
        <v>0</v>
      </c>
      <c r="N99" s="45" t="s">
        <v>9</v>
      </c>
      <c r="O99" s="45" t="s">
        <v>65</v>
      </c>
      <c r="P99" s="51"/>
      <c r="Q99" s="52">
        <f>IF(ISBLANK(P99:P1098), "", DATEDIF(J99:J1098, P99:P1098, "Y"))</f>
      </c>
    </row>
    <row x14ac:dyDescent="0.25" r="100" customHeight="1" ht="15.75">
      <c r="A100" s="45" t="s">
        <v>1193</v>
      </c>
      <c r="B100" s="45" t="s">
        <v>162</v>
      </c>
      <c r="C100" s="45" t="s">
        <v>90</v>
      </c>
      <c r="D100" s="45" t="s">
        <v>32</v>
      </c>
      <c r="E100" s="45" t="s">
        <v>1092</v>
      </c>
      <c r="F100" s="45" t="s">
        <v>10</v>
      </c>
      <c r="G100" s="45" t="s">
        <v>8</v>
      </c>
      <c r="H100" s="53">
        <v>28</v>
      </c>
      <c r="I100" s="54">
        <f>IF(H100:H1099&lt;45, "Adult", IF(H100:H1099&lt;60, "Middle Age", IF(H100:H1099&lt;70, "Old", "Very Old")))</f>
      </c>
      <c r="J100" s="55">
        <v>43977</v>
      </c>
      <c r="K100" s="56">
        <v>67925</v>
      </c>
      <c r="L100" s="54">
        <f>IF(K100:K1099&lt;50000,"0-50",IF(K100:K1099&lt;100001,"51-100",IF(K100:K1099&lt;150001,"101-150",IF(K100:K1099&lt;200001,"151-200",IF(K100:K1099&lt;250001,"201-250","above 250")))))</f>
      </c>
      <c r="M100" s="57">
        <v>0.08</v>
      </c>
      <c r="N100" s="45" t="s">
        <v>12</v>
      </c>
      <c r="O100" s="45" t="s">
        <v>69</v>
      </c>
      <c r="P100" s="51"/>
      <c r="Q100" s="52">
        <f>IF(ISBLANK(P100:P1099), "", DATEDIF(J100:J1099, P100:P1099, "Y"))</f>
      </c>
    </row>
    <row x14ac:dyDescent="0.25" r="101" customHeight="1" ht="15.75">
      <c r="A101" s="45" t="s">
        <v>1194</v>
      </c>
      <c r="B101" s="45" t="s">
        <v>249</v>
      </c>
      <c r="C101" s="45" t="s">
        <v>142</v>
      </c>
      <c r="D101" s="45" t="s">
        <v>36</v>
      </c>
      <c r="E101" s="45" t="s">
        <v>1094</v>
      </c>
      <c r="F101" s="45" t="s">
        <v>7</v>
      </c>
      <c r="G101" s="45" t="s">
        <v>14</v>
      </c>
      <c r="H101" s="53">
        <v>31</v>
      </c>
      <c r="I101" s="54">
        <f>IF(H101:H1100&lt;45, "Adult", IF(H101:H1100&lt;60, "Middle Age", IF(H101:H1100&lt;70, "Old", "Very Old")))</f>
      </c>
      <c r="J101" s="55">
        <v>44063</v>
      </c>
      <c r="K101" s="56">
        <v>219693</v>
      </c>
      <c r="L101" s="54">
        <f>IF(K101:K1100&lt;50000,"0-50",IF(K101:K1100&lt;100001,"51-100",IF(K101:K1100&lt;150001,"101-150",IF(K101:K1100&lt;200001,"151-200",IF(K101:K1100&lt;250001,"201-250","above 250")))))</f>
      </c>
      <c r="M101" s="57">
        <v>0.3</v>
      </c>
      <c r="N101" s="45" t="s">
        <v>15</v>
      </c>
      <c r="O101" s="45" t="s">
        <v>42</v>
      </c>
      <c r="P101" s="51"/>
      <c r="Q101" s="52">
        <f>IF(ISBLANK(P101:P1100), "", DATEDIF(J101:J1100, P101:P1100, "Y"))</f>
      </c>
    </row>
    <row x14ac:dyDescent="0.25" r="102" customHeight="1" ht="15.75">
      <c r="A102" s="45" t="s">
        <v>1195</v>
      </c>
      <c r="B102" s="45" t="s">
        <v>564</v>
      </c>
      <c r="C102" s="45" t="s">
        <v>140</v>
      </c>
      <c r="D102" s="45" t="s">
        <v>26</v>
      </c>
      <c r="E102" s="45" t="s">
        <v>1092</v>
      </c>
      <c r="F102" s="45" t="s">
        <v>7</v>
      </c>
      <c r="G102" s="45" t="s">
        <v>14</v>
      </c>
      <c r="H102" s="53">
        <v>45</v>
      </c>
      <c r="I102" s="54">
        <f>IF(H102:H1101&lt;45, "Adult", IF(H102:H1101&lt;60, "Middle Age", IF(H102:H1101&lt;70, "Old", "Very Old")))</f>
      </c>
      <c r="J102" s="55">
        <v>41386</v>
      </c>
      <c r="K102" s="56">
        <v>61773</v>
      </c>
      <c r="L102" s="54">
        <f>IF(K102:K1101&lt;50000,"0-50",IF(K102:K1101&lt;100001,"51-100",IF(K102:K1101&lt;150001,"101-150",IF(K102:K1101&lt;200001,"151-200",IF(K102:K1101&lt;250001,"201-250","above 250")))))</f>
      </c>
      <c r="M102" s="57">
        <v>0</v>
      </c>
      <c r="N102" s="45" t="s">
        <v>15</v>
      </c>
      <c r="O102" s="45" t="s">
        <v>67</v>
      </c>
      <c r="P102" s="51"/>
      <c r="Q102" s="52">
        <f>IF(ISBLANK(P102:P1101), "", DATEDIF(J102:J1101, P102:P1101, "Y"))</f>
      </c>
    </row>
    <row x14ac:dyDescent="0.25" r="103" customHeight="1" ht="15.75">
      <c r="A103" s="45" t="s">
        <v>1196</v>
      </c>
      <c r="B103" s="45" t="s">
        <v>685</v>
      </c>
      <c r="C103" s="45" t="s">
        <v>90</v>
      </c>
      <c r="D103" s="45" t="s">
        <v>32</v>
      </c>
      <c r="E103" s="45" t="s">
        <v>1096</v>
      </c>
      <c r="F103" s="45" t="s">
        <v>7</v>
      </c>
      <c r="G103" s="45" t="s">
        <v>8</v>
      </c>
      <c r="H103" s="53">
        <v>48</v>
      </c>
      <c r="I103" s="54">
        <f>IF(H103:H1102&lt;45, "Adult", IF(H103:H1102&lt;60, "Middle Age", IF(H103:H1102&lt;70, "Old", "Very Old")))</f>
      </c>
      <c r="J103" s="55">
        <v>39091</v>
      </c>
      <c r="K103" s="56">
        <v>74546</v>
      </c>
      <c r="L103" s="54">
        <f>IF(K103:K1102&lt;50000,"0-50",IF(K103:K1102&lt;100001,"51-100",IF(K103:K1102&lt;150001,"101-150",IF(K103:K1102&lt;200001,"151-200",IF(K103:K1102&lt;250001,"201-250","above 250")))))</f>
      </c>
      <c r="M103" s="57">
        <v>0.09</v>
      </c>
      <c r="N103" s="45" t="s">
        <v>15</v>
      </c>
      <c r="O103" s="45" t="s">
        <v>67</v>
      </c>
      <c r="P103" s="51"/>
      <c r="Q103" s="52">
        <f>IF(ISBLANK(P103:P1102), "", DATEDIF(J103:J1102, P103:P1102, "Y"))</f>
      </c>
    </row>
    <row x14ac:dyDescent="0.25" r="104" customHeight="1" ht="15.75">
      <c r="A104" s="45" t="s">
        <v>1197</v>
      </c>
      <c r="B104" s="45" t="s">
        <v>907</v>
      </c>
      <c r="C104" s="45" t="s">
        <v>94</v>
      </c>
      <c r="D104" s="45" t="s">
        <v>26</v>
      </c>
      <c r="E104" s="45" t="s">
        <v>1096</v>
      </c>
      <c r="F104" s="45" t="s">
        <v>10</v>
      </c>
      <c r="G104" s="45" t="s">
        <v>11</v>
      </c>
      <c r="H104" s="53">
        <v>56</v>
      </c>
      <c r="I104" s="54">
        <f>IF(H104:H1103&lt;45, "Adult", IF(H104:H1103&lt;60, "Middle Age", IF(H104:H1103&lt;70, "Old", "Very Old")))</f>
      </c>
      <c r="J104" s="55">
        <v>42031</v>
      </c>
      <c r="K104" s="56">
        <v>62575</v>
      </c>
      <c r="L104" s="54">
        <f>IF(K104:K1103&lt;50000,"0-50",IF(K104:K1103&lt;100001,"51-100",IF(K104:K1103&lt;150001,"101-150",IF(K104:K1103&lt;200001,"151-200",IF(K104:K1103&lt;250001,"201-250","above 250")))))</f>
      </c>
      <c r="M104" s="57">
        <v>0</v>
      </c>
      <c r="N104" s="45" t="s">
        <v>15</v>
      </c>
      <c r="O104" s="45" t="s">
        <v>59</v>
      </c>
      <c r="P104" s="51"/>
      <c r="Q104" s="52">
        <f>IF(ISBLANK(P104:P1103), "", DATEDIF(J104:J1103, P104:P1103, "Y"))</f>
      </c>
    </row>
    <row x14ac:dyDescent="0.25" r="105" customHeight="1" ht="15.75">
      <c r="A105" s="45" t="s">
        <v>1198</v>
      </c>
      <c r="B105" s="45" t="s">
        <v>123</v>
      </c>
      <c r="C105" s="45" t="s">
        <v>96</v>
      </c>
      <c r="D105" s="45" t="s">
        <v>30</v>
      </c>
      <c r="E105" s="45" t="s">
        <v>1100</v>
      </c>
      <c r="F105" s="45" t="s">
        <v>7</v>
      </c>
      <c r="G105" s="45" t="s">
        <v>8</v>
      </c>
      <c r="H105" s="53">
        <v>27</v>
      </c>
      <c r="I105" s="54">
        <f>IF(H105:H1104&lt;45, "Adult", IF(H105:H1104&lt;60, "Middle Age", IF(H105:H1104&lt;70, "Old", "Very Old")))</f>
      </c>
      <c r="J105" s="55">
        <v>44250</v>
      </c>
      <c r="K105" s="56">
        <v>199041</v>
      </c>
      <c r="L105" s="54">
        <f>IF(K105:K1104&lt;50000,"0-50",IF(K105:K1104&lt;100001,"51-100",IF(K105:K1104&lt;150001,"101-150",IF(K105:K1104&lt;200001,"151-200",IF(K105:K1104&lt;250001,"201-250","above 250")))))</f>
      </c>
      <c r="M105" s="57">
        <v>0.16</v>
      </c>
      <c r="N105" s="45" t="s">
        <v>12</v>
      </c>
      <c r="O105" s="45" t="s">
        <v>47</v>
      </c>
      <c r="P105" s="51"/>
      <c r="Q105" s="52">
        <f>IF(ISBLANK(P105:P1104), "", DATEDIF(J105:J1104, P105:P1104, "Y"))</f>
      </c>
    </row>
    <row x14ac:dyDescent="0.25" r="106" customHeight="1" ht="15.75">
      <c r="A106" s="45" t="s">
        <v>1199</v>
      </c>
      <c r="B106" s="45" t="s">
        <v>867</v>
      </c>
      <c r="C106" s="45" t="s">
        <v>82</v>
      </c>
      <c r="D106" s="45" t="s">
        <v>24</v>
      </c>
      <c r="E106" s="45" t="s">
        <v>1096</v>
      </c>
      <c r="F106" s="45" t="s">
        <v>10</v>
      </c>
      <c r="G106" s="45" t="s">
        <v>14</v>
      </c>
      <c r="H106" s="53">
        <v>55</v>
      </c>
      <c r="I106" s="54">
        <f>IF(H106:H1105&lt;45, "Adult", IF(H106:H1105&lt;60, "Middle Age", IF(H106:H1105&lt;70, "Old", "Very Old")))</f>
      </c>
      <c r="J106" s="55">
        <v>39177</v>
      </c>
      <c r="K106" s="56">
        <v>52310</v>
      </c>
      <c r="L106" s="54">
        <f>IF(K106:K1105&lt;50000,"0-50",IF(K106:K1105&lt;100001,"51-100",IF(K106:K1105&lt;150001,"101-150",IF(K106:K1105&lt;200001,"151-200",IF(K106:K1105&lt;250001,"201-250","above 250")))))</f>
      </c>
      <c r="M106" s="57">
        <v>0</v>
      </c>
      <c r="N106" s="45" t="s">
        <v>15</v>
      </c>
      <c r="O106" s="45" t="s">
        <v>59</v>
      </c>
      <c r="P106" s="58">
        <v>43385</v>
      </c>
      <c r="Q106" s="53">
        <f>IF(ISBLANK(P106:P1105), "", DATEDIF(J106:J1105, P106:P1105, "Y"))</f>
      </c>
    </row>
    <row x14ac:dyDescent="0.25" r="107" customHeight="1" ht="15.75">
      <c r="A107" s="45" t="s">
        <v>1200</v>
      </c>
      <c r="B107" s="45" t="s">
        <v>1053</v>
      </c>
      <c r="C107" s="45" t="s">
        <v>132</v>
      </c>
      <c r="D107" s="45" t="s">
        <v>28</v>
      </c>
      <c r="E107" s="45" t="s">
        <v>1096</v>
      </c>
      <c r="F107" s="45" t="s">
        <v>10</v>
      </c>
      <c r="G107" s="45" t="s">
        <v>11</v>
      </c>
      <c r="H107" s="53">
        <v>64</v>
      </c>
      <c r="I107" s="54">
        <f>IF(H107:H1106&lt;45, "Adult", IF(H107:H1106&lt;60, "Middle Age", IF(H107:H1106&lt;70, "Old", "Very Old")))</f>
      </c>
      <c r="J107" s="55">
        <v>41454</v>
      </c>
      <c r="K107" s="56">
        <v>159571</v>
      </c>
      <c r="L107" s="54">
        <f>IF(K107:K1106&lt;50000,"0-50",IF(K107:K1106&lt;100001,"51-100",IF(K107:K1106&lt;150001,"101-150",IF(K107:K1106&lt;200001,"151-200",IF(K107:K1106&lt;250001,"201-250","above 250")))))</f>
      </c>
      <c r="M107" s="57">
        <v>0.1</v>
      </c>
      <c r="N107" s="45" t="s">
        <v>15</v>
      </c>
      <c r="O107" s="45" t="s">
        <v>55</v>
      </c>
      <c r="P107" s="51"/>
      <c r="Q107" s="52">
        <f>IF(ISBLANK(P107:P1106), "", DATEDIF(J107:J1106, P107:P1106, "Y"))</f>
      </c>
    </row>
    <row x14ac:dyDescent="0.25" r="108" customHeight="1" ht="15.75">
      <c r="A108" s="45" t="s">
        <v>1201</v>
      </c>
      <c r="B108" s="45" t="s">
        <v>741</v>
      </c>
      <c r="C108" s="45" t="s">
        <v>102</v>
      </c>
      <c r="D108" s="45" t="s">
        <v>26</v>
      </c>
      <c r="E108" s="45" t="s">
        <v>1092</v>
      </c>
      <c r="F108" s="45" t="s">
        <v>7</v>
      </c>
      <c r="G108" s="45" t="s">
        <v>17</v>
      </c>
      <c r="H108" s="53">
        <v>50</v>
      </c>
      <c r="I108" s="54">
        <f>IF(H108:H1107&lt;45, "Adult", IF(H108:H1107&lt;60, "Middle Age", IF(H108:H1107&lt;70, "Old", "Very Old")))</f>
      </c>
      <c r="J108" s="55">
        <v>35726</v>
      </c>
      <c r="K108" s="56">
        <v>91763</v>
      </c>
      <c r="L108" s="54">
        <f>IF(K108:K1107&lt;50000,"0-50",IF(K108:K1107&lt;100001,"51-100",IF(K108:K1107&lt;150001,"101-150",IF(K108:K1107&lt;200001,"151-200",IF(K108:K1107&lt;250001,"201-250","above 250")))))</f>
      </c>
      <c r="M108" s="57">
        <v>0</v>
      </c>
      <c r="N108" s="45" t="s">
        <v>15</v>
      </c>
      <c r="O108" s="45" t="s">
        <v>42</v>
      </c>
      <c r="P108" s="51"/>
      <c r="Q108" s="52">
        <f>IF(ISBLANK(P108:P1107), "", DATEDIF(J108:J1107, P108:P1107, "Y"))</f>
      </c>
    </row>
    <row x14ac:dyDescent="0.25" r="109" customHeight="1" ht="15.75">
      <c r="A109" s="45" t="s">
        <v>1202</v>
      </c>
      <c r="B109" s="45" t="s">
        <v>759</v>
      </c>
      <c r="C109" s="45" t="s">
        <v>94</v>
      </c>
      <c r="D109" s="45" t="s">
        <v>26</v>
      </c>
      <c r="E109" s="45" t="s">
        <v>1100</v>
      </c>
      <c r="F109" s="45" t="s">
        <v>7</v>
      </c>
      <c r="G109" s="45" t="s">
        <v>14</v>
      </c>
      <c r="H109" s="53">
        <v>51</v>
      </c>
      <c r="I109" s="54">
        <f>IF(H109:H1108&lt;45, "Adult", IF(H109:H1108&lt;60, "Middle Age", IF(H109:H1108&lt;70, "Old", "Very Old")))</f>
      </c>
      <c r="J109" s="55">
        <v>35055</v>
      </c>
      <c r="K109" s="56">
        <v>96475</v>
      </c>
      <c r="L109" s="54">
        <f>IF(K109:K1108&lt;50000,"0-50",IF(K109:K1108&lt;100001,"51-100",IF(K109:K1108&lt;150001,"101-150",IF(K109:K1108&lt;200001,"151-200",IF(K109:K1108&lt;250001,"201-250","above 250")))))</f>
      </c>
      <c r="M109" s="57">
        <v>0</v>
      </c>
      <c r="N109" s="45" t="s">
        <v>15</v>
      </c>
      <c r="O109" s="45" t="s">
        <v>42</v>
      </c>
      <c r="P109" s="51"/>
      <c r="Q109" s="52">
        <f>IF(ISBLANK(P109:P1108), "", DATEDIF(J109:J1108, P109:P1108, "Y"))</f>
      </c>
    </row>
    <row x14ac:dyDescent="0.25" r="110" customHeight="1" ht="15.75">
      <c r="A110" s="45" t="s">
        <v>1203</v>
      </c>
      <c r="B110" s="45" t="s">
        <v>362</v>
      </c>
      <c r="C110" s="45" t="s">
        <v>92</v>
      </c>
      <c r="D110" s="45" t="s">
        <v>26</v>
      </c>
      <c r="E110" s="45" t="s">
        <v>1094</v>
      </c>
      <c r="F110" s="45" t="s">
        <v>10</v>
      </c>
      <c r="G110" s="45" t="s">
        <v>14</v>
      </c>
      <c r="H110" s="53">
        <v>36</v>
      </c>
      <c r="I110" s="54">
        <f>IF(H110:H1109&lt;45, "Adult", IF(H110:H1109&lt;60, "Middle Age", IF(H110:H1109&lt;70, "Old", "Very Old")))</f>
      </c>
      <c r="J110" s="55">
        <v>42706</v>
      </c>
      <c r="K110" s="56">
        <v>113781</v>
      </c>
      <c r="L110" s="54">
        <f>IF(K110:K1109&lt;50000,"0-50",IF(K110:K1109&lt;100001,"51-100",IF(K110:K1109&lt;150001,"101-150",IF(K110:K1109&lt;200001,"151-200",IF(K110:K1109&lt;250001,"201-250","above 250")))))</f>
      </c>
      <c r="M110" s="57">
        <v>0</v>
      </c>
      <c r="N110" s="45" t="s">
        <v>15</v>
      </c>
      <c r="O110" s="45" t="s">
        <v>55</v>
      </c>
      <c r="P110" s="51"/>
      <c r="Q110" s="52">
        <f>IF(ISBLANK(P110:P1109), "", DATEDIF(J110:J1109, P110:P1109, "Y"))</f>
      </c>
    </row>
    <row x14ac:dyDescent="0.25" r="111" customHeight="1" ht="15.75">
      <c r="A111" s="45" t="s">
        <v>1204</v>
      </c>
      <c r="B111" s="45" t="s">
        <v>498</v>
      </c>
      <c r="C111" s="45" t="s">
        <v>96</v>
      </c>
      <c r="D111" s="45" t="s">
        <v>28</v>
      </c>
      <c r="E111" s="45" t="s">
        <v>1092</v>
      </c>
      <c r="F111" s="45" t="s">
        <v>10</v>
      </c>
      <c r="G111" s="45" t="s">
        <v>8</v>
      </c>
      <c r="H111" s="53">
        <v>42</v>
      </c>
      <c r="I111" s="54">
        <f>IF(H111:H1110&lt;45, "Adult", IF(H111:H1110&lt;60, "Middle Age", IF(H111:H1110&lt;70, "Old", "Very Old")))</f>
      </c>
      <c r="J111" s="55">
        <v>37636</v>
      </c>
      <c r="K111" s="56">
        <v>166599</v>
      </c>
      <c r="L111" s="54">
        <f>IF(K111:K1110&lt;50000,"0-50",IF(K111:K1110&lt;100001,"51-100",IF(K111:K1110&lt;150001,"101-150",IF(K111:K1110&lt;200001,"151-200",IF(K111:K1110&lt;250001,"201-250","above 250")))))</f>
      </c>
      <c r="M111" s="57">
        <v>0.26</v>
      </c>
      <c r="N111" s="45" t="s">
        <v>15</v>
      </c>
      <c r="O111" s="45" t="s">
        <v>67</v>
      </c>
      <c r="P111" s="51"/>
      <c r="Q111" s="52">
        <f>IF(ISBLANK(P111:P1110), "", DATEDIF(J111:J1110, P111:P1110, "Y"))</f>
      </c>
    </row>
    <row x14ac:dyDescent="0.25" r="112" customHeight="1" ht="15.75">
      <c r="A112" s="45" t="s">
        <v>1205</v>
      </c>
      <c r="B112" s="45" t="s">
        <v>477</v>
      </c>
      <c r="C112" s="45" t="s">
        <v>126</v>
      </c>
      <c r="D112" s="45" t="s">
        <v>36</v>
      </c>
      <c r="E112" s="45" t="s">
        <v>1100</v>
      </c>
      <c r="F112" s="45" t="s">
        <v>7</v>
      </c>
      <c r="G112" s="45" t="s">
        <v>8</v>
      </c>
      <c r="H112" s="53">
        <v>41</v>
      </c>
      <c r="I112" s="54">
        <f>IF(H112:H1111&lt;45, "Adult", IF(H112:H1111&lt;60, "Middle Age", IF(H112:H1111&lt;70, "Old", "Very Old")))</f>
      </c>
      <c r="J112" s="55">
        <v>38398</v>
      </c>
      <c r="K112" s="56">
        <v>95372</v>
      </c>
      <c r="L112" s="54">
        <f>IF(K112:K1111&lt;50000,"0-50",IF(K112:K1111&lt;100001,"51-100",IF(K112:K1111&lt;150001,"101-150",IF(K112:K1111&lt;200001,"151-200",IF(K112:K1111&lt;250001,"201-250","above 250")))))</f>
      </c>
      <c r="M112" s="57">
        <v>0</v>
      </c>
      <c r="N112" s="45" t="s">
        <v>12</v>
      </c>
      <c r="O112" s="45" t="s">
        <v>69</v>
      </c>
      <c r="P112" s="51"/>
      <c r="Q112" s="52">
        <f>IF(ISBLANK(P112:P1111), "", DATEDIF(J112:J1111, P112:P1111, "Y"))</f>
      </c>
    </row>
    <row x14ac:dyDescent="0.25" r="113" customHeight="1" ht="15.75">
      <c r="A113" s="45" t="s">
        <v>1206</v>
      </c>
      <c r="B113" s="45" t="s">
        <v>190</v>
      </c>
      <c r="C113" s="45" t="s">
        <v>96</v>
      </c>
      <c r="D113" s="45" t="s">
        <v>32</v>
      </c>
      <c r="E113" s="45" t="s">
        <v>1092</v>
      </c>
      <c r="F113" s="45" t="s">
        <v>7</v>
      </c>
      <c r="G113" s="45" t="s">
        <v>8</v>
      </c>
      <c r="H113" s="53">
        <v>29</v>
      </c>
      <c r="I113" s="54">
        <f>IF(H113:H1112&lt;45, "Adult", IF(H113:H1112&lt;60, "Middle Age", IF(H113:H1112&lt;70, "Old", "Very Old")))</f>
      </c>
      <c r="J113" s="55">
        <v>44052</v>
      </c>
      <c r="K113" s="56">
        <v>161203</v>
      </c>
      <c r="L113" s="54">
        <f>IF(K113:K1112&lt;50000,"0-50",IF(K113:K1112&lt;100001,"51-100",IF(K113:K1112&lt;150001,"101-150",IF(K113:K1112&lt;200001,"151-200",IF(K113:K1112&lt;250001,"201-250","above 250")))))</f>
      </c>
      <c r="M113" s="57">
        <v>0.15</v>
      </c>
      <c r="N113" s="45" t="s">
        <v>12</v>
      </c>
      <c r="O113" s="45" t="s">
        <v>49</v>
      </c>
      <c r="P113" s="51"/>
      <c r="Q113" s="52">
        <f>IF(ISBLANK(P113:P1112), "", DATEDIF(J113:J1112, P113:P1112, "Y"))</f>
      </c>
    </row>
    <row x14ac:dyDescent="0.25" r="114" customHeight="1" ht="15.75">
      <c r="A114" s="45" t="s">
        <v>1207</v>
      </c>
      <c r="B114" s="45" t="s">
        <v>544</v>
      </c>
      <c r="C114" s="45" t="s">
        <v>134</v>
      </c>
      <c r="D114" s="45" t="s">
        <v>32</v>
      </c>
      <c r="E114" s="45" t="s">
        <v>1094</v>
      </c>
      <c r="F114" s="45" t="s">
        <v>7</v>
      </c>
      <c r="G114" s="45" t="s">
        <v>14</v>
      </c>
      <c r="H114" s="53">
        <v>44</v>
      </c>
      <c r="I114" s="54">
        <f>IF(H114:H1113&lt;45, "Adult", IF(H114:H1113&lt;60, "Middle Age", IF(H114:H1113&lt;70, "Old", "Very Old")))</f>
      </c>
      <c r="J114" s="55">
        <v>39064</v>
      </c>
      <c r="K114" s="56">
        <v>74738</v>
      </c>
      <c r="L114" s="54">
        <f>IF(K114:K1113&lt;50000,"0-50",IF(K114:K1113&lt;100001,"51-100",IF(K114:K1113&lt;150001,"101-150",IF(K114:K1113&lt;200001,"151-200",IF(K114:K1113&lt;250001,"201-250","above 250")))))</f>
      </c>
      <c r="M114" s="57">
        <v>0</v>
      </c>
      <c r="N114" s="45" t="s">
        <v>15</v>
      </c>
      <c r="O114" s="45" t="s">
        <v>59</v>
      </c>
      <c r="P114" s="51"/>
      <c r="Q114" s="52">
        <f>IF(ISBLANK(P114:P1113), "", DATEDIF(J114:J1113, P114:P1113, "Y"))</f>
      </c>
    </row>
    <row x14ac:dyDescent="0.25" r="115" customHeight="1" ht="15.75">
      <c r="A115" s="45" t="s">
        <v>1208</v>
      </c>
      <c r="B115" s="45" t="s">
        <v>476</v>
      </c>
      <c r="C115" s="45" t="s">
        <v>96</v>
      </c>
      <c r="D115" s="45" t="s">
        <v>36</v>
      </c>
      <c r="E115" s="45" t="s">
        <v>1092</v>
      </c>
      <c r="F115" s="45" t="s">
        <v>7</v>
      </c>
      <c r="G115" s="45" t="s">
        <v>8</v>
      </c>
      <c r="H115" s="53">
        <v>41</v>
      </c>
      <c r="I115" s="54">
        <f>IF(H115:H1114&lt;45, "Adult", IF(H115:H1114&lt;60, "Middle Age", IF(H115:H1114&lt;70, "Old", "Very Old")))</f>
      </c>
      <c r="J115" s="55">
        <v>43322</v>
      </c>
      <c r="K115" s="56">
        <v>171173</v>
      </c>
      <c r="L115" s="54">
        <f>IF(K115:K1114&lt;50000,"0-50",IF(K115:K1114&lt;100001,"51-100",IF(K115:K1114&lt;150001,"101-150",IF(K115:K1114&lt;200001,"151-200",IF(K115:K1114&lt;250001,"201-250","above 250")))))</f>
      </c>
      <c r="M115" s="57">
        <v>0.21</v>
      </c>
      <c r="N115" s="45" t="s">
        <v>15</v>
      </c>
      <c r="O115" s="45" t="s">
        <v>55</v>
      </c>
      <c r="P115" s="51"/>
      <c r="Q115" s="52">
        <f>IF(ISBLANK(P115:P1114), "", DATEDIF(J115:J1114, P115:P1114, "Y"))</f>
      </c>
    </row>
    <row x14ac:dyDescent="0.25" r="116" customHeight="1" ht="15.75">
      <c r="A116" s="45" t="s">
        <v>1209</v>
      </c>
      <c r="B116" s="45" t="s">
        <v>1000</v>
      </c>
      <c r="C116" s="45" t="s">
        <v>142</v>
      </c>
      <c r="D116" s="45" t="s">
        <v>36</v>
      </c>
      <c r="E116" s="45" t="s">
        <v>1100</v>
      </c>
      <c r="F116" s="45" t="s">
        <v>10</v>
      </c>
      <c r="G116" s="45" t="s">
        <v>17</v>
      </c>
      <c r="H116" s="53">
        <v>61</v>
      </c>
      <c r="I116" s="54">
        <f>IF(H116:H1115&lt;45, "Adult", IF(H116:H1115&lt;60, "Middle Age", IF(H116:H1115&lt;70, "Old", "Very Old")))</f>
      </c>
      <c r="J116" s="55">
        <v>43732</v>
      </c>
      <c r="K116" s="56">
        <v>201464</v>
      </c>
      <c r="L116" s="54">
        <f>IF(K116:K1115&lt;50000,"0-50",IF(K116:K1115&lt;100001,"51-100",IF(K116:K1115&lt;150001,"101-150",IF(K116:K1115&lt;200001,"151-200",IF(K116:K1115&lt;250001,"201-250","above 250")))))</f>
      </c>
      <c r="M116" s="57">
        <v>0.37</v>
      </c>
      <c r="N116" s="45" t="s">
        <v>15</v>
      </c>
      <c r="O116" s="45" t="s">
        <v>51</v>
      </c>
      <c r="P116" s="51"/>
      <c r="Q116" s="52">
        <f>IF(ISBLANK(P116:P1115), "", DATEDIF(J116:J1115, P116:P1115, "Y"))</f>
      </c>
    </row>
    <row x14ac:dyDescent="0.25" r="117" customHeight="1" ht="15.75">
      <c r="A117" s="45" t="s">
        <v>1210</v>
      </c>
      <c r="B117" s="45" t="s">
        <v>738</v>
      </c>
      <c r="C117" s="45" t="s">
        <v>96</v>
      </c>
      <c r="D117" s="45" t="s">
        <v>30</v>
      </c>
      <c r="E117" s="45" t="s">
        <v>1100</v>
      </c>
      <c r="F117" s="45" t="s">
        <v>10</v>
      </c>
      <c r="G117" s="45" t="s">
        <v>14</v>
      </c>
      <c r="H117" s="53">
        <v>50</v>
      </c>
      <c r="I117" s="54">
        <f>IF(H117:H1116&lt;45, "Adult", IF(H117:H1116&lt;60, "Middle Age", IF(H117:H1116&lt;70, "Old", "Very Old")))</f>
      </c>
      <c r="J117" s="55">
        <v>35998</v>
      </c>
      <c r="K117" s="56">
        <v>174895</v>
      </c>
      <c r="L117" s="54">
        <f>IF(K117:K1116&lt;50000,"0-50",IF(K117:K1116&lt;100001,"51-100",IF(K117:K1116&lt;150001,"101-150",IF(K117:K1116&lt;200001,"151-200",IF(K117:K1116&lt;250001,"201-250","above 250")))))</f>
      </c>
      <c r="M117" s="57">
        <v>0.15</v>
      </c>
      <c r="N117" s="45" t="s">
        <v>15</v>
      </c>
      <c r="O117" s="45" t="s">
        <v>51</v>
      </c>
      <c r="P117" s="51"/>
      <c r="Q117" s="52">
        <f>IF(ISBLANK(P117:P1116), "", DATEDIF(J117:J1116, P117:P1116, "Y"))</f>
      </c>
    </row>
    <row x14ac:dyDescent="0.25" r="118" customHeight="1" ht="15.75">
      <c r="A118" s="45" t="s">
        <v>1211</v>
      </c>
      <c r="B118" s="45" t="s">
        <v>717</v>
      </c>
      <c r="C118" s="45" t="s">
        <v>132</v>
      </c>
      <c r="D118" s="45" t="s">
        <v>32</v>
      </c>
      <c r="E118" s="45" t="s">
        <v>1094</v>
      </c>
      <c r="F118" s="45" t="s">
        <v>7</v>
      </c>
      <c r="G118" s="45" t="s">
        <v>8</v>
      </c>
      <c r="H118" s="53">
        <v>49</v>
      </c>
      <c r="I118" s="54">
        <f>IF(H118:H1117&lt;45, "Adult", IF(H118:H1117&lt;60, "Middle Age", IF(H118:H1117&lt;70, "Old", "Very Old")))</f>
      </c>
      <c r="J118" s="55">
        <v>38825</v>
      </c>
      <c r="K118" s="56">
        <v>134486</v>
      </c>
      <c r="L118" s="54">
        <f>IF(K118:K1117&lt;50000,"0-50",IF(K118:K1117&lt;100001,"51-100",IF(K118:K1117&lt;150001,"101-150",IF(K118:K1117&lt;200001,"151-200",IF(K118:K1117&lt;250001,"201-250","above 250")))))</f>
      </c>
      <c r="M118" s="57">
        <v>0.14</v>
      </c>
      <c r="N118" s="45" t="s">
        <v>15</v>
      </c>
      <c r="O118" s="45" t="s">
        <v>42</v>
      </c>
      <c r="P118" s="51"/>
      <c r="Q118" s="52">
        <f>IF(ISBLANK(P118:P1117), "", DATEDIF(J118:J1117, P118:P1117, "Y"))</f>
      </c>
    </row>
    <row x14ac:dyDescent="0.25" r="119" customHeight="1" ht="15.75">
      <c r="A119" s="45" t="s">
        <v>1212</v>
      </c>
      <c r="B119" s="45" t="s">
        <v>975</v>
      </c>
      <c r="C119" s="45" t="s">
        <v>128</v>
      </c>
      <c r="D119" s="45" t="s">
        <v>28</v>
      </c>
      <c r="E119" s="45" t="s">
        <v>1094</v>
      </c>
      <c r="F119" s="45" t="s">
        <v>7</v>
      </c>
      <c r="G119" s="45" t="s">
        <v>17</v>
      </c>
      <c r="H119" s="53">
        <v>60</v>
      </c>
      <c r="I119" s="54">
        <f>IF(H119:H1118&lt;45, "Adult", IF(H119:H1118&lt;60, "Middle Age", IF(H119:H1118&lt;70, "Old", "Very Old")))</f>
      </c>
      <c r="J119" s="55">
        <v>39137</v>
      </c>
      <c r="K119" s="56">
        <v>71699</v>
      </c>
      <c r="L119" s="54">
        <f>IF(K119:K1118&lt;50000,"0-50",IF(K119:K1118&lt;100001,"51-100",IF(K119:K1118&lt;150001,"101-150",IF(K119:K1118&lt;200001,"151-200",IF(K119:K1118&lt;250001,"201-250","above 250")))))</f>
      </c>
      <c r="M119" s="57">
        <v>0</v>
      </c>
      <c r="N119" s="45" t="s">
        <v>9</v>
      </c>
      <c r="O119" s="45" t="s">
        <v>57</v>
      </c>
      <c r="P119" s="51"/>
      <c r="Q119" s="52">
        <f>IF(ISBLANK(P119:P1118), "", DATEDIF(J119:J1118, P119:P1118, "Y"))</f>
      </c>
    </row>
    <row x14ac:dyDescent="0.25" r="120" customHeight="1" ht="15.75">
      <c r="A120" s="45" t="s">
        <v>1213</v>
      </c>
      <c r="B120" s="45" t="s">
        <v>501</v>
      </c>
      <c r="C120" s="45" t="s">
        <v>128</v>
      </c>
      <c r="D120" s="45" t="s">
        <v>34</v>
      </c>
      <c r="E120" s="45" t="s">
        <v>1100</v>
      </c>
      <c r="F120" s="45" t="s">
        <v>7</v>
      </c>
      <c r="G120" s="45" t="s">
        <v>17</v>
      </c>
      <c r="H120" s="53">
        <v>42</v>
      </c>
      <c r="I120" s="54">
        <f>IF(H120:H1119&lt;45, "Adult", IF(H120:H1119&lt;60, "Middle Age", IF(H120:H1119&lt;70, "Old", "Very Old")))</f>
      </c>
      <c r="J120" s="55">
        <v>44198</v>
      </c>
      <c r="K120" s="56">
        <v>94430</v>
      </c>
      <c r="L120" s="54">
        <f>IF(K120:K1119&lt;50000,"0-50",IF(K120:K1119&lt;100001,"51-100",IF(K120:K1119&lt;150001,"101-150",IF(K120:K1119&lt;200001,"151-200",IF(K120:K1119&lt;250001,"201-250","above 250")))))</f>
      </c>
      <c r="M120" s="57">
        <v>0</v>
      </c>
      <c r="N120" s="45" t="s">
        <v>15</v>
      </c>
      <c r="O120" s="45" t="s">
        <v>67</v>
      </c>
      <c r="P120" s="51"/>
      <c r="Q120" s="52">
        <f>IF(ISBLANK(P120:P1119), "", DATEDIF(J120:J1119, P120:P1119, "Y"))</f>
      </c>
    </row>
    <row x14ac:dyDescent="0.25" r="121" customHeight="1" ht="15.75">
      <c r="A121" s="45" t="s">
        <v>1214</v>
      </c>
      <c r="B121" s="45" t="s">
        <v>430</v>
      </c>
      <c r="C121" s="45" t="s">
        <v>110</v>
      </c>
      <c r="D121" s="45" t="s">
        <v>28</v>
      </c>
      <c r="E121" s="45" t="s">
        <v>1100</v>
      </c>
      <c r="F121" s="45" t="s">
        <v>10</v>
      </c>
      <c r="G121" s="45" t="s">
        <v>8</v>
      </c>
      <c r="H121" s="53">
        <v>39</v>
      </c>
      <c r="I121" s="54">
        <f>IF(H121:H1120&lt;45, "Adult", IF(H121:H1120&lt;60, "Middle Age", IF(H121:H1120&lt;70, "Old", "Very Old")))</f>
      </c>
      <c r="J121" s="55">
        <v>40192</v>
      </c>
      <c r="K121" s="56">
        <v>103504</v>
      </c>
      <c r="L121" s="54">
        <f>IF(K121:K1120&lt;50000,"0-50",IF(K121:K1120&lt;100001,"51-100",IF(K121:K1120&lt;150001,"101-150",IF(K121:K1120&lt;200001,"151-200",IF(K121:K1120&lt;250001,"201-250","above 250")))))</f>
      </c>
      <c r="M121" s="57">
        <v>0.07</v>
      </c>
      <c r="N121" s="45" t="s">
        <v>12</v>
      </c>
      <c r="O121" s="45" t="s">
        <v>49</v>
      </c>
      <c r="P121" s="51"/>
      <c r="Q121" s="52">
        <f>IF(ISBLANK(P121:P1120), "", DATEDIF(J121:J1120, P121:P1120, "Y"))</f>
      </c>
    </row>
    <row x14ac:dyDescent="0.25" r="122" customHeight="1" ht="15.75">
      <c r="A122" s="45" t="s">
        <v>1215</v>
      </c>
      <c r="B122" s="45" t="s">
        <v>870</v>
      </c>
      <c r="C122" s="45" t="s">
        <v>100</v>
      </c>
      <c r="D122" s="45" t="s">
        <v>32</v>
      </c>
      <c r="E122" s="45" t="s">
        <v>1094</v>
      </c>
      <c r="F122" s="45" t="s">
        <v>7</v>
      </c>
      <c r="G122" s="45" t="s">
        <v>8</v>
      </c>
      <c r="H122" s="53">
        <v>55</v>
      </c>
      <c r="I122" s="54">
        <f>IF(H122:H1121&lt;45, "Adult", IF(H122:H1121&lt;60, "Middle Age", IF(H122:H1121&lt;70, "Old", "Very Old")))</f>
      </c>
      <c r="J122" s="55">
        <v>38573</v>
      </c>
      <c r="K122" s="56">
        <v>92771</v>
      </c>
      <c r="L122" s="54">
        <f>IF(K122:K1121&lt;50000,"0-50",IF(K122:K1121&lt;100001,"51-100",IF(K122:K1121&lt;150001,"101-150",IF(K122:K1121&lt;200001,"151-200",IF(K122:K1121&lt;250001,"201-250","above 250")))))</f>
      </c>
      <c r="M122" s="57">
        <v>0</v>
      </c>
      <c r="N122" s="45" t="s">
        <v>15</v>
      </c>
      <c r="O122" s="45" t="s">
        <v>59</v>
      </c>
      <c r="P122" s="51"/>
      <c r="Q122" s="52">
        <f>IF(ISBLANK(P122:P1121), "", DATEDIF(J122:J1121, P122:P1121, "Y"))</f>
      </c>
    </row>
    <row x14ac:dyDescent="0.25" r="123" customHeight="1" ht="15.75">
      <c r="A123" s="45" t="s">
        <v>1216</v>
      </c>
      <c r="B123" s="45" t="s">
        <v>432</v>
      </c>
      <c r="C123" s="45" t="s">
        <v>82</v>
      </c>
      <c r="D123" s="45" t="s">
        <v>28</v>
      </c>
      <c r="E123" s="45" t="s">
        <v>1096</v>
      </c>
      <c r="F123" s="45" t="s">
        <v>7</v>
      </c>
      <c r="G123" s="45" t="s">
        <v>17</v>
      </c>
      <c r="H123" s="53">
        <v>39</v>
      </c>
      <c r="I123" s="54">
        <f>IF(H123:H1122&lt;45, "Adult", IF(H123:H1122&lt;60, "Middle Age", IF(H123:H1122&lt;70, "Old", "Very Old")))</f>
      </c>
      <c r="J123" s="55">
        <v>38813</v>
      </c>
      <c r="K123" s="56">
        <v>71531</v>
      </c>
      <c r="L123" s="54">
        <f>IF(K123:K1122&lt;50000,"0-50",IF(K123:K1122&lt;100001,"51-100",IF(K123:K1122&lt;150001,"101-150",IF(K123:K1122&lt;200001,"151-200",IF(K123:K1122&lt;250001,"201-250","above 250")))))</f>
      </c>
      <c r="M123" s="57">
        <v>0</v>
      </c>
      <c r="N123" s="45" t="s">
        <v>15</v>
      </c>
      <c r="O123" s="45" t="s">
        <v>55</v>
      </c>
      <c r="P123" s="51"/>
      <c r="Q123" s="52">
        <f>IF(ISBLANK(P123:P1122), "", DATEDIF(J123:J1122, P123:P1122, "Y"))</f>
      </c>
    </row>
    <row x14ac:dyDescent="0.25" r="124" customHeight="1" ht="15.75">
      <c r="A124" s="45" t="s">
        <v>1217</v>
      </c>
      <c r="B124" s="45" t="s">
        <v>165</v>
      </c>
      <c r="C124" s="45" t="s">
        <v>88</v>
      </c>
      <c r="D124" s="45" t="s">
        <v>32</v>
      </c>
      <c r="E124" s="45" t="s">
        <v>1096</v>
      </c>
      <c r="F124" s="45" t="s">
        <v>10</v>
      </c>
      <c r="G124" s="45" t="s">
        <v>11</v>
      </c>
      <c r="H124" s="53">
        <v>28</v>
      </c>
      <c r="I124" s="54">
        <f>IF(H124:H1123&lt;45, "Adult", IF(H124:H1123&lt;60, "Middle Age", IF(H124:H1123&lt;70, "Old", "Very Old")))</f>
      </c>
      <c r="J124" s="55">
        <v>43530</v>
      </c>
      <c r="K124" s="56">
        <v>90304</v>
      </c>
      <c r="L124" s="54">
        <f>IF(K124:K1123&lt;50000,"0-50",IF(K124:K1123&lt;100001,"51-100",IF(K124:K1123&lt;150001,"101-150",IF(K124:K1123&lt;200001,"151-200",IF(K124:K1123&lt;250001,"201-250","above 250")))))</f>
      </c>
      <c r="M124" s="57">
        <v>0</v>
      </c>
      <c r="N124" s="45" t="s">
        <v>15</v>
      </c>
      <c r="O124" s="45" t="s">
        <v>51</v>
      </c>
      <c r="P124" s="51"/>
      <c r="Q124" s="52">
        <f>IF(ISBLANK(P124:P1123), "", DATEDIF(J124:J1123, P124:P1123, "Y"))</f>
      </c>
    </row>
    <row x14ac:dyDescent="0.25" r="125" customHeight="1" ht="15.75">
      <c r="A125" s="45" t="s">
        <v>1218</v>
      </c>
      <c r="B125" s="45" t="s">
        <v>1070</v>
      </c>
      <c r="C125" s="45" t="s">
        <v>110</v>
      </c>
      <c r="D125" s="45" t="s">
        <v>34</v>
      </c>
      <c r="E125" s="45" t="s">
        <v>1094</v>
      </c>
      <c r="F125" s="45" t="s">
        <v>7</v>
      </c>
      <c r="G125" s="45" t="s">
        <v>14</v>
      </c>
      <c r="H125" s="53">
        <v>65</v>
      </c>
      <c r="I125" s="54">
        <f>IF(H125:H1124&lt;45, "Adult", IF(H125:H1124&lt;60, "Middle Age", IF(H125:H1124&lt;70, "Old", "Very Old")))</f>
      </c>
      <c r="J125" s="55">
        <v>40793</v>
      </c>
      <c r="K125" s="56">
        <v>104903</v>
      </c>
      <c r="L125" s="54">
        <f>IF(K125:K1124&lt;50000,"0-50",IF(K125:K1124&lt;100001,"51-100",IF(K125:K1124&lt;150001,"101-150",IF(K125:K1124&lt;200001,"151-200",IF(K125:K1124&lt;250001,"201-250","above 250")))))</f>
      </c>
      <c r="M125" s="57">
        <v>0.1</v>
      </c>
      <c r="N125" s="45" t="s">
        <v>15</v>
      </c>
      <c r="O125" s="45" t="s">
        <v>55</v>
      </c>
      <c r="P125" s="51"/>
      <c r="Q125" s="52">
        <f>IF(ISBLANK(P125:P1124), "", DATEDIF(J125:J1124, P125:P1124, "Y"))</f>
      </c>
    </row>
    <row x14ac:dyDescent="0.25" r="126" customHeight="1" ht="15.75">
      <c r="A126" s="45" t="s">
        <v>1219</v>
      </c>
      <c r="B126" s="45" t="s">
        <v>780</v>
      </c>
      <c r="C126" s="45" t="s">
        <v>80</v>
      </c>
      <c r="D126" s="45" t="s">
        <v>28</v>
      </c>
      <c r="E126" s="45" t="s">
        <v>1100</v>
      </c>
      <c r="F126" s="45" t="s">
        <v>7</v>
      </c>
      <c r="G126" s="45" t="s">
        <v>8</v>
      </c>
      <c r="H126" s="53">
        <v>52</v>
      </c>
      <c r="I126" s="54">
        <f>IF(H126:H1125&lt;45, "Adult", IF(H126:H1125&lt;60, "Middle Age", IF(H126:H1125&lt;70, "Old", "Very Old")))</f>
      </c>
      <c r="J126" s="55">
        <v>43515</v>
      </c>
      <c r="K126" s="56">
        <v>55859</v>
      </c>
      <c r="L126" s="54">
        <f>IF(K126:K1125&lt;50000,"0-50",IF(K126:K1125&lt;100001,"51-100",IF(K126:K1125&lt;150001,"101-150",IF(K126:K1125&lt;200001,"151-200",IF(K126:K1125&lt;250001,"201-250","above 250")))))</f>
      </c>
      <c r="M126" s="57">
        <v>0</v>
      </c>
      <c r="N126" s="45" t="s">
        <v>12</v>
      </c>
      <c r="O126" s="45" t="s">
        <v>47</v>
      </c>
      <c r="P126" s="51"/>
      <c r="Q126" s="52">
        <f>IF(ISBLANK(P126:P1125), "", DATEDIF(J126:J1125, P126:P1125, "Y"))</f>
      </c>
    </row>
    <row x14ac:dyDescent="0.25" r="127" customHeight="1" ht="15.75">
      <c r="A127" s="45" t="s">
        <v>1220</v>
      </c>
      <c r="B127" s="45" t="s">
        <v>1017</v>
      </c>
      <c r="C127" s="45" t="s">
        <v>118</v>
      </c>
      <c r="D127" s="45" t="s">
        <v>26</v>
      </c>
      <c r="E127" s="45" t="s">
        <v>1100</v>
      </c>
      <c r="F127" s="45" t="s">
        <v>7</v>
      </c>
      <c r="G127" s="45" t="s">
        <v>17</v>
      </c>
      <c r="H127" s="53">
        <v>62</v>
      </c>
      <c r="I127" s="54">
        <f>IF(H127:H1126&lt;45, "Adult", IF(H127:H1126&lt;60, "Middle Age", IF(H127:H1126&lt;70, "Old", "Very Old")))</f>
      </c>
      <c r="J127" s="55">
        <v>39002</v>
      </c>
      <c r="K127" s="56">
        <v>79785</v>
      </c>
      <c r="L127" s="54">
        <f>IF(K127:K1126&lt;50000,"0-50",IF(K127:K1126&lt;100001,"51-100",IF(K127:K1126&lt;150001,"101-150",IF(K127:K1126&lt;200001,"151-200",IF(K127:K1126&lt;250001,"201-250","above 250")))))</f>
      </c>
      <c r="M127" s="57">
        <v>0</v>
      </c>
      <c r="N127" s="45" t="s">
        <v>15</v>
      </c>
      <c r="O127" s="45" t="s">
        <v>42</v>
      </c>
      <c r="P127" s="51"/>
      <c r="Q127" s="52">
        <f>IF(ISBLANK(P127:P1126), "", DATEDIF(J127:J1126, P127:P1126, "Y"))</f>
      </c>
    </row>
    <row x14ac:dyDescent="0.25" r="128" customHeight="1" ht="15.75">
      <c r="A128" s="45" t="s">
        <v>1221</v>
      </c>
      <c r="B128" s="45" t="s">
        <v>426</v>
      </c>
      <c r="C128" s="45" t="s">
        <v>128</v>
      </c>
      <c r="D128" s="45" t="s">
        <v>34</v>
      </c>
      <c r="E128" s="45" t="s">
        <v>1100</v>
      </c>
      <c r="F128" s="45" t="s">
        <v>7</v>
      </c>
      <c r="G128" s="45" t="s">
        <v>8</v>
      </c>
      <c r="H128" s="53">
        <v>39</v>
      </c>
      <c r="I128" s="54">
        <f>IF(H128:H1127&lt;45, "Adult", IF(H128:H1127&lt;60, "Middle Age", IF(H128:H1127&lt;70, "Old", "Very Old")))</f>
      </c>
      <c r="J128" s="55">
        <v>39391</v>
      </c>
      <c r="K128" s="56">
        <v>99017</v>
      </c>
      <c r="L128" s="54">
        <f>IF(K128:K1127&lt;50000,"0-50",IF(K128:K1127&lt;100001,"51-100",IF(K128:K1127&lt;150001,"101-150",IF(K128:K1127&lt;200001,"151-200",IF(K128:K1127&lt;250001,"201-250","above 250")))))</f>
      </c>
      <c r="M128" s="57">
        <v>0</v>
      </c>
      <c r="N128" s="45" t="s">
        <v>12</v>
      </c>
      <c r="O128" s="45" t="s">
        <v>47</v>
      </c>
      <c r="P128" s="51"/>
      <c r="Q128" s="52">
        <f>IF(ISBLANK(P128:P1127), "", DATEDIF(J128:J1127, P128:P1127, "Y"))</f>
      </c>
    </row>
    <row x14ac:dyDescent="0.25" r="129" customHeight="1" ht="15.75">
      <c r="A129" s="45" t="s">
        <v>1222</v>
      </c>
      <c r="B129" s="45" t="s">
        <v>1031</v>
      </c>
      <c r="C129" s="45" t="s">
        <v>136</v>
      </c>
      <c r="D129" s="45" t="s">
        <v>32</v>
      </c>
      <c r="E129" s="45" t="s">
        <v>1094</v>
      </c>
      <c r="F129" s="45" t="s">
        <v>7</v>
      </c>
      <c r="G129" s="45" t="s">
        <v>14</v>
      </c>
      <c r="H129" s="53">
        <v>63</v>
      </c>
      <c r="I129" s="54">
        <f>IF(H129:H1128&lt;45, "Adult", IF(H129:H1128&lt;60, "Middle Age", IF(H129:H1128&lt;70, "Old", "Very Old")))</f>
      </c>
      <c r="J129" s="55">
        <v>33695</v>
      </c>
      <c r="K129" s="56">
        <v>53809</v>
      </c>
      <c r="L129" s="54">
        <f>IF(K129:K1128&lt;50000,"0-50",IF(K129:K1128&lt;100001,"51-100",IF(K129:K1128&lt;150001,"101-150",IF(K129:K1128&lt;200001,"151-200",IF(K129:K1128&lt;250001,"201-250","above 250")))))</f>
      </c>
      <c r="M129" s="57">
        <v>0</v>
      </c>
      <c r="N129" s="45" t="s">
        <v>15</v>
      </c>
      <c r="O129" s="45" t="s">
        <v>61</v>
      </c>
      <c r="P129" s="51"/>
      <c r="Q129" s="52">
        <f>IF(ISBLANK(P129:P1128), "", DATEDIF(J129:J1128, P129:P1128, "Y"))</f>
      </c>
    </row>
    <row x14ac:dyDescent="0.25" r="130" customHeight="1" ht="15.75">
      <c r="A130" s="45" t="s">
        <v>1223</v>
      </c>
      <c r="B130" s="45" t="s">
        <v>139</v>
      </c>
      <c r="C130" s="45" t="s">
        <v>102</v>
      </c>
      <c r="D130" s="45" t="s">
        <v>26</v>
      </c>
      <c r="E130" s="45" t="s">
        <v>1096</v>
      </c>
      <c r="F130" s="45" t="s">
        <v>10</v>
      </c>
      <c r="G130" s="45" t="s">
        <v>8</v>
      </c>
      <c r="H130" s="53">
        <v>27</v>
      </c>
      <c r="I130" s="54">
        <f>IF(H130:H1129&lt;45, "Adult", IF(H130:H1129&lt;60, "Middle Age", IF(H130:H1129&lt;70, "Old", "Very Old")))</f>
      </c>
      <c r="J130" s="55">
        <v>43937</v>
      </c>
      <c r="K130" s="56">
        <v>71864</v>
      </c>
      <c r="L130" s="54">
        <f>IF(K130:K1129&lt;50000,"0-50",IF(K130:K1129&lt;100001,"51-100",IF(K130:K1129&lt;150001,"101-150",IF(K130:K1129&lt;200001,"151-200",IF(K130:K1129&lt;250001,"201-250","above 250")))))</f>
      </c>
      <c r="M130" s="57">
        <v>0</v>
      </c>
      <c r="N130" s="45" t="s">
        <v>12</v>
      </c>
      <c r="O130" s="45" t="s">
        <v>49</v>
      </c>
      <c r="P130" s="51"/>
      <c r="Q130" s="52">
        <f>IF(ISBLANK(P130:P1129), "", DATEDIF(J130:J1129, P130:P1129, "Y"))</f>
      </c>
    </row>
    <row x14ac:dyDescent="0.25" r="131" customHeight="1" ht="15.75">
      <c r="A131" s="45" t="s">
        <v>1224</v>
      </c>
      <c r="B131" s="45" t="s">
        <v>384</v>
      </c>
      <c r="C131" s="45" t="s">
        <v>142</v>
      </c>
      <c r="D131" s="45" t="s">
        <v>28</v>
      </c>
      <c r="E131" s="45" t="s">
        <v>1100</v>
      </c>
      <c r="F131" s="45" t="s">
        <v>7</v>
      </c>
      <c r="G131" s="45" t="s">
        <v>8</v>
      </c>
      <c r="H131" s="53">
        <v>37</v>
      </c>
      <c r="I131" s="54">
        <f>IF(H131:H1130&lt;45, "Adult", IF(H131:H1130&lt;60, "Middle Age", IF(H131:H1130&lt;70, "Old", "Very Old")))</f>
      </c>
      <c r="J131" s="55">
        <v>40883</v>
      </c>
      <c r="K131" s="56">
        <v>225558</v>
      </c>
      <c r="L131" s="54">
        <f>IF(K131:K1130&lt;50000,"0-50",IF(K131:K1130&lt;100001,"51-100",IF(K131:K1130&lt;150001,"101-150",IF(K131:K1130&lt;200001,"151-200",IF(K131:K1130&lt;250001,"201-250","above 250")))))</f>
      </c>
      <c r="M131" s="57">
        <v>0.33</v>
      </c>
      <c r="N131" s="45" t="s">
        <v>12</v>
      </c>
      <c r="O131" s="45" t="s">
        <v>69</v>
      </c>
      <c r="P131" s="51"/>
      <c r="Q131" s="52">
        <f>IF(ISBLANK(P131:P1130), "", DATEDIF(J131:J1130, P131:P1130, "Y"))</f>
      </c>
    </row>
    <row x14ac:dyDescent="0.25" r="132" customHeight="1" ht="15.75">
      <c r="A132" s="45" t="s">
        <v>1225</v>
      </c>
      <c r="B132" s="45" t="s">
        <v>387</v>
      </c>
      <c r="C132" s="45" t="s">
        <v>132</v>
      </c>
      <c r="D132" s="45" t="s">
        <v>32</v>
      </c>
      <c r="E132" s="45" t="s">
        <v>1094</v>
      </c>
      <c r="F132" s="45" t="s">
        <v>10</v>
      </c>
      <c r="G132" s="45" t="s">
        <v>14</v>
      </c>
      <c r="H132" s="53">
        <v>37</v>
      </c>
      <c r="I132" s="54">
        <f>IF(H132:H1131&lt;45, "Adult", IF(H132:H1131&lt;60, "Middle Age", IF(H132:H1131&lt;70, "Old", "Very Old")))</f>
      </c>
      <c r="J132" s="55">
        <v>41695</v>
      </c>
      <c r="K132" s="56">
        <v>128984</v>
      </c>
      <c r="L132" s="54">
        <f>IF(K132:K1131&lt;50000,"0-50",IF(K132:K1131&lt;100001,"51-100",IF(K132:K1131&lt;150001,"101-150",IF(K132:K1131&lt;200001,"151-200",IF(K132:K1131&lt;250001,"201-250","above 250")))))</f>
      </c>
      <c r="M132" s="57">
        <v>0.12</v>
      </c>
      <c r="N132" s="45" t="s">
        <v>15</v>
      </c>
      <c r="O132" s="45" t="s">
        <v>59</v>
      </c>
      <c r="P132" s="58">
        <v>44317</v>
      </c>
      <c r="Q132" s="53">
        <f>IF(ISBLANK(P132:P1131), "", DATEDIF(J132:J1131, P132:P1131, "Y"))</f>
      </c>
    </row>
    <row x14ac:dyDescent="0.25" r="133" customHeight="1" ht="15.75">
      <c r="A133" s="45" t="s">
        <v>1226</v>
      </c>
      <c r="B133" s="45" t="s">
        <v>633</v>
      </c>
      <c r="C133" s="45" t="s">
        <v>102</v>
      </c>
      <c r="D133" s="45" t="s">
        <v>26</v>
      </c>
      <c r="E133" s="45" t="s">
        <v>1096</v>
      </c>
      <c r="F133" s="45" t="s">
        <v>10</v>
      </c>
      <c r="G133" s="45" t="s">
        <v>17</v>
      </c>
      <c r="H133" s="53">
        <v>46</v>
      </c>
      <c r="I133" s="54">
        <f>IF(H133:H1132&lt;45, "Adult", IF(H133:H1132&lt;60, "Middle Age", IF(H133:H1132&lt;70, "Old", "Very Old")))</f>
      </c>
      <c r="J133" s="55">
        <v>36331</v>
      </c>
      <c r="K133" s="56">
        <v>96997</v>
      </c>
      <c r="L133" s="54">
        <f>IF(K133:K1132&lt;50000,"0-50",IF(K133:K1132&lt;100001,"51-100",IF(K133:K1132&lt;150001,"101-150",IF(K133:K1132&lt;200001,"151-200",IF(K133:K1132&lt;250001,"201-250","above 250")))))</f>
      </c>
      <c r="M133" s="57">
        <v>0</v>
      </c>
      <c r="N133" s="45" t="s">
        <v>9</v>
      </c>
      <c r="O133" s="45" t="s">
        <v>65</v>
      </c>
      <c r="P133" s="51"/>
      <c r="Q133" s="52">
        <f>IF(ISBLANK(P133:P1132), "", DATEDIF(J133:J1132, P133:P1132, "Y"))</f>
      </c>
    </row>
    <row x14ac:dyDescent="0.25" r="134" customHeight="1" ht="15.75">
      <c r="A134" s="45" t="s">
        <v>1227</v>
      </c>
      <c r="B134" s="45" t="s">
        <v>833</v>
      </c>
      <c r="C134" s="45" t="s">
        <v>96</v>
      </c>
      <c r="D134" s="45" t="s">
        <v>30</v>
      </c>
      <c r="E134" s="45" t="s">
        <v>1094</v>
      </c>
      <c r="F134" s="45" t="s">
        <v>7</v>
      </c>
      <c r="G134" s="45" t="s">
        <v>17</v>
      </c>
      <c r="H134" s="53">
        <v>54</v>
      </c>
      <c r="I134" s="54">
        <f>IF(H134:H1133&lt;45, "Adult", IF(H134:H1133&lt;60, "Middle Age", IF(H134:H1133&lt;70, "Old", "Very Old")))</f>
      </c>
      <c r="J134" s="55">
        <v>43122</v>
      </c>
      <c r="K134" s="56">
        <v>176294</v>
      </c>
      <c r="L134" s="54">
        <f>IF(K134:K1133&lt;50000,"0-50",IF(K134:K1133&lt;100001,"51-100",IF(K134:K1133&lt;150001,"101-150",IF(K134:K1133&lt;200001,"151-200",IF(K134:K1133&lt;250001,"201-250","above 250")))))</f>
      </c>
      <c r="M134" s="57">
        <v>0.28</v>
      </c>
      <c r="N134" s="45" t="s">
        <v>15</v>
      </c>
      <c r="O134" s="45" t="s">
        <v>42</v>
      </c>
      <c r="P134" s="51"/>
      <c r="Q134" s="52">
        <f>IF(ISBLANK(P134:P1133), "", DATEDIF(J134:J1133, P134:P1133, "Y"))</f>
      </c>
    </row>
    <row x14ac:dyDescent="0.25" r="135" customHeight="1" ht="15.75">
      <c r="A135" s="45" t="s">
        <v>1228</v>
      </c>
      <c r="B135" s="45" t="s">
        <v>226</v>
      </c>
      <c r="C135" s="45" t="s">
        <v>80</v>
      </c>
      <c r="D135" s="45" t="s">
        <v>36</v>
      </c>
      <c r="E135" s="45" t="s">
        <v>1092</v>
      </c>
      <c r="F135" s="45" t="s">
        <v>7</v>
      </c>
      <c r="G135" s="45" t="s">
        <v>8</v>
      </c>
      <c r="H135" s="53">
        <v>30</v>
      </c>
      <c r="I135" s="54">
        <f>IF(H135:H1134&lt;45, "Adult", IF(H135:H1134&lt;60, "Middle Age", IF(H135:H1134&lt;70, "Old", "Very Old")))</f>
      </c>
      <c r="J135" s="55">
        <v>44241</v>
      </c>
      <c r="K135" s="56">
        <v>48340</v>
      </c>
      <c r="L135" s="54">
        <f>IF(K135:K1134&lt;50000,"0-50",IF(K135:K1134&lt;100001,"51-100",IF(K135:K1134&lt;150001,"101-150",IF(K135:K1134&lt;200001,"151-200",IF(K135:K1134&lt;250001,"201-250","above 250")))))</f>
      </c>
      <c r="M135" s="57">
        <v>0</v>
      </c>
      <c r="N135" s="45" t="s">
        <v>12</v>
      </c>
      <c r="O135" s="45" t="s">
        <v>47</v>
      </c>
      <c r="P135" s="51"/>
      <c r="Q135" s="52">
        <f>IF(ISBLANK(P135:P1134), "", DATEDIF(J135:J1134, P135:P1134, "Y"))</f>
      </c>
    </row>
    <row x14ac:dyDescent="0.25" r="136" customHeight="1" ht="15.75">
      <c r="A136" s="45" t="s">
        <v>1229</v>
      </c>
      <c r="B136" s="45" t="s">
        <v>157</v>
      </c>
      <c r="C136" s="45" t="s">
        <v>142</v>
      </c>
      <c r="D136" s="45" t="s">
        <v>26</v>
      </c>
      <c r="E136" s="45" t="s">
        <v>1100</v>
      </c>
      <c r="F136" s="45" t="s">
        <v>7</v>
      </c>
      <c r="G136" s="45" t="s">
        <v>17</v>
      </c>
      <c r="H136" s="53">
        <v>28</v>
      </c>
      <c r="I136" s="54">
        <f>IF(H136:H1135&lt;45, "Adult", IF(H136:H1135&lt;60, "Middle Age", IF(H136:H1135&lt;70, "Old", "Very Old")))</f>
      </c>
      <c r="J136" s="55">
        <v>42922</v>
      </c>
      <c r="K136" s="56">
        <v>240488</v>
      </c>
      <c r="L136" s="54">
        <f>IF(K136:K1135&lt;50000,"0-50",IF(K136:K1135&lt;100001,"51-100",IF(K136:K1135&lt;150001,"101-150",IF(K136:K1135&lt;200001,"151-200",IF(K136:K1135&lt;250001,"201-250","above 250")))))</f>
      </c>
      <c r="M136" s="57">
        <v>0.4</v>
      </c>
      <c r="N136" s="45" t="s">
        <v>9</v>
      </c>
      <c r="O136" s="45" t="s">
        <v>63</v>
      </c>
      <c r="P136" s="51"/>
      <c r="Q136" s="52">
        <f>IF(ISBLANK(P136:P1135), "", DATEDIF(J136:J1135, P136:P1135, "Y"))</f>
      </c>
    </row>
    <row x14ac:dyDescent="0.25" r="137" customHeight="1" ht="15.75">
      <c r="A137" s="45" t="s">
        <v>1230</v>
      </c>
      <c r="B137" s="45" t="s">
        <v>450</v>
      </c>
      <c r="C137" s="45" t="s">
        <v>100</v>
      </c>
      <c r="D137" s="45" t="s">
        <v>32</v>
      </c>
      <c r="E137" s="45" t="s">
        <v>1094</v>
      </c>
      <c r="F137" s="45" t="s">
        <v>10</v>
      </c>
      <c r="G137" s="45" t="s">
        <v>14</v>
      </c>
      <c r="H137" s="53">
        <v>40</v>
      </c>
      <c r="I137" s="54">
        <f>IF(H137:H1136&lt;45, "Adult", IF(H137:H1136&lt;60, "Middle Age", IF(H137:H1136&lt;70, "Old", "Very Old")))</f>
      </c>
      <c r="J137" s="55">
        <v>40565</v>
      </c>
      <c r="K137" s="56">
        <v>97339</v>
      </c>
      <c r="L137" s="54">
        <f>IF(K137:K1136&lt;50000,"0-50",IF(K137:K1136&lt;100001,"51-100",IF(K137:K1136&lt;150001,"101-150",IF(K137:K1136&lt;200001,"151-200",IF(K137:K1136&lt;250001,"201-250","above 250")))))</f>
      </c>
      <c r="M137" s="57">
        <v>0</v>
      </c>
      <c r="N137" s="45" t="s">
        <v>15</v>
      </c>
      <c r="O137" s="45" t="s">
        <v>42</v>
      </c>
      <c r="P137" s="51"/>
      <c r="Q137" s="52">
        <f>IF(ISBLANK(P137:P1136), "", DATEDIF(J137:J1136, P137:P1136, "Y"))</f>
      </c>
    </row>
    <row x14ac:dyDescent="0.25" r="138" customHeight="1" ht="15.75">
      <c r="A138" s="45" t="s">
        <v>1231</v>
      </c>
      <c r="B138" s="45" t="s">
        <v>718</v>
      </c>
      <c r="C138" s="45" t="s">
        <v>142</v>
      </c>
      <c r="D138" s="45" t="s">
        <v>30</v>
      </c>
      <c r="E138" s="45" t="s">
        <v>1094</v>
      </c>
      <c r="F138" s="45" t="s">
        <v>7</v>
      </c>
      <c r="G138" s="45" t="s">
        <v>8</v>
      </c>
      <c r="H138" s="53">
        <v>49</v>
      </c>
      <c r="I138" s="54">
        <f>IF(H138:H1137&lt;45, "Adult", IF(H138:H1137&lt;60, "Middle Age", IF(H138:H1137&lt;70, "Old", "Very Old")))</f>
      </c>
      <c r="J138" s="55">
        <v>37680</v>
      </c>
      <c r="K138" s="56">
        <v>211291</v>
      </c>
      <c r="L138" s="54">
        <f>IF(K138:K1137&lt;50000,"0-50",IF(K138:K1137&lt;100001,"51-100",IF(K138:K1137&lt;150001,"101-150",IF(K138:K1137&lt;200001,"151-200",IF(K138:K1137&lt;250001,"201-250","above 250")))))</f>
      </c>
      <c r="M138" s="57">
        <v>0.37</v>
      </c>
      <c r="N138" s="45" t="s">
        <v>12</v>
      </c>
      <c r="O138" s="45" t="s">
        <v>53</v>
      </c>
      <c r="P138" s="51"/>
      <c r="Q138" s="52">
        <f>IF(ISBLANK(P138:P1137), "", DATEDIF(J138:J1137, P138:P1137, "Y"))</f>
      </c>
    </row>
    <row x14ac:dyDescent="0.25" r="139" customHeight="1" ht="15.75">
      <c r="A139" s="45" t="s">
        <v>1232</v>
      </c>
      <c r="B139" s="45" t="s">
        <v>428</v>
      </c>
      <c r="C139" s="45" t="s">
        <v>142</v>
      </c>
      <c r="D139" s="45" t="s">
        <v>36</v>
      </c>
      <c r="E139" s="45" t="s">
        <v>1092</v>
      </c>
      <c r="F139" s="45" t="s">
        <v>10</v>
      </c>
      <c r="G139" s="45" t="s">
        <v>17</v>
      </c>
      <c r="H139" s="53">
        <v>39</v>
      </c>
      <c r="I139" s="54">
        <f>IF(H139:H1138&lt;45, "Adult", IF(H139:H1138&lt;60, "Middle Age", IF(H139:H1138&lt;70, "Old", "Very Old")))</f>
      </c>
      <c r="J139" s="55">
        <v>40778</v>
      </c>
      <c r="K139" s="56">
        <v>249506</v>
      </c>
      <c r="L139" s="54">
        <f>IF(K139:K1138&lt;50000,"0-50",IF(K139:K1138&lt;100001,"51-100",IF(K139:K1138&lt;150001,"101-150",IF(K139:K1138&lt;200001,"151-200",IF(K139:K1138&lt;250001,"201-250","above 250")))))</f>
      </c>
      <c r="M139" s="57">
        <v>0.3</v>
      </c>
      <c r="N139" s="45" t="s">
        <v>9</v>
      </c>
      <c r="O139" s="45" t="s">
        <v>63</v>
      </c>
      <c r="P139" s="51"/>
      <c r="Q139" s="52">
        <f>IF(ISBLANK(P139:P1138), "", DATEDIF(J139:J1138, P139:P1138, "Y"))</f>
      </c>
    </row>
    <row x14ac:dyDescent="0.25" r="140" customHeight="1" ht="15.75">
      <c r="A140" s="45" t="s">
        <v>1233</v>
      </c>
      <c r="B140" s="45" t="s">
        <v>998</v>
      </c>
      <c r="C140" s="45" t="s">
        <v>120</v>
      </c>
      <c r="D140" s="45" t="s">
        <v>26</v>
      </c>
      <c r="E140" s="45" t="s">
        <v>1096</v>
      </c>
      <c r="F140" s="45" t="s">
        <v>10</v>
      </c>
      <c r="G140" s="45" t="s">
        <v>8</v>
      </c>
      <c r="H140" s="53">
        <v>61</v>
      </c>
      <c r="I140" s="54">
        <f>IF(H140:H1139&lt;45, "Adult", IF(H140:H1139&lt;60, "Middle Age", IF(H140:H1139&lt;70, "Old", "Very Old")))</f>
      </c>
      <c r="J140" s="55">
        <v>37582</v>
      </c>
      <c r="K140" s="56">
        <v>80950</v>
      </c>
      <c r="L140" s="54">
        <f>IF(K140:K1139&lt;50000,"0-50",IF(K140:K1139&lt;100001,"51-100",IF(K140:K1139&lt;150001,"101-150",IF(K140:K1139&lt;200001,"151-200",IF(K140:K1139&lt;250001,"201-250","above 250")))))</f>
      </c>
      <c r="M140" s="57">
        <v>0</v>
      </c>
      <c r="N140" s="45" t="s">
        <v>12</v>
      </c>
      <c r="O140" s="45" t="s">
        <v>53</v>
      </c>
      <c r="P140" s="51"/>
      <c r="Q140" s="52">
        <f>IF(ISBLANK(P140:P1139), "", DATEDIF(J140:J1139, P140:P1139, "Y"))</f>
      </c>
    </row>
    <row x14ac:dyDescent="0.25" r="141" customHeight="1" ht="15.75">
      <c r="A141" s="45" t="s">
        <v>1234</v>
      </c>
      <c r="B141" s="45" t="s">
        <v>637</v>
      </c>
      <c r="C141" s="45" t="s">
        <v>84</v>
      </c>
      <c r="D141" s="45" t="s">
        <v>26</v>
      </c>
      <c r="E141" s="45" t="s">
        <v>1092</v>
      </c>
      <c r="F141" s="45" t="s">
        <v>7</v>
      </c>
      <c r="G141" s="45" t="s">
        <v>8</v>
      </c>
      <c r="H141" s="53">
        <v>46</v>
      </c>
      <c r="I141" s="54">
        <f>IF(H141:H1140&lt;45, "Adult", IF(H141:H1140&lt;60, "Middle Age", IF(H141:H1140&lt;70, "Old", "Very Old")))</f>
      </c>
      <c r="J141" s="55">
        <v>44206</v>
      </c>
      <c r="K141" s="56">
        <v>86538</v>
      </c>
      <c r="L141" s="54">
        <f>IF(K141:K1140&lt;50000,"0-50",IF(K141:K1140&lt;100001,"51-100",IF(K141:K1140&lt;150001,"101-150",IF(K141:K1140&lt;200001,"151-200",IF(K141:K1140&lt;250001,"201-250","above 250")))))</f>
      </c>
      <c r="M141" s="57">
        <v>0</v>
      </c>
      <c r="N141" s="45" t="s">
        <v>12</v>
      </c>
      <c r="O141" s="45" t="s">
        <v>49</v>
      </c>
      <c r="P141" s="51"/>
      <c r="Q141" s="52">
        <f>IF(ISBLANK(P141:P1140), "", DATEDIF(J141:J1140, P141:P1140, "Y"))</f>
      </c>
    </row>
    <row x14ac:dyDescent="0.25" r="142" customHeight="1" ht="15.75">
      <c r="A142" s="45" t="s">
        <v>1235</v>
      </c>
      <c r="B142" s="45" t="s">
        <v>336</v>
      </c>
      <c r="C142" s="45" t="s">
        <v>128</v>
      </c>
      <c r="D142" s="45" t="s">
        <v>34</v>
      </c>
      <c r="E142" s="45" t="s">
        <v>1096</v>
      </c>
      <c r="F142" s="45" t="s">
        <v>7</v>
      </c>
      <c r="G142" s="45" t="s">
        <v>14</v>
      </c>
      <c r="H142" s="53">
        <v>35</v>
      </c>
      <c r="I142" s="54">
        <f>IF(H142:H1141&lt;45, "Adult", IF(H142:H1141&lt;60, "Middle Age", IF(H142:H1141&lt;70, "Old", "Very Old")))</f>
      </c>
      <c r="J142" s="55">
        <v>43715</v>
      </c>
      <c r="K142" s="56">
        <v>70992</v>
      </c>
      <c r="L142" s="54">
        <f>IF(K142:K1141&lt;50000,"0-50",IF(K142:K1141&lt;100001,"51-100",IF(K142:K1141&lt;150001,"101-150",IF(K142:K1141&lt;200001,"151-200",IF(K142:K1141&lt;250001,"201-250","above 250")))))</f>
      </c>
      <c r="M142" s="57">
        <v>0</v>
      </c>
      <c r="N142" s="45" t="s">
        <v>15</v>
      </c>
      <c r="O142" s="45" t="s">
        <v>42</v>
      </c>
      <c r="P142" s="51"/>
      <c r="Q142" s="52">
        <f>IF(ISBLANK(P142:P1141), "", DATEDIF(J142:J1141, P142:P1141, "Y"))</f>
      </c>
    </row>
    <row x14ac:dyDescent="0.25" r="143" customHeight="1" ht="15.75">
      <c r="A143" s="45" t="s">
        <v>1236</v>
      </c>
      <c r="B143" s="45" t="s">
        <v>289</v>
      </c>
      <c r="C143" s="45" t="s">
        <v>142</v>
      </c>
      <c r="D143" s="45" t="s">
        <v>26</v>
      </c>
      <c r="E143" s="45" t="s">
        <v>1100</v>
      </c>
      <c r="F143" s="45" t="s">
        <v>10</v>
      </c>
      <c r="G143" s="45" t="s">
        <v>14</v>
      </c>
      <c r="H143" s="53">
        <v>33</v>
      </c>
      <c r="I143" s="54">
        <f>IF(H143:H1142&lt;45, "Adult", IF(H143:H1142&lt;60, "Middle Age", IF(H143:H1142&lt;70, "Old", "Very Old")))</f>
      </c>
      <c r="J143" s="55">
        <v>42173</v>
      </c>
      <c r="K143" s="56">
        <v>205314</v>
      </c>
      <c r="L143" s="54">
        <f>IF(K143:K1142&lt;50000,"0-50",IF(K143:K1142&lt;100001,"51-100",IF(K143:K1142&lt;150001,"101-150",IF(K143:K1142&lt;200001,"151-200",IF(K143:K1142&lt;250001,"201-250","above 250")))))</f>
      </c>
      <c r="M143" s="57">
        <v>0.3</v>
      </c>
      <c r="N143" s="45" t="s">
        <v>15</v>
      </c>
      <c r="O143" s="45" t="s">
        <v>55</v>
      </c>
      <c r="P143" s="51"/>
      <c r="Q143" s="52">
        <f>IF(ISBLANK(P143:P1142), "", DATEDIF(J143:J1142, P143:P1142, "Y"))</f>
      </c>
    </row>
    <row x14ac:dyDescent="0.25" r="144" customHeight="1" ht="15.75">
      <c r="A144" s="45" t="s">
        <v>1237</v>
      </c>
      <c r="B144" s="45" t="s">
        <v>997</v>
      </c>
      <c r="C144" s="45" t="s">
        <v>142</v>
      </c>
      <c r="D144" s="45" t="s">
        <v>30</v>
      </c>
      <c r="E144" s="45" t="s">
        <v>1100</v>
      </c>
      <c r="F144" s="45" t="s">
        <v>7</v>
      </c>
      <c r="G144" s="45" t="s">
        <v>8</v>
      </c>
      <c r="H144" s="53">
        <v>61</v>
      </c>
      <c r="I144" s="54">
        <f>IF(H144:H1143&lt;45, "Adult", IF(H144:H1143&lt;60, "Middle Age", IF(H144:H1143&lt;70, "Old", "Very Old")))</f>
      </c>
      <c r="J144" s="55">
        <v>42804</v>
      </c>
      <c r="K144" s="56">
        <v>196951</v>
      </c>
      <c r="L144" s="54">
        <f>IF(K144:K1143&lt;50000,"0-50",IF(K144:K1143&lt;100001,"51-100",IF(K144:K1143&lt;150001,"101-150",IF(K144:K1143&lt;200001,"151-200",IF(K144:K1143&lt;250001,"201-250","above 250")))))</f>
      </c>
      <c r="M144" s="57">
        <v>0.33</v>
      </c>
      <c r="N144" s="45" t="s">
        <v>12</v>
      </c>
      <c r="O144" s="45" t="s">
        <v>47</v>
      </c>
      <c r="P144" s="51"/>
      <c r="Q144" s="52">
        <f>IF(ISBLANK(P144:P1143), "", DATEDIF(J144:J1143, P144:P1143, "Y"))</f>
      </c>
    </row>
    <row x14ac:dyDescent="0.25" r="145" customHeight="1" ht="15.75">
      <c r="A145" s="45" t="s">
        <v>1238</v>
      </c>
      <c r="B145" s="45" t="s">
        <v>565</v>
      </c>
      <c r="C145" s="45" t="s">
        <v>116</v>
      </c>
      <c r="D145" s="45" t="s">
        <v>32</v>
      </c>
      <c r="E145" s="45" t="s">
        <v>1096</v>
      </c>
      <c r="F145" s="45" t="s">
        <v>10</v>
      </c>
      <c r="G145" s="45" t="s">
        <v>8</v>
      </c>
      <c r="H145" s="53">
        <v>45</v>
      </c>
      <c r="I145" s="54">
        <f>IF(H145:H1144&lt;45, "Adult", IF(H145:H1144&lt;60, "Middle Age", IF(H145:H1144&lt;70, "Old", "Very Old")))</f>
      </c>
      <c r="J145" s="55">
        <v>38613</v>
      </c>
      <c r="K145" s="56">
        <v>67686</v>
      </c>
      <c r="L145" s="54">
        <f>IF(K145:K1144&lt;50000,"0-50",IF(K145:K1144&lt;100001,"51-100",IF(K145:K1144&lt;150001,"101-150",IF(K145:K1144&lt;200001,"151-200",IF(K145:K1144&lt;250001,"201-250","above 250")))))</f>
      </c>
      <c r="M145" s="57">
        <v>0</v>
      </c>
      <c r="N145" s="45" t="s">
        <v>12</v>
      </c>
      <c r="O145" s="45" t="s">
        <v>47</v>
      </c>
      <c r="P145" s="51"/>
      <c r="Q145" s="52">
        <f>IF(ISBLANK(P145:P1144), "", DATEDIF(J145:J1144, P145:P1144, "Y"))</f>
      </c>
    </row>
    <row x14ac:dyDescent="0.25" r="146" customHeight="1" ht="15.75">
      <c r="A146" s="45" t="s">
        <v>1239</v>
      </c>
      <c r="B146" s="45" t="s">
        <v>756</v>
      </c>
      <c r="C146" s="45" t="s">
        <v>138</v>
      </c>
      <c r="D146" s="45" t="s">
        <v>32</v>
      </c>
      <c r="E146" s="45" t="s">
        <v>1092</v>
      </c>
      <c r="F146" s="45" t="s">
        <v>10</v>
      </c>
      <c r="G146" s="45" t="s">
        <v>17</v>
      </c>
      <c r="H146" s="53">
        <v>51</v>
      </c>
      <c r="I146" s="54">
        <f>IF(H146:H1145&lt;45, "Adult", IF(H146:H1145&lt;60, "Middle Age", IF(H146:H1145&lt;70, "Old", "Very Old")))</f>
      </c>
      <c r="J146" s="55">
        <v>39553</v>
      </c>
      <c r="K146" s="56">
        <v>86431</v>
      </c>
      <c r="L146" s="54">
        <f>IF(K146:K1145&lt;50000,"0-50",IF(K146:K1145&lt;100001,"51-100",IF(K146:K1145&lt;150001,"101-150",IF(K146:K1145&lt;200001,"151-200",IF(K146:K1145&lt;250001,"201-250","above 250")))))</f>
      </c>
      <c r="M146" s="57">
        <v>0</v>
      </c>
      <c r="N146" s="45" t="s">
        <v>15</v>
      </c>
      <c r="O146" s="45" t="s">
        <v>55</v>
      </c>
      <c r="P146" s="51"/>
      <c r="Q146" s="52">
        <f>IF(ISBLANK(P146:P1145), "", DATEDIF(J146:J1145, P146:P1145, "Y"))</f>
      </c>
    </row>
    <row x14ac:dyDescent="0.25" r="147" customHeight="1" ht="15.75">
      <c r="A147" s="45" t="s">
        <v>1240</v>
      </c>
      <c r="B147" s="45" t="s">
        <v>860</v>
      </c>
      <c r="C147" s="45" t="s">
        <v>110</v>
      </c>
      <c r="D147" s="45" t="s">
        <v>30</v>
      </c>
      <c r="E147" s="45" t="s">
        <v>1094</v>
      </c>
      <c r="F147" s="45" t="s">
        <v>10</v>
      </c>
      <c r="G147" s="45" t="s">
        <v>8</v>
      </c>
      <c r="H147" s="53">
        <v>55</v>
      </c>
      <c r="I147" s="54">
        <f>IF(H147:H1146&lt;45, "Adult", IF(H147:H1146&lt;60, "Middle Age", IF(H147:H1146&lt;70, "Old", "Very Old")))</f>
      </c>
      <c r="J147" s="55">
        <v>35019</v>
      </c>
      <c r="K147" s="56">
        <v>125936</v>
      </c>
      <c r="L147" s="54">
        <f>IF(K147:K1146&lt;50000,"0-50",IF(K147:K1146&lt;100001,"51-100",IF(K147:K1146&lt;150001,"101-150",IF(K147:K1146&lt;200001,"151-200",IF(K147:K1146&lt;250001,"201-250","above 250")))))</f>
      </c>
      <c r="M147" s="57">
        <v>0.08</v>
      </c>
      <c r="N147" s="45" t="s">
        <v>12</v>
      </c>
      <c r="O147" s="45" t="s">
        <v>53</v>
      </c>
      <c r="P147" s="51"/>
      <c r="Q147" s="52">
        <f>IF(ISBLANK(P147:P1146), "", DATEDIF(J147:J1146, P147:P1146, "Y"))</f>
      </c>
    </row>
    <row x14ac:dyDescent="0.25" r="148" customHeight="1" ht="15.75">
      <c r="A148" s="45" t="s">
        <v>1241</v>
      </c>
      <c r="B148" s="45" t="s">
        <v>639</v>
      </c>
      <c r="C148" s="45" t="s">
        <v>132</v>
      </c>
      <c r="D148" s="45" t="s">
        <v>36</v>
      </c>
      <c r="E148" s="45" t="s">
        <v>1100</v>
      </c>
      <c r="F148" s="45" t="s">
        <v>7</v>
      </c>
      <c r="G148" s="45" t="s">
        <v>14</v>
      </c>
      <c r="H148" s="53">
        <v>46</v>
      </c>
      <c r="I148" s="54">
        <f>IF(H148:H1147&lt;45, "Adult", IF(H148:H1147&lt;60, "Middle Age", IF(H148:H1147&lt;70, "Old", "Very Old")))</f>
      </c>
      <c r="J148" s="55">
        <v>41473</v>
      </c>
      <c r="K148" s="56">
        <v>149712</v>
      </c>
      <c r="L148" s="54">
        <f>IF(K148:K1147&lt;50000,"0-50",IF(K148:K1147&lt;100001,"51-100",IF(K148:K1147&lt;150001,"101-150",IF(K148:K1147&lt;200001,"151-200",IF(K148:K1147&lt;250001,"201-250","above 250")))))</f>
      </c>
      <c r="M148" s="57">
        <v>0.14</v>
      </c>
      <c r="N148" s="45" t="s">
        <v>15</v>
      </c>
      <c r="O148" s="45" t="s">
        <v>55</v>
      </c>
      <c r="P148" s="51"/>
      <c r="Q148" s="52">
        <f>IF(ISBLANK(P148:P1147), "", DATEDIF(J148:J1147, P148:P1147, "Y"))</f>
      </c>
    </row>
    <row x14ac:dyDescent="0.25" r="149" customHeight="1" ht="15.75">
      <c r="A149" s="45" t="s">
        <v>1242</v>
      </c>
      <c r="B149" s="45" t="s">
        <v>214</v>
      </c>
      <c r="C149" s="45" t="s">
        <v>102</v>
      </c>
      <c r="D149" s="45" t="s">
        <v>26</v>
      </c>
      <c r="E149" s="45" t="s">
        <v>1096</v>
      </c>
      <c r="F149" s="45" t="s">
        <v>10</v>
      </c>
      <c r="G149" s="45" t="s">
        <v>14</v>
      </c>
      <c r="H149" s="53">
        <v>30</v>
      </c>
      <c r="I149" s="54">
        <f>IF(H149:H1148&lt;45, "Adult", IF(H149:H1148&lt;60, "Middle Age", IF(H149:H1148&lt;70, "Old", "Very Old")))</f>
      </c>
      <c r="J149" s="55">
        <v>44471</v>
      </c>
      <c r="K149" s="56">
        <v>88758</v>
      </c>
      <c r="L149" s="54">
        <f>IF(K149:K1148&lt;50000,"0-50",IF(K149:K1148&lt;100001,"51-100",IF(K149:K1148&lt;150001,"101-150",IF(K149:K1148&lt;200001,"151-200",IF(K149:K1148&lt;250001,"201-250","above 250")))))</f>
      </c>
      <c r="M149" s="57">
        <v>0</v>
      </c>
      <c r="N149" s="45" t="s">
        <v>15</v>
      </c>
      <c r="O149" s="45" t="s">
        <v>67</v>
      </c>
      <c r="P149" s="51"/>
      <c r="Q149" s="52">
        <f>IF(ISBLANK(P149:P1148), "", DATEDIF(J149:J1148, P149:P1148, "Y"))</f>
      </c>
    </row>
    <row x14ac:dyDescent="0.25" r="150" customHeight="1" ht="15.75">
      <c r="A150" s="45" t="s">
        <v>1243</v>
      </c>
      <c r="B150" s="45" t="s">
        <v>835</v>
      </c>
      <c r="C150" s="45" t="s">
        <v>124</v>
      </c>
      <c r="D150" s="45" t="s">
        <v>32</v>
      </c>
      <c r="E150" s="45" t="s">
        <v>1092</v>
      </c>
      <c r="F150" s="45" t="s">
        <v>10</v>
      </c>
      <c r="G150" s="45" t="s">
        <v>8</v>
      </c>
      <c r="H150" s="53">
        <v>54</v>
      </c>
      <c r="I150" s="54">
        <f>IF(H150:H1149&lt;45, "Adult", IF(H150:H1149&lt;60, "Middle Age", IF(H150:H1149&lt;70, "Old", "Very Old")))</f>
      </c>
      <c r="J150" s="55">
        <v>41468</v>
      </c>
      <c r="K150" s="56">
        <v>83639</v>
      </c>
      <c r="L150" s="54">
        <f>IF(K150:K1149&lt;50000,"0-50",IF(K150:K1149&lt;100001,"51-100",IF(K150:K1149&lt;150001,"101-150",IF(K150:K1149&lt;200001,"151-200",IF(K150:K1149&lt;250001,"201-250","above 250")))))</f>
      </c>
      <c r="M150" s="57">
        <v>0</v>
      </c>
      <c r="N150" s="45" t="s">
        <v>12</v>
      </c>
      <c r="O150" s="45" t="s">
        <v>47</v>
      </c>
      <c r="P150" s="51"/>
      <c r="Q150" s="52">
        <f>IF(ISBLANK(P150:P1149), "", DATEDIF(J150:J1149, P150:P1149, "Y"))</f>
      </c>
    </row>
    <row x14ac:dyDescent="0.25" r="151" customHeight="1" ht="15.75">
      <c r="A151" s="45" t="s">
        <v>1244</v>
      </c>
      <c r="B151" s="45" t="s">
        <v>832</v>
      </c>
      <c r="C151" s="45" t="s">
        <v>114</v>
      </c>
      <c r="D151" s="45" t="s">
        <v>32</v>
      </c>
      <c r="E151" s="45" t="s">
        <v>1092</v>
      </c>
      <c r="F151" s="45" t="s">
        <v>7</v>
      </c>
      <c r="G151" s="45" t="s">
        <v>14</v>
      </c>
      <c r="H151" s="53">
        <v>54</v>
      </c>
      <c r="I151" s="54">
        <f>IF(H151:H1150&lt;45, "Adult", IF(H151:H1150&lt;60, "Middle Age", IF(H151:H1150&lt;70, "Old", "Very Old")))</f>
      </c>
      <c r="J151" s="55">
        <v>35933</v>
      </c>
      <c r="K151" s="56">
        <v>68268</v>
      </c>
      <c r="L151" s="54">
        <f>IF(K151:K1150&lt;50000,"0-50",IF(K151:K1150&lt;100001,"51-100",IF(K151:K1150&lt;150001,"101-150",IF(K151:K1150&lt;200001,"151-200",IF(K151:K1150&lt;250001,"201-250","above 250")))))</f>
      </c>
      <c r="M151" s="57">
        <v>0</v>
      </c>
      <c r="N151" s="45" t="s">
        <v>15</v>
      </c>
      <c r="O151" s="45" t="s">
        <v>61</v>
      </c>
      <c r="P151" s="51"/>
      <c r="Q151" s="52">
        <f>IF(ISBLANK(P151:P1150), "", DATEDIF(J151:J1150, P151:P1150, "Y"))</f>
      </c>
    </row>
    <row x14ac:dyDescent="0.25" r="152" customHeight="1" ht="15.75">
      <c r="A152" s="45" t="s">
        <v>1245</v>
      </c>
      <c r="B152" s="45" t="s">
        <v>569</v>
      </c>
      <c r="C152" s="45" t="s">
        <v>102</v>
      </c>
      <c r="D152" s="45" t="s">
        <v>26</v>
      </c>
      <c r="E152" s="45" t="s">
        <v>1094</v>
      </c>
      <c r="F152" s="45" t="s">
        <v>10</v>
      </c>
      <c r="G152" s="45" t="s">
        <v>17</v>
      </c>
      <c r="H152" s="53">
        <v>45</v>
      </c>
      <c r="I152" s="54">
        <f>IF(H152:H1151&lt;45, "Adult", IF(H152:H1151&lt;60, "Middle Age", IF(H152:H1151&lt;70, "Old", "Very Old")))</f>
      </c>
      <c r="J152" s="55">
        <v>37313</v>
      </c>
      <c r="K152" s="56">
        <v>75819</v>
      </c>
      <c r="L152" s="54">
        <f>IF(K152:K1151&lt;50000,"0-50",IF(K152:K1151&lt;100001,"51-100",IF(K152:K1151&lt;150001,"101-150",IF(K152:K1151&lt;200001,"151-200",IF(K152:K1151&lt;250001,"201-250","above 250")))))</f>
      </c>
      <c r="M152" s="57">
        <v>0</v>
      </c>
      <c r="N152" s="45" t="s">
        <v>9</v>
      </c>
      <c r="O152" s="45" t="s">
        <v>65</v>
      </c>
      <c r="P152" s="51"/>
      <c r="Q152" s="52">
        <f>IF(ISBLANK(P152:P1151), "", DATEDIF(J152:J1151, P152:P1151, "Y"))</f>
      </c>
    </row>
    <row x14ac:dyDescent="0.25" r="153" customHeight="1" ht="15.75">
      <c r="A153" s="45" t="s">
        <v>1246</v>
      </c>
      <c r="B153" s="45" t="s">
        <v>720</v>
      </c>
      <c r="C153" s="45" t="s">
        <v>128</v>
      </c>
      <c r="D153" s="45" t="s">
        <v>36</v>
      </c>
      <c r="E153" s="45" t="s">
        <v>1096</v>
      </c>
      <c r="F153" s="45" t="s">
        <v>7</v>
      </c>
      <c r="G153" s="45" t="s">
        <v>14</v>
      </c>
      <c r="H153" s="53">
        <v>49</v>
      </c>
      <c r="I153" s="54">
        <f>IF(H153:H1152&lt;45, "Adult", IF(H153:H1152&lt;60, "Middle Age", IF(H153:H1152&lt;70, "Old", "Very Old")))</f>
      </c>
      <c r="J153" s="55">
        <v>35200</v>
      </c>
      <c r="K153" s="56">
        <v>86658</v>
      </c>
      <c r="L153" s="54">
        <f>IF(K153:K1152&lt;50000,"0-50",IF(K153:K1152&lt;100001,"51-100",IF(K153:K1152&lt;150001,"101-150",IF(K153:K1152&lt;200001,"151-200",IF(K153:K1152&lt;250001,"201-250","above 250")))))</f>
      </c>
      <c r="M153" s="57">
        <v>0</v>
      </c>
      <c r="N153" s="45" t="s">
        <v>15</v>
      </c>
      <c r="O153" s="45" t="s">
        <v>61</v>
      </c>
      <c r="P153" s="51"/>
      <c r="Q153" s="52">
        <f>IF(ISBLANK(P153:P1152), "", DATEDIF(J153:J1152, P153:P1152, "Y"))</f>
      </c>
    </row>
    <row x14ac:dyDescent="0.25" r="154" customHeight="1" ht="15.75">
      <c r="A154" s="45" t="s">
        <v>1247</v>
      </c>
      <c r="B154" s="45" t="s">
        <v>856</v>
      </c>
      <c r="C154" s="45" t="s">
        <v>82</v>
      </c>
      <c r="D154" s="45" t="s">
        <v>28</v>
      </c>
      <c r="E154" s="45" t="s">
        <v>1092</v>
      </c>
      <c r="F154" s="45" t="s">
        <v>10</v>
      </c>
      <c r="G154" s="45" t="s">
        <v>8</v>
      </c>
      <c r="H154" s="53">
        <v>55</v>
      </c>
      <c r="I154" s="54">
        <f>IF(H154:H1153&lt;45, "Adult", IF(H154:H1153&lt;60, "Middle Age", IF(H154:H1153&lt;70, "Old", "Very Old")))</f>
      </c>
      <c r="J154" s="55">
        <v>41714</v>
      </c>
      <c r="K154" s="56">
        <v>74552</v>
      </c>
      <c r="L154" s="54">
        <f>IF(K154:K1153&lt;50000,"0-50",IF(K154:K1153&lt;100001,"51-100",IF(K154:K1153&lt;150001,"101-150",IF(K154:K1153&lt;200001,"151-200",IF(K154:K1153&lt;250001,"201-250","above 250")))))</f>
      </c>
      <c r="M154" s="57">
        <v>0</v>
      </c>
      <c r="N154" s="45" t="s">
        <v>12</v>
      </c>
      <c r="O154" s="45" t="s">
        <v>49</v>
      </c>
      <c r="P154" s="51"/>
      <c r="Q154" s="52">
        <f>IF(ISBLANK(P154:P1153), "", DATEDIF(J154:J1153, P154:P1153, "Y"))</f>
      </c>
    </row>
    <row x14ac:dyDescent="0.25" r="155" customHeight="1" ht="15.75">
      <c r="A155" s="45" t="s">
        <v>1248</v>
      </c>
      <c r="B155" s="45" t="s">
        <v>1014</v>
      </c>
      <c r="C155" s="45" t="s">
        <v>100</v>
      </c>
      <c r="D155" s="45" t="s">
        <v>32</v>
      </c>
      <c r="E155" s="45" t="s">
        <v>1094</v>
      </c>
      <c r="F155" s="45" t="s">
        <v>7</v>
      </c>
      <c r="G155" s="45" t="s">
        <v>8</v>
      </c>
      <c r="H155" s="53">
        <v>62</v>
      </c>
      <c r="I155" s="54">
        <f>IF(H155:H1154&lt;45, "Adult", IF(H155:H1154&lt;60, "Middle Age", IF(H155:H1154&lt;70, "Old", "Very Old")))</f>
      </c>
      <c r="J155" s="55">
        <v>39887</v>
      </c>
      <c r="K155" s="56">
        <v>82839</v>
      </c>
      <c r="L155" s="54">
        <f>IF(K155:K1154&lt;50000,"0-50",IF(K155:K1154&lt;100001,"51-100",IF(K155:K1154&lt;150001,"101-150",IF(K155:K1154&lt;200001,"151-200",IF(K155:K1154&lt;250001,"201-250","above 250")))))</f>
      </c>
      <c r="M155" s="57">
        <v>0</v>
      </c>
      <c r="N155" s="45" t="s">
        <v>15</v>
      </c>
      <c r="O155" s="45" t="s">
        <v>59</v>
      </c>
      <c r="P155" s="51"/>
      <c r="Q155" s="52">
        <f>IF(ISBLANK(P155:P1154), "", DATEDIF(J155:J1154, P155:P1154, "Y"))</f>
      </c>
    </row>
    <row x14ac:dyDescent="0.25" r="156" customHeight="1" ht="15.75">
      <c r="A156" s="45" t="s">
        <v>1249</v>
      </c>
      <c r="B156" s="45" t="s">
        <v>167</v>
      </c>
      <c r="C156" s="45" t="s">
        <v>114</v>
      </c>
      <c r="D156" s="45" t="s">
        <v>32</v>
      </c>
      <c r="E156" s="45" t="s">
        <v>1096</v>
      </c>
      <c r="F156" s="45" t="s">
        <v>7</v>
      </c>
      <c r="G156" s="45" t="s">
        <v>14</v>
      </c>
      <c r="H156" s="53">
        <v>28</v>
      </c>
      <c r="I156" s="54">
        <f>IF(H156:H1155&lt;45, "Adult", IF(H156:H1155&lt;60, "Middle Age", IF(H156:H1155&lt;70, "Old", "Very Old")))</f>
      </c>
      <c r="J156" s="55">
        <v>44477</v>
      </c>
      <c r="K156" s="56">
        <v>64475</v>
      </c>
      <c r="L156" s="54">
        <f>IF(K156:K1155&lt;50000,"0-50",IF(K156:K1155&lt;100001,"51-100",IF(K156:K1155&lt;150001,"101-150",IF(K156:K1155&lt;200001,"151-200",IF(K156:K1155&lt;250001,"201-250","above 250")))))</f>
      </c>
      <c r="M156" s="57">
        <v>0</v>
      </c>
      <c r="N156" s="45" t="s">
        <v>15</v>
      </c>
      <c r="O156" s="45" t="s">
        <v>61</v>
      </c>
      <c r="P156" s="51"/>
      <c r="Q156" s="52">
        <f>IF(ISBLANK(P156:P1155), "", DATEDIF(J156:J1155, P156:P1155, "Y"))</f>
      </c>
    </row>
    <row x14ac:dyDescent="0.25" r="157" customHeight="1" ht="15.75">
      <c r="A157" s="45" t="s">
        <v>1250</v>
      </c>
      <c r="B157" s="45" t="s">
        <v>288</v>
      </c>
      <c r="C157" s="45" t="s">
        <v>114</v>
      </c>
      <c r="D157" s="45" t="s">
        <v>32</v>
      </c>
      <c r="E157" s="45" t="s">
        <v>1094</v>
      </c>
      <c r="F157" s="45" t="s">
        <v>10</v>
      </c>
      <c r="G157" s="45" t="s">
        <v>8</v>
      </c>
      <c r="H157" s="53">
        <v>33</v>
      </c>
      <c r="I157" s="54">
        <f>IF(H157:H1156&lt;45, "Adult", IF(H157:H1156&lt;60, "Middle Age", IF(H157:H1156&lt;70, "Old", "Very Old")))</f>
      </c>
      <c r="J157" s="55">
        <v>44036</v>
      </c>
      <c r="K157" s="56">
        <v>69453</v>
      </c>
      <c r="L157" s="54">
        <f>IF(K157:K1156&lt;50000,"0-50",IF(K157:K1156&lt;100001,"51-100",IF(K157:K1156&lt;150001,"101-150",IF(K157:K1156&lt;200001,"151-200",IF(K157:K1156&lt;250001,"201-250","above 250")))))</f>
      </c>
      <c r="M157" s="57">
        <v>0</v>
      </c>
      <c r="N157" s="45" t="s">
        <v>12</v>
      </c>
      <c r="O157" s="45" t="s">
        <v>49</v>
      </c>
      <c r="P157" s="51"/>
      <c r="Q157" s="52">
        <f>IF(ISBLANK(P157:P1156), "", DATEDIF(J157:J1156, P157:P1156, "Y"))</f>
      </c>
    </row>
    <row x14ac:dyDescent="0.25" r="158" customHeight="1" ht="15.75">
      <c r="A158" s="45" t="s">
        <v>1251</v>
      </c>
      <c r="B158" s="45" t="s">
        <v>266</v>
      </c>
      <c r="C158" s="45" t="s">
        <v>110</v>
      </c>
      <c r="D158" s="45" t="s">
        <v>32</v>
      </c>
      <c r="E158" s="45" t="s">
        <v>1100</v>
      </c>
      <c r="F158" s="45" t="s">
        <v>10</v>
      </c>
      <c r="G158" s="45" t="s">
        <v>14</v>
      </c>
      <c r="H158" s="53">
        <v>32</v>
      </c>
      <c r="I158" s="54">
        <f>IF(H158:H1157&lt;45, "Adult", IF(H158:H1157&lt;60, "Middle Age", IF(H158:H1157&lt;70, "Old", "Very Old")))</f>
      </c>
      <c r="J158" s="55">
        <v>41642</v>
      </c>
      <c r="K158" s="56">
        <v>127148</v>
      </c>
      <c r="L158" s="54">
        <f>IF(K158:K1157&lt;50000,"0-50",IF(K158:K1157&lt;100001,"51-100",IF(K158:K1157&lt;150001,"101-150",IF(K158:K1157&lt;200001,"151-200",IF(K158:K1157&lt;250001,"201-250","above 250")))))</f>
      </c>
      <c r="M158" s="57">
        <v>0.1</v>
      </c>
      <c r="N158" s="45" t="s">
        <v>15</v>
      </c>
      <c r="O158" s="45" t="s">
        <v>59</v>
      </c>
      <c r="P158" s="51"/>
      <c r="Q158" s="52">
        <f>IF(ISBLANK(P158:P1157), "", DATEDIF(J158:J1157, P158:P1157, "Y"))</f>
      </c>
    </row>
    <row x14ac:dyDescent="0.25" r="159" customHeight="1" ht="15.75">
      <c r="A159" s="45" t="s">
        <v>1252</v>
      </c>
      <c r="B159" s="45" t="s">
        <v>272</v>
      </c>
      <c r="C159" s="45" t="s">
        <v>142</v>
      </c>
      <c r="D159" s="45" t="s">
        <v>28</v>
      </c>
      <c r="E159" s="45" t="s">
        <v>1096</v>
      </c>
      <c r="F159" s="45" t="s">
        <v>7</v>
      </c>
      <c r="G159" s="45" t="s">
        <v>14</v>
      </c>
      <c r="H159" s="53">
        <v>32</v>
      </c>
      <c r="I159" s="54">
        <f>IF(H159:H1158&lt;45, "Adult", IF(H159:H1158&lt;60, "Middle Age", IF(H159:H1158&lt;70, "Old", "Very Old")))</f>
      </c>
      <c r="J159" s="55">
        <v>43102</v>
      </c>
      <c r="K159" s="56">
        <v>190253</v>
      </c>
      <c r="L159" s="54">
        <f>IF(K159:K1158&lt;50000,"0-50",IF(K159:K1158&lt;100001,"51-100",IF(K159:K1158&lt;150001,"101-150",IF(K159:K1158&lt;200001,"151-200",IF(K159:K1158&lt;250001,"201-250","above 250")))))</f>
      </c>
      <c r="M159" s="57">
        <v>0.33</v>
      </c>
      <c r="N159" s="45" t="s">
        <v>15</v>
      </c>
      <c r="O159" s="45" t="s">
        <v>42</v>
      </c>
      <c r="P159" s="51"/>
      <c r="Q159" s="52">
        <f>IF(ISBLANK(P159:P1158), "", DATEDIF(J159:J1158, P159:P1158, "Y"))</f>
      </c>
    </row>
    <row x14ac:dyDescent="0.25" r="160" customHeight="1" ht="15.75">
      <c r="A160" s="45" t="s">
        <v>1253</v>
      </c>
      <c r="B160" s="45" t="s">
        <v>863</v>
      </c>
      <c r="C160" s="45" t="s">
        <v>110</v>
      </c>
      <c r="D160" s="45" t="s">
        <v>24</v>
      </c>
      <c r="E160" s="45" t="s">
        <v>1092</v>
      </c>
      <c r="F160" s="45" t="s">
        <v>10</v>
      </c>
      <c r="G160" s="45" t="s">
        <v>14</v>
      </c>
      <c r="H160" s="53">
        <v>55</v>
      </c>
      <c r="I160" s="54">
        <f>IF(H160:H1159&lt;45, "Adult", IF(H160:H1159&lt;60, "Middle Age", IF(H160:H1159&lt;70, "Old", "Very Old")))</f>
      </c>
      <c r="J160" s="55">
        <v>36644</v>
      </c>
      <c r="K160" s="56">
        <v>115798</v>
      </c>
      <c r="L160" s="54">
        <f>IF(K160:K1159&lt;50000,"0-50",IF(K160:K1159&lt;100001,"51-100",IF(K160:K1159&lt;150001,"101-150",IF(K160:K1159&lt;200001,"151-200",IF(K160:K1159&lt;250001,"201-250","above 250")))))</f>
      </c>
      <c r="M160" s="57">
        <v>0.05</v>
      </c>
      <c r="N160" s="45" t="s">
        <v>15</v>
      </c>
      <c r="O160" s="45" t="s">
        <v>59</v>
      </c>
      <c r="P160" s="51"/>
      <c r="Q160" s="52">
        <f>IF(ISBLANK(P160:P1159), "", DATEDIF(J160:J1159, P160:P1159, "Y"))</f>
      </c>
    </row>
    <row x14ac:dyDescent="0.25" r="161" customHeight="1" ht="15.75">
      <c r="A161" s="45" t="s">
        <v>1254</v>
      </c>
      <c r="B161" s="45" t="s">
        <v>944</v>
      </c>
      <c r="C161" s="45" t="s">
        <v>130</v>
      </c>
      <c r="D161" s="45" t="s">
        <v>30</v>
      </c>
      <c r="E161" s="45" t="s">
        <v>1092</v>
      </c>
      <c r="F161" s="45" t="s">
        <v>7</v>
      </c>
      <c r="G161" s="45" t="s">
        <v>8</v>
      </c>
      <c r="H161" s="53">
        <v>58</v>
      </c>
      <c r="I161" s="54">
        <f>IF(H161:H1160&lt;45, "Adult", IF(H161:H1160&lt;60, "Middle Age", IF(H161:H1160&lt;70, "Old", "Very Old")))</f>
      </c>
      <c r="J161" s="55">
        <v>34567</v>
      </c>
      <c r="K161" s="56">
        <v>93102</v>
      </c>
      <c r="L161" s="54">
        <f>IF(K161:K1160&lt;50000,"0-50",IF(K161:K1160&lt;100001,"51-100",IF(K161:K1160&lt;150001,"101-150",IF(K161:K1160&lt;200001,"151-200",IF(K161:K1160&lt;250001,"201-250","above 250")))))</f>
      </c>
      <c r="M161" s="57">
        <v>0</v>
      </c>
      <c r="N161" s="45" t="s">
        <v>15</v>
      </c>
      <c r="O161" s="45" t="s">
        <v>67</v>
      </c>
      <c r="P161" s="58">
        <v>41621</v>
      </c>
      <c r="Q161" s="53">
        <f>IF(ISBLANK(P161:P1160), "", DATEDIF(J161:J1160, P161:P1160, "Y"))</f>
      </c>
    </row>
    <row x14ac:dyDescent="0.25" r="162" customHeight="1" ht="15.75">
      <c r="A162" s="45" t="s">
        <v>1255</v>
      </c>
      <c r="B162" s="45" t="s">
        <v>313</v>
      </c>
      <c r="C162" s="45" t="s">
        <v>98</v>
      </c>
      <c r="D162" s="45" t="s">
        <v>26</v>
      </c>
      <c r="E162" s="45" t="s">
        <v>1096</v>
      </c>
      <c r="F162" s="45" t="s">
        <v>10</v>
      </c>
      <c r="G162" s="45" t="s">
        <v>8</v>
      </c>
      <c r="H162" s="53">
        <v>34</v>
      </c>
      <c r="I162" s="54">
        <f>IF(H162:H1161&lt;45, "Adult", IF(H162:H1161&lt;60, "Middle Age", IF(H162:H1161&lt;70, "Old", "Very Old")))</f>
      </c>
      <c r="J162" s="55">
        <v>43055</v>
      </c>
      <c r="K162" s="56">
        <v>110054</v>
      </c>
      <c r="L162" s="54">
        <f>IF(K162:K1161&lt;50000,"0-50",IF(K162:K1161&lt;100001,"51-100",IF(K162:K1161&lt;150001,"101-150",IF(K162:K1161&lt;200001,"151-200",IF(K162:K1161&lt;250001,"201-250","above 250")))))</f>
      </c>
      <c r="M162" s="57">
        <v>0.15</v>
      </c>
      <c r="N162" s="45" t="s">
        <v>15</v>
      </c>
      <c r="O162" s="45" t="s">
        <v>59</v>
      </c>
      <c r="P162" s="51"/>
      <c r="Q162" s="52">
        <f>IF(ISBLANK(P162:P1161), "", DATEDIF(J162:J1161, P162:P1161, "Y"))</f>
      </c>
    </row>
    <row x14ac:dyDescent="0.25" r="163" customHeight="1" ht="15.75">
      <c r="A163" s="45" t="s">
        <v>1256</v>
      </c>
      <c r="B163" s="45" t="s">
        <v>119</v>
      </c>
      <c r="C163" s="45" t="s">
        <v>120</v>
      </c>
      <c r="D163" s="45" t="s">
        <v>26</v>
      </c>
      <c r="E163" s="45" t="s">
        <v>1092</v>
      </c>
      <c r="F163" s="45" t="s">
        <v>7</v>
      </c>
      <c r="G163" s="45" t="s">
        <v>11</v>
      </c>
      <c r="H163" s="53">
        <v>27</v>
      </c>
      <c r="I163" s="54">
        <f>IF(H163:H1162&lt;45, "Adult", IF(H163:H1162&lt;60, "Middle Age", IF(H163:H1162&lt;70, "Old", "Very Old")))</f>
      </c>
      <c r="J163" s="55">
        <v>44224</v>
      </c>
      <c r="K163" s="56">
        <v>95786</v>
      </c>
      <c r="L163" s="54">
        <f>IF(K163:K1162&lt;50000,"0-50",IF(K163:K1162&lt;100001,"51-100",IF(K163:K1162&lt;150001,"101-150",IF(K163:K1162&lt;200001,"151-200",IF(K163:K1162&lt;250001,"201-250","above 250")))))</f>
      </c>
      <c r="M163" s="57">
        <v>0</v>
      </c>
      <c r="N163" s="45" t="s">
        <v>15</v>
      </c>
      <c r="O163" s="45" t="s">
        <v>51</v>
      </c>
      <c r="P163" s="51"/>
      <c r="Q163" s="52">
        <f>IF(ISBLANK(P163:P1162), "", DATEDIF(J163:J1162, P163:P1162, "Y"))</f>
      </c>
    </row>
    <row x14ac:dyDescent="0.25" r="164" customHeight="1" ht="15.75">
      <c r="A164" s="45" t="s">
        <v>1257</v>
      </c>
      <c r="B164" s="45" t="s">
        <v>996</v>
      </c>
      <c r="C164" s="45" t="s">
        <v>128</v>
      </c>
      <c r="D164" s="45" t="s">
        <v>36</v>
      </c>
      <c r="E164" s="45" t="s">
        <v>1096</v>
      </c>
      <c r="F164" s="45" t="s">
        <v>10</v>
      </c>
      <c r="G164" s="45" t="s">
        <v>17</v>
      </c>
      <c r="H164" s="53">
        <v>61</v>
      </c>
      <c r="I164" s="54">
        <f>IF(H164:H1163&lt;45, "Adult", IF(H164:H1163&lt;60, "Middle Age", IF(H164:H1163&lt;70, "Old", "Very Old")))</f>
      </c>
      <c r="J164" s="55">
        <v>42858</v>
      </c>
      <c r="K164" s="56">
        <v>90855</v>
      </c>
      <c r="L164" s="54">
        <f>IF(K164:K1163&lt;50000,"0-50",IF(K164:K1163&lt;100001,"51-100",IF(K164:K1163&lt;150001,"101-150",IF(K164:K1163&lt;200001,"151-200",IF(K164:K1163&lt;250001,"201-250","above 250")))))</f>
      </c>
      <c r="M164" s="57">
        <v>0</v>
      </c>
      <c r="N164" s="45" t="s">
        <v>9</v>
      </c>
      <c r="O164" s="45" t="s">
        <v>65</v>
      </c>
      <c r="P164" s="51"/>
      <c r="Q164" s="52">
        <f>IF(ISBLANK(P164:P1163), "", DATEDIF(J164:J1163, P164:P1163, "Y"))</f>
      </c>
    </row>
    <row x14ac:dyDescent="0.25" r="165" customHeight="1" ht="15.75">
      <c r="A165" s="45" t="s">
        <v>1258</v>
      </c>
      <c r="B165" s="45" t="s">
        <v>664</v>
      </c>
      <c r="C165" s="45" t="s">
        <v>100</v>
      </c>
      <c r="D165" s="45" t="s">
        <v>32</v>
      </c>
      <c r="E165" s="45" t="s">
        <v>1094</v>
      </c>
      <c r="F165" s="45" t="s">
        <v>10</v>
      </c>
      <c r="G165" s="45" t="s">
        <v>17</v>
      </c>
      <c r="H165" s="53">
        <v>47</v>
      </c>
      <c r="I165" s="54">
        <f>IF(H165:H1164&lt;45, "Adult", IF(H165:H1164&lt;60, "Middle Age", IF(H165:H1164&lt;70, "Old", "Very Old")))</f>
      </c>
      <c r="J165" s="55">
        <v>36233</v>
      </c>
      <c r="K165" s="56">
        <v>92897</v>
      </c>
      <c r="L165" s="54">
        <f>IF(K165:K1164&lt;50000,"0-50",IF(K165:K1164&lt;100001,"51-100",IF(K165:K1164&lt;150001,"101-150",IF(K165:K1164&lt;200001,"151-200",IF(K165:K1164&lt;250001,"201-250","above 250")))))</f>
      </c>
      <c r="M165" s="57">
        <v>0</v>
      </c>
      <c r="N165" s="45" t="s">
        <v>9</v>
      </c>
      <c r="O165" s="45" t="s">
        <v>65</v>
      </c>
      <c r="P165" s="51"/>
      <c r="Q165" s="52">
        <f>IF(ISBLANK(P165:P1164), "", DATEDIF(J165:J1164, P165:P1164, "Y"))</f>
      </c>
    </row>
    <row x14ac:dyDescent="0.25" r="166" customHeight="1" ht="15.75">
      <c r="A166" s="45" t="s">
        <v>1259</v>
      </c>
      <c r="B166" s="45" t="s">
        <v>454</v>
      </c>
      <c r="C166" s="45" t="s">
        <v>142</v>
      </c>
      <c r="D166" s="45" t="s">
        <v>34</v>
      </c>
      <c r="E166" s="45" t="s">
        <v>1096</v>
      </c>
      <c r="F166" s="45" t="s">
        <v>10</v>
      </c>
      <c r="G166" s="45" t="s">
        <v>8</v>
      </c>
      <c r="H166" s="53">
        <v>40</v>
      </c>
      <c r="I166" s="54">
        <f>IF(H166:H1165&lt;45, "Adult", IF(H166:H1165&lt;60, "Middle Age", IF(H166:H1165&lt;70, "Old", "Very Old")))</f>
      </c>
      <c r="J166" s="55">
        <v>39872</v>
      </c>
      <c r="K166" s="56">
        <v>242919</v>
      </c>
      <c r="L166" s="54">
        <f>IF(K166:K1165&lt;50000,"0-50",IF(K166:K1165&lt;100001,"51-100",IF(K166:K1165&lt;150001,"101-150",IF(K166:K1165&lt;200001,"151-200",IF(K166:K1165&lt;250001,"201-250","above 250")))))</f>
      </c>
      <c r="M166" s="57">
        <v>0.31</v>
      </c>
      <c r="N166" s="45" t="s">
        <v>12</v>
      </c>
      <c r="O166" s="45" t="s">
        <v>53</v>
      </c>
      <c r="P166" s="51"/>
      <c r="Q166" s="52">
        <f>IF(ISBLANK(P166:P1165), "", DATEDIF(J166:J1165, P166:P1165, "Y"))</f>
      </c>
    </row>
    <row x14ac:dyDescent="0.25" r="167" customHeight="1" ht="15.75">
      <c r="A167" s="45" t="s">
        <v>1260</v>
      </c>
      <c r="B167" s="45" t="s">
        <v>212</v>
      </c>
      <c r="C167" s="45" t="s">
        <v>96</v>
      </c>
      <c r="D167" s="45" t="s">
        <v>26</v>
      </c>
      <c r="E167" s="45" t="s">
        <v>1096</v>
      </c>
      <c r="F167" s="45" t="s">
        <v>10</v>
      </c>
      <c r="G167" s="45" t="s">
        <v>14</v>
      </c>
      <c r="H167" s="53">
        <v>30</v>
      </c>
      <c r="I167" s="54">
        <f>IF(H167:H1166&lt;45, "Adult", IF(H167:H1166&lt;60, "Middle Age", IF(H167:H1166&lt;70, "Old", "Very Old")))</f>
      </c>
      <c r="J167" s="55">
        <v>43240</v>
      </c>
      <c r="K167" s="56">
        <v>184368</v>
      </c>
      <c r="L167" s="54">
        <f>IF(K167:K1166&lt;50000,"0-50",IF(K167:K1166&lt;100001,"51-100",IF(K167:K1166&lt;150001,"101-150",IF(K167:K1166&lt;200001,"151-200",IF(K167:K1166&lt;250001,"201-250","above 250")))))</f>
      </c>
      <c r="M167" s="57">
        <v>0.29</v>
      </c>
      <c r="N167" s="45" t="s">
        <v>15</v>
      </c>
      <c r="O167" s="45" t="s">
        <v>42</v>
      </c>
      <c r="P167" s="51"/>
      <c r="Q167" s="52">
        <f>IF(ISBLANK(P167:P1166), "", DATEDIF(J167:J1166, P167:P1166, "Y"))</f>
      </c>
    </row>
    <row x14ac:dyDescent="0.25" r="168" customHeight="1" ht="15.75">
      <c r="A168" s="45" t="s">
        <v>1261</v>
      </c>
      <c r="B168" s="45" t="s">
        <v>558</v>
      </c>
      <c r="C168" s="45" t="s">
        <v>132</v>
      </c>
      <c r="D168" s="45" t="s">
        <v>28</v>
      </c>
      <c r="E168" s="45" t="s">
        <v>1100</v>
      </c>
      <c r="F168" s="45" t="s">
        <v>10</v>
      </c>
      <c r="G168" s="45" t="s">
        <v>17</v>
      </c>
      <c r="H168" s="53">
        <v>45</v>
      </c>
      <c r="I168" s="54">
        <f>IF(H168:H1167&lt;45, "Adult", IF(H168:H1167&lt;60, "Middle Age", IF(H168:H1167&lt;70, "Old", "Very Old")))</f>
      </c>
      <c r="J168" s="55">
        <v>44554</v>
      </c>
      <c r="K168" s="56">
        <v>144754</v>
      </c>
      <c r="L168" s="54">
        <f>IF(K168:K1167&lt;50000,"0-50",IF(K168:K1167&lt;100001,"51-100",IF(K168:K1167&lt;150001,"101-150",IF(K168:K1167&lt;200001,"151-200",IF(K168:K1167&lt;250001,"201-250","above 250")))))</f>
      </c>
      <c r="M168" s="57">
        <v>0.15</v>
      </c>
      <c r="N168" s="45" t="s">
        <v>15</v>
      </c>
      <c r="O168" s="45" t="s">
        <v>61</v>
      </c>
      <c r="P168" s="51"/>
      <c r="Q168" s="52">
        <f>IF(ISBLANK(P168:P1167), "", DATEDIF(J168:J1167, P168:P1167, "Y"))</f>
      </c>
    </row>
    <row x14ac:dyDescent="0.25" r="169" customHeight="1" ht="15.75">
      <c r="A169" s="45" t="s">
        <v>1262</v>
      </c>
      <c r="B169" s="45" t="s">
        <v>219</v>
      </c>
      <c r="C169" s="45" t="s">
        <v>126</v>
      </c>
      <c r="D169" s="45" t="s">
        <v>36</v>
      </c>
      <c r="E169" s="45" t="s">
        <v>1092</v>
      </c>
      <c r="F169" s="45" t="s">
        <v>7</v>
      </c>
      <c r="G169" s="45" t="s">
        <v>14</v>
      </c>
      <c r="H169" s="53">
        <v>30</v>
      </c>
      <c r="I169" s="54">
        <f>IF(H169:H1168&lt;45, "Adult", IF(H169:H1168&lt;60, "Middle Age", IF(H169:H1168&lt;70, "Old", "Very Old")))</f>
      </c>
      <c r="J169" s="55">
        <v>42722</v>
      </c>
      <c r="K169" s="56">
        <v>89458</v>
      </c>
      <c r="L169" s="54">
        <f>IF(K169:K1168&lt;50000,"0-50",IF(K169:K1168&lt;100001,"51-100",IF(K169:K1168&lt;150001,"101-150",IF(K169:K1168&lt;200001,"151-200",IF(K169:K1168&lt;250001,"201-250","above 250")))))</f>
      </c>
      <c r="M169" s="57">
        <v>0</v>
      </c>
      <c r="N169" s="45" t="s">
        <v>15</v>
      </c>
      <c r="O169" s="45" t="s">
        <v>42</v>
      </c>
      <c r="P169" s="51"/>
      <c r="Q169" s="52">
        <f>IF(ISBLANK(P169:P1168), "", DATEDIF(J169:J1168, P169:P1168, "Y"))</f>
      </c>
    </row>
    <row x14ac:dyDescent="0.25" r="170" customHeight="1" ht="15.75">
      <c r="A170" s="45" t="s">
        <v>1263</v>
      </c>
      <c r="B170" s="45" t="s">
        <v>905</v>
      </c>
      <c r="C170" s="45" t="s">
        <v>142</v>
      </c>
      <c r="D170" s="45" t="s">
        <v>24</v>
      </c>
      <c r="E170" s="45" t="s">
        <v>1100</v>
      </c>
      <c r="F170" s="45" t="s">
        <v>7</v>
      </c>
      <c r="G170" s="45" t="s">
        <v>8</v>
      </c>
      <c r="H170" s="53">
        <v>56</v>
      </c>
      <c r="I170" s="54">
        <f>IF(H170:H1169&lt;45, "Adult", IF(H170:H1169&lt;60, "Middle Age", IF(H170:H1169&lt;70, "Old", "Very Old")))</f>
      </c>
      <c r="J170" s="55">
        <v>41714</v>
      </c>
      <c r="K170" s="56">
        <v>190815</v>
      </c>
      <c r="L170" s="54">
        <f>IF(K170:K1169&lt;50000,"0-50",IF(K170:K1169&lt;100001,"51-100",IF(K170:K1169&lt;150001,"101-150",IF(K170:K1169&lt;200001,"151-200",IF(K170:K1169&lt;250001,"201-250","above 250")))))</f>
      </c>
      <c r="M170" s="57">
        <v>0.4</v>
      </c>
      <c r="N170" s="45" t="s">
        <v>15</v>
      </c>
      <c r="O170" s="45" t="s">
        <v>42</v>
      </c>
      <c r="P170" s="51"/>
      <c r="Q170" s="52">
        <f>IF(ISBLANK(P170:P1169), "", DATEDIF(J170:J1169, P170:P1169, "Y"))</f>
      </c>
    </row>
    <row x14ac:dyDescent="0.25" r="171" customHeight="1" ht="15.75">
      <c r="A171" s="45" t="s">
        <v>1264</v>
      </c>
      <c r="B171" s="45" t="s">
        <v>779</v>
      </c>
      <c r="C171" s="45" t="s">
        <v>132</v>
      </c>
      <c r="D171" s="45" t="s">
        <v>36</v>
      </c>
      <c r="E171" s="45" t="s">
        <v>1092</v>
      </c>
      <c r="F171" s="45" t="s">
        <v>7</v>
      </c>
      <c r="G171" s="45" t="s">
        <v>14</v>
      </c>
      <c r="H171" s="53">
        <v>62</v>
      </c>
      <c r="I171" s="54">
        <f>IF(H171:H1170&lt;45, "Adult", IF(H171:H1170&lt;60, "Middle Age", IF(H171:H1170&lt;70, "Old", "Very Old")))</f>
      </c>
      <c r="J171" s="55">
        <v>36374</v>
      </c>
      <c r="K171" s="56">
        <v>137995</v>
      </c>
      <c r="L171" s="54">
        <f>IF(K171:K1170&lt;50000,"0-50",IF(K171:K1170&lt;100001,"51-100",IF(K171:K1170&lt;150001,"101-150",IF(K171:K1170&lt;200001,"151-200",IF(K171:K1170&lt;250001,"201-250","above 250")))))</f>
      </c>
      <c r="M171" s="57">
        <v>0.14</v>
      </c>
      <c r="N171" s="45" t="s">
        <v>15</v>
      </c>
      <c r="O171" s="45" t="s">
        <v>42</v>
      </c>
      <c r="P171" s="51"/>
      <c r="Q171" s="52">
        <f>IF(ISBLANK(P171:P1170), "", DATEDIF(J171:J1170, P171:P1170, "Y"))</f>
      </c>
    </row>
    <row x14ac:dyDescent="0.25" r="172" customHeight="1" ht="15.75">
      <c r="A172" s="45" t="s">
        <v>1265</v>
      </c>
      <c r="B172" s="45" t="s">
        <v>560</v>
      </c>
      <c r="C172" s="45" t="s">
        <v>130</v>
      </c>
      <c r="D172" s="45" t="s">
        <v>30</v>
      </c>
      <c r="E172" s="45" t="s">
        <v>1094</v>
      </c>
      <c r="F172" s="45" t="s">
        <v>7</v>
      </c>
      <c r="G172" s="45" t="s">
        <v>17</v>
      </c>
      <c r="H172" s="53">
        <v>45</v>
      </c>
      <c r="I172" s="54">
        <f>IF(H172:H1171&lt;45, "Adult", IF(H172:H1171&lt;60, "Middle Age", IF(H172:H1171&lt;70, "Old", "Very Old")))</f>
      </c>
      <c r="J172" s="55">
        <v>39437</v>
      </c>
      <c r="K172" s="56">
        <v>93840</v>
      </c>
      <c r="L172" s="54">
        <f>IF(K172:K1171&lt;50000,"0-50",IF(K172:K1171&lt;100001,"51-100",IF(K172:K1171&lt;150001,"101-150",IF(K172:K1171&lt;200001,"151-200",IF(K172:K1171&lt;250001,"201-250","above 250")))))</f>
      </c>
      <c r="M172" s="57">
        <v>0</v>
      </c>
      <c r="N172" s="45" t="s">
        <v>9</v>
      </c>
      <c r="O172" s="45" t="s">
        <v>57</v>
      </c>
      <c r="P172" s="51"/>
      <c r="Q172" s="52">
        <f>IF(ISBLANK(P172:P1171), "", DATEDIF(J172:J1171, P172:P1171, "Y"))</f>
      </c>
    </row>
    <row x14ac:dyDescent="0.25" r="173" customHeight="1" ht="15.75">
      <c r="A173" s="45" t="s">
        <v>1266</v>
      </c>
      <c r="B173" s="45" t="s">
        <v>631</v>
      </c>
      <c r="C173" s="45" t="s">
        <v>138</v>
      </c>
      <c r="D173" s="45" t="s">
        <v>32</v>
      </c>
      <c r="E173" s="45" t="s">
        <v>1092</v>
      </c>
      <c r="F173" s="45" t="s">
        <v>10</v>
      </c>
      <c r="G173" s="45" t="s">
        <v>8</v>
      </c>
      <c r="H173" s="53">
        <v>46</v>
      </c>
      <c r="I173" s="54">
        <f>IF(H173:H1172&lt;45, "Adult", IF(H173:H1172&lt;60, "Middle Age", IF(H173:H1172&lt;70, "Old", "Very Old")))</f>
      </c>
      <c r="J173" s="55">
        <v>44495</v>
      </c>
      <c r="K173" s="56">
        <v>94790</v>
      </c>
      <c r="L173" s="54">
        <f>IF(K173:K1172&lt;50000,"0-50",IF(K173:K1172&lt;100001,"51-100",IF(K173:K1172&lt;150001,"101-150",IF(K173:K1172&lt;200001,"151-200",IF(K173:K1172&lt;250001,"201-250","above 250")))))</f>
      </c>
      <c r="M173" s="57">
        <v>0</v>
      </c>
      <c r="N173" s="45" t="s">
        <v>12</v>
      </c>
      <c r="O173" s="45" t="s">
        <v>53</v>
      </c>
      <c r="P173" s="51"/>
      <c r="Q173" s="52">
        <f>IF(ISBLANK(P173:P1172), "", DATEDIF(J173:J1172, P173:P1172, "Y"))</f>
      </c>
    </row>
    <row x14ac:dyDescent="0.25" r="174" customHeight="1" ht="15.75">
      <c r="A174" s="45" t="s">
        <v>1267</v>
      </c>
      <c r="B174" s="45" t="s">
        <v>686</v>
      </c>
      <c r="C174" s="45" t="s">
        <v>142</v>
      </c>
      <c r="D174" s="45" t="s">
        <v>30</v>
      </c>
      <c r="E174" s="45" t="s">
        <v>1092</v>
      </c>
      <c r="F174" s="45" t="s">
        <v>10</v>
      </c>
      <c r="G174" s="45" t="s">
        <v>8</v>
      </c>
      <c r="H174" s="53">
        <v>48</v>
      </c>
      <c r="I174" s="54">
        <f>IF(H174:H1173&lt;45, "Adult", IF(H174:H1173&lt;60, "Middle Age", IF(H174:H1173&lt;70, "Old", "Very Old")))</f>
      </c>
      <c r="J174" s="55">
        <v>41706</v>
      </c>
      <c r="K174" s="56">
        <v>197367</v>
      </c>
      <c r="L174" s="54">
        <f>IF(K174:K1173&lt;50000,"0-50",IF(K174:K1173&lt;100001,"51-100",IF(K174:K1173&lt;150001,"101-150",IF(K174:K1173&lt;200001,"151-200",IF(K174:K1173&lt;250001,"201-250","above 250")))))</f>
      </c>
      <c r="M174" s="57">
        <v>0.39</v>
      </c>
      <c r="N174" s="45" t="s">
        <v>15</v>
      </c>
      <c r="O174" s="45" t="s">
        <v>42</v>
      </c>
      <c r="P174" s="51"/>
      <c r="Q174" s="52">
        <f>IF(ISBLANK(P174:P1173), "", DATEDIF(J174:J1173, P174:P1173, "Y"))</f>
      </c>
    </row>
    <row x14ac:dyDescent="0.25" r="175" customHeight="1" ht="15.75">
      <c r="A175" s="45" t="s">
        <v>1268</v>
      </c>
      <c r="B175" s="45" t="s">
        <v>135</v>
      </c>
      <c r="C175" s="45" t="s">
        <v>96</v>
      </c>
      <c r="D175" s="45" t="s">
        <v>24</v>
      </c>
      <c r="E175" s="45" t="s">
        <v>1094</v>
      </c>
      <c r="F175" s="45" t="s">
        <v>7</v>
      </c>
      <c r="G175" s="45" t="s">
        <v>17</v>
      </c>
      <c r="H175" s="53">
        <v>27</v>
      </c>
      <c r="I175" s="54">
        <f>IF(H175:H1174&lt;45, "Adult", IF(H175:H1174&lt;60, "Middle Age", IF(H175:H1174&lt;70, "Old", "Very Old")))</f>
      </c>
      <c r="J175" s="55">
        <v>43276</v>
      </c>
      <c r="K175" s="56">
        <v>174097</v>
      </c>
      <c r="L175" s="54">
        <f>IF(K175:K1174&lt;50000,"0-50",IF(K175:K1174&lt;100001,"51-100",IF(K175:K1174&lt;150001,"101-150",IF(K175:K1174&lt;200001,"151-200",IF(K175:K1174&lt;250001,"201-250","above 250")))))</f>
      </c>
      <c r="M175" s="57">
        <v>0.21</v>
      </c>
      <c r="N175" s="45" t="s">
        <v>15</v>
      </c>
      <c r="O175" s="45" t="s">
        <v>61</v>
      </c>
      <c r="P175" s="51"/>
      <c r="Q175" s="52">
        <f>IF(ISBLANK(P175:P1174), "", DATEDIF(J175:J1174, P175:P1174, "Y"))</f>
      </c>
    </row>
    <row x14ac:dyDescent="0.25" r="176" customHeight="1" ht="15.75">
      <c r="A176" s="45" t="s">
        <v>1269</v>
      </c>
      <c r="B176" s="45" t="s">
        <v>812</v>
      </c>
      <c r="C176" s="45" t="s">
        <v>110</v>
      </c>
      <c r="D176" s="45" t="s">
        <v>32</v>
      </c>
      <c r="E176" s="45" t="s">
        <v>1096</v>
      </c>
      <c r="F176" s="45" t="s">
        <v>10</v>
      </c>
      <c r="G176" s="45" t="s">
        <v>17</v>
      </c>
      <c r="H176" s="53">
        <v>53</v>
      </c>
      <c r="I176" s="54">
        <f>IF(H176:H1175&lt;45, "Adult", IF(H176:H1175&lt;60, "Middle Age", IF(H176:H1175&lt;70, "Old", "Very Old")))</f>
      </c>
      <c r="J176" s="55">
        <v>39021</v>
      </c>
      <c r="K176" s="56">
        <v>120128</v>
      </c>
      <c r="L176" s="54">
        <f>IF(K176:K1175&lt;50000,"0-50",IF(K176:K1175&lt;100001,"51-100",IF(K176:K1175&lt;150001,"101-150",IF(K176:K1175&lt;200001,"151-200",IF(K176:K1175&lt;250001,"201-250","above 250")))))</f>
      </c>
      <c r="M176" s="57">
        <v>0.1</v>
      </c>
      <c r="N176" s="45" t="s">
        <v>15</v>
      </c>
      <c r="O176" s="45" t="s">
        <v>42</v>
      </c>
      <c r="P176" s="51"/>
      <c r="Q176" s="52">
        <f>IF(ISBLANK(P176:P1175), "", DATEDIF(J176:J1175, P176:P1175, "Y"))</f>
      </c>
    </row>
    <row x14ac:dyDescent="0.25" r="177" customHeight="1" ht="15.75">
      <c r="A177" s="45" t="s">
        <v>1270</v>
      </c>
      <c r="B177" s="45" t="s">
        <v>959</v>
      </c>
      <c r="C177" s="45" t="s">
        <v>110</v>
      </c>
      <c r="D177" s="45" t="s">
        <v>34</v>
      </c>
      <c r="E177" s="45" t="s">
        <v>1094</v>
      </c>
      <c r="F177" s="45" t="s">
        <v>7</v>
      </c>
      <c r="G177" s="45" t="s">
        <v>14</v>
      </c>
      <c r="H177" s="53">
        <v>59</v>
      </c>
      <c r="I177" s="54">
        <f>IF(H177:H1176&lt;45, "Adult", IF(H177:H1176&lt;60, "Middle Age", IF(H177:H1176&lt;70, "Old", "Very Old")))</f>
      </c>
      <c r="J177" s="55">
        <v>39197</v>
      </c>
      <c r="K177" s="56">
        <v>129708</v>
      </c>
      <c r="L177" s="54">
        <f>IF(K177:K1176&lt;50000,"0-50",IF(K177:K1176&lt;100001,"51-100",IF(K177:K1176&lt;150001,"101-150",IF(K177:K1176&lt;200001,"151-200",IF(K177:K1176&lt;250001,"201-250","above 250")))))</f>
      </c>
      <c r="M177" s="57">
        <v>0.05</v>
      </c>
      <c r="N177" s="45" t="s">
        <v>15</v>
      </c>
      <c r="O177" s="45" t="s">
        <v>59</v>
      </c>
      <c r="P177" s="51"/>
      <c r="Q177" s="52">
        <f>IF(ISBLANK(P177:P1176), "", DATEDIF(J177:J1176, P177:P1176, "Y"))</f>
      </c>
    </row>
    <row x14ac:dyDescent="0.25" r="178" customHeight="1" ht="15.75">
      <c r="A178" s="45" t="s">
        <v>1271</v>
      </c>
      <c r="B178" s="45" t="s">
        <v>868</v>
      </c>
      <c r="C178" s="45" t="s">
        <v>110</v>
      </c>
      <c r="D178" s="45" t="s">
        <v>34</v>
      </c>
      <c r="E178" s="45" t="s">
        <v>1092</v>
      </c>
      <c r="F178" s="45" t="s">
        <v>10</v>
      </c>
      <c r="G178" s="45" t="s">
        <v>8</v>
      </c>
      <c r="H178" s="53">
        <v>55</v>
      </c>
      <c r="I178" s="54">
        <f>IF(H178:H1177&lt;45, "Adult", IF(H178:H1177&lt;60, "Middle Age", IF(H178:H1177&lt;70, "Old", "Very Old")))</f>
      </c>
      <c r="J178" s="55">
        <v>34595</v>
      </c>
      <c r="K178" s="56">
        <v>102270</v>
      </c>
      <c r="L178" s="54">
        <f>IF(K178:K1177&lt;50000,"0-50",IF(K178:K1177&lt;100001,"51-100",IF(K178:K1177&lt;150001,"101-150",IF(K178:K1177&lt;200001,"151-200",IF(K178:K1177&lt;250001,"201-250","above 250")))))</f>
      </c>
      <c r="M178" s="57">
        <v>0.1</v>
      </c>
      <c r="N178" s="45" t="s">
        <v>15</v>
      </c>
      <c r="O178" s="45" t="s">
        <v>51</v>
      </c>
      <c r="P178" s="51"/>
      <c r="Q178" s="52">
        <f>IF(ISBLANK(P178:P1177), "", DATEDIF(J178:J1177, P178:P1177, "Y"))</f>
      </c>
    </row>
    <row x14ac:dyDescent="0.25" r="179" customHeight="1" ht="15.75">
      <c r="A179" s="45" t="s">
        <v>1272</v>
      </c>
      <c r="B179" s="45" t="s">
        <v>525</v>
      </c>
      <c r="C179" s="45" t="s">
        <v>142</v>
      </c>
      <c r="D179" s="45" t="s">
        <v>28</v>
      </c>
      <c r="E179" s="45" t="s">
        <v>1096</v>
      </c>
      <c r="F179" s="45" t="s">
        <v>7</v>
      </c>
      <c r="G179" s="45" t="s">
        <v>8</v>
      </c>
      <c r="H179" s="53">
        <v>43</v>
      </c>
      <c r="I179" s="54">
        <f>IF(H179:H1178&lt;45, "Adult", IF(H179:H1178&lt;60, "Middle Age", IF(H179:H1178&lt;70, "Old", "Very Old")))</f>
      </c>
      <c r="J179" s="55">
        <v>38564</v>
      </c>
      <c r="K179" s="56">
        <v>249686</v>
      </c>
      <c r="L179" s="54">
        <f>IF(K179:K1178&lt;50000,"0-50",IF(K179:K1178&lt;100001,"51-100",IF(K179:K1178&lt;150001,"101-150",IF(K179:K1178&lt;200001,"151-200",IF(K179:K1178&lt;250001,"201-250","above 250")))))</f>
      </c>
      <c r="M179" s="57">
        <v>0.31</v>
      </c>
      <c r="N179" s="45" t="s">
        <v>12</v>
      </c>
      <c r="O179" s="45" t="s">
        <v>53</v>
      </c>
      <c r="P179" s="51"/>
      <c r="Q179" s="52">
        <f>IF(ISBLANK(P179:P1178), "", DATEDIF(J179:J1178, P179:P1178, "Y"))</f>
      </c>
    </row>
    <row x14ac:dyDescent="0.25" r="180" customHeight="1" ht="15.75">
      <c r="A180" s="45" t="s">
        <v>1273</v>
      </c>
      <c r="B180" s="45" t="s">
        <v>858</v>
      </c>
      <c r="C180" s="45" t="s">
        <v>80</v>
      </c>
      <c r="D180" s="45" t="s">
        <v>28</v>
      </c>
      <c r="E180" s="45" t="s">
        <v>1094</v>
      </c>
      <c r="F180" s="45" t="s">
        <v>7</v>
      </c>
      <c r="G180" s="45" t="s">
        <v>8</v>
      </c>
      <c r="H180" s="53">
        <v>55</v>
      </c>
      <c r="I180" s="54">
        <f>IF(H180:H1179&lt;45, "Adult", IF(H180:H1179&lt;60, "Middle Age", IF(H180:H1179&lt;70, "Old", "Very Old")))</f>
      </c>
      <c r="J180" s="55">
        <v>37343</v>
      </c>
      <c r="K180" s="56">
        <v>50475</v>
      </c>
      <c r="L180" s="54">
        <f>IF(K180:K1179&lt;50000,"0-50",IF(K180:K1179&lt;100001,"51-100",IF(K180:K1179&lt;150001,"101-150",IF(K180:K1179&lt;200001,"151-200",IF(K180:K1179&lt;250001,"201-250","above 250")))))</f>
      </c>
      <c r="M180" s="57">
        <v>0</v>
      </c>
      <c r="N180" s="45" t="s">
        <v>15</v>
      </c>
      <c r="O180" s="45" t="s">
        <v>55</v>
      </c>
      <c r="P180" s="51"/>
      <c r="Q180" s="52">
        <f>IF(ISBLANK(P180:P1179), "", DATEDIF(J180:J1179, P180:P1179, "Y"))</f>
      </c>
    </row>
    <row x14ac:dyDescent="0.25" r="181" customHeight="1" ht="15.75">
      <c r="A181" s="45" t="s">
        <v>1274</v>
      </c>
      <c r="B181" s="45" t="s">
        <v>757</v>
      </c>
      <c r="C181" s="45" t="s">
        <v>110</v>
      </c>
      <c r="D181" s="45" t="s">
        <v>34</v>
      </c>
      <c r="E181" s="45" t="s">
        <v>1092</v>
      </c>
      <c r="F181" s="45" t="s">
        <v>10</v>
      </c>
      <c r="G181" s="45" t="s">
        <v>14</v>
      </c>
      <c r="H181" s="53">
        <v>51</v>
      </c>
      <c r="I181" s="54">
        <f>IF(H181:H1180&lt;45, "Adult", IF(H181:H1180&lt;60, "Middle Age", IF(H181:H1180&lt;70, "Old", "Very Old")))</f>
      </c>
      <c r="J181" s="55">
        <v>44014</v>
      </c>
      <c r="K181" s="56">
        <v>100099</v>
      </c>
      <c r="L181" s="54">
        <f>IF(K181:K1180&lt;50000,"0-50",IF(K181:K1180&lt;100001,"51-100",IF(K181:K1180&lt;150001,"101-150",IF(K181:K1180&lt;200001,"151-200",IF(K181:K1180&lt;250001,"201-250","above 250")))))</f>
      </c>
      <c r="M181" s="57">
        <v>0.08</v>
      </c>
      <c r="N181" s="45" t="s">
        <v>15</v>
      </c>
      <c r="O181" s="45" t="s">
        <v>59</v>
      </c>
      <c r="P181" s="51"/>
      <c r="Q181" s="52">
        <f>IF(ISBLANK(P181:P1180), "", DATEDIF(J181:J1180, P181:P1180, "Y"))</f>
      </c>
    </row>
    <row x14ac:dyDescent="0.25" r="182" customHeight="1" ht="15.75">
      <c r="A182" s="45" t="s">
        <v>1275</v>
      </c>
      <c r="B182" s="45" t="s">
        <v>831</v>
      </c>
      <c r="C182" s="45" t="s">
        <v>106</v>
      </c>
      <c r="D182" s="45" t="s">
        <v>32</v>
      </c>
      <c r="E182" s="45" t="s">
        <v>1094</v>
      </c>
      <c r="F182" s="45" t="s">
        <v>7</v>
      </c>
      <c r="G182" s="45" t="s">
        <v>14</v>
      </c>
      <c r="H182" s="53">
        <v>54</v>
      </c>
      <c r="I182" s="54">
        <f>IF(H182:H1181&lt;45, "Adult", IF(H182:H1181&lt;60, "Middle Age", IF(H182:H1181&lt;70, "Old", "Very Old")))</f>
      </c>
      <c r="J182" s="55">
        <v>42731</v>
      </c>
      <c r="K182" s="56">
        <v>41673</v>
      </c>
      <c r="L182" s="54">
        <f>IF(K182:K1181&lt;50000,"0-50",IF(K182:K1181&lt;100001,"51-100",IF(K182:K1181&lt;150001,"101-150",IF(K182:K1181&lt;200001,"151-200",IF(K182:K1181&lt;250001,"201-250","above 250")))))</f>
      </c>
      <c r="M182" s="57">
        <v>0</v>
      </c>
      <c r="N182" s="45" t="s">
        <v>15</v>
      </c>
      <c r="O182" s="45" t="s">
        <v>59</v>
      </c>
      <c r="P182" s="51"/>
      <c r="Q182" s="52">
        <f>IF(ISBLANK(P182:P1181), "", DATEDIF(J182:J1181, P182:P1181, "Y"))</f>
      </c>
    </row>
    <row x14ac:dyDescent="0.25" r="183" customHeight="1" ht="15.75">
      <c r="A183" s="45" t="s">
        <v>1276</v>
      </c>
      <c r="B183" s="45" t="s">
        <v>662</v>
      </c>
      <c r="C183" s="45" t="s">
        <v>128</v>
      </c>
      <c r="D183" s="45" t="s">
        <v>34</v>
      </c>
      <c r="E183" s="45" t="s">
        <v>1096</v>
      </c>
      <c r="F183" s="45" t="s">
        <v>7</v>
      </c>
      <c r="G183" s="45" t="s">
        <v>8</v>
      </c>
      <c r="H183" s="53">
        <v>47</v>
      </c>
      <c r="I183" s="54">
        <f>IF(H183:H1182&lt;45, "Adult", IF(H183:H1182&lt;60, "Middle Age", IF(H183:H1182&lt;70, "Old", "Very Old")))</f>
      </c>
      <c r="J183" s="55">
        <v>42928</v>
      </c>
      <c r="K183" s="56">
        <v>70996</v>
      </c>
      <c r="L183" s="54">
        <f>IF(K183:K1182&lt;50000,"0-50",IF(K183:K1182&lt;100001,"51-100",IF(K183:K1182&lt;150001,"101-150",IF(K183:K1182&lt;200001,"151-200",IF(K183:K1182&lt;250001,"201-250","above 250")))))</f>
      </c>
      <c r="M183" s="57">
        <v>0</v>
      </c>
      <c r="N183" s="45" t="s">
        <v>12</v>
      </c>
      <c r="O183" s="45" t="s">
        <v>49</v>
      </c>
      <c r="P183" s="51"/>
      <c r="Q183" s="52">
        <f>IF(ISBLANK(P183:P1182), "", DATEDIF(J183:J1182, P183:P1182, "Y"))</f>
      </c>
    </row>
    <row x14ac:dyDescent="0.25" r="184" customHeight="1" ht="15.75">
      <c r="A184" s="45" t="s">
        <v>1277</v>
      </c>
      <c r="B184" s="45" t="s">
        <v>865</v>
      </c>
      <c r="C184" s="45" t="s">
        <v>80</v>
      </c>
      <c r="D184" s="45" t="s">
        <v>34</v>
      </c>
      <c r="E184" s="45" t="s">
        <v>1100</v>
      </c>
      <c r="F184" s="45" t="s">
        <v>10</v>
      </c>
      <c r="G184" s="45" t="s">
        <v>14</v>
      </c>
      <c r="H184" s="53">
        <v>55</v>
      </c>
      <c r="I184" s="54">
        <f>IF(H184:H1183&lt;45, "Adult", IF(H184:H1183&lt;60, "Middle Age", IF(H184:H1183&lt;70, "Old", "Very Old")))</f>
      </c>
      <c r="J184" s="55">
        <v>38328</v>
      </c>
      <c r="K184" s="56">
        <v>40752</v>
      </c>
      <c r="L184" s="54">
        <f>IF(K184:K1183&lt;50000,"0-50",IF(K184:K1183&lt;100001,"51-100",IF(K184:K1183&lt;150001,"101-150",IF(K184:K1183&lt;200001,"151-200",IF(K184:K1183&lt;250001,"201-250","above 250")))))</f>
      </c>
      <c r="M184" s="57">
        <v>0</v>
      </c>
      <c r="N184" s="45" t="s">
        <v>15</v>
      </c>
      <c r="O184" s="45" t="s">
        <v>61</v>
      </c>
      <c r="P184" s="51"/>
      <c r="Q184" s="52">
        <f>IF(ISBLANK(P184:P1183), "", DATEDIF(J184:J1183, P184:P1183, "Y"))</f>
      </c>
    </row>
    <row x14ac:dyDescent="0.25" r="185" customHeight="1" ht="15.75">
      <c r="A185" s="45" t="s">
        <v>1278</v>
      </c>
      <c r="B185" s="45" t="s">
        <v>736</v>
      </c>
      <c r="C185" s="45" t="s">
        <v>116</v>
      </c>
      <c r="D185" s="45" t="s">
        <v>32</v>
      </c>
      <c r="E185" s="45" t="s">
        <v>1094</v>
      </c>
      <c r="F185" s="45" t="s">
        <v>7</v>
      </c>
      <c r="G185" s="45" t="s">
        <v>8</v>
      </c>
      <c r="H185" s="53">
        <v>50</v>
      </c>
      <c r="I185" s="54">
        <f>IF(H185:H1184&lt;45, "Adult", IF(H185:H1184&lt;60, "Middle Age", IF(H185:H1184&lt;70, "Old", "Very Old")))</f>
      </c>
      <c r="J185" s="55">
        <v>36914</v>
      </c>
      <c r="K185" s="56">
        <v>97537</v>
      </c>
      <c r="L185" s="54">
        <f>IF(K185:K1184&lt;50000,"0-50",IF(K185:K1184&lt;100001,"51-100",IF(K185:K1184&lt;150001,"101-150",IF(K185:K1184&lt;200001,"151-200",IF(K185:K1184&lt;250001,"201-250","above 250")))))</f>
      </c>
      <c r="M185" s="57">
        <v>0</v>
      </c>
      <c r="N185" s="45" t="s">
        <v>12</v>
      </c>
      <c r="O185" s="45" t="s">
        <v>49</v>
      </c>
      <c r="P185" s="51"/>
      <c r="Q185" s="52">
        <f>IF(ISBLANK(P185:P1184), "", DATEDIF(J185:J1184, P185:P1184, "Y"))</f>
      </c>
    </row>
    <row x14ac:dyDescent="0.25" r="186" customHeight="1" ht="15.75">
      <c r="A186" s="45" t="s">
        <v>1279</v>
      </c>
      <c r="B186" s="45" t="s">
        <v>250</v>
      </c>
      <c r="C186" s="45" t="s">
        <v>108</v>
      </c>
      <c r="D186" s="45" t="s">
        <v>32</v>
      </c>
      <c r="E186" s="45" t="s">
        <v>1092</v>
      </c>
      <c r="F186" s="45" t="s">
        <v>10</v>
      </c>
      <c r="G186" s="45" t="s">
        <v>8</v>
      </c>
      <c r="H186" s="53">
        <v>31</v>
      </c>
      <c r="I186" s="54">
        <f>IF(H186:H1185&lt;45, "Adult", IF(H186:H1185&lt;60, "Middle Age", IF(H186:H1185&lt;70, "Old", "Very Old")))</f>
      </c>
      <c r="J186" s="55">
        <v>44086</v>
      </c>
      <c r="K186" s="56">
        <v>96567</v>
      </c>
      <c r="L186" s="54">
        <f>IF(K186:K1185&lt;50000,"0-50",IF(K186:K1185&lt;100001,"51-100",IF(K186:K1185&lt;150001,"101-150",IF(K186:K1185&lt;200001,"151-200",IF(K186:K1185&lt;250001,"201-250","above 250")))))</f>
      </c>
      <c r="M186" s="57">
        <v>0</v>
      </c>
      <c r="N186" s="45" t="s">
        <v>12</v>
      </c>
      <c r="O186" s="45" t="s">
        <v>69</v>
      </c>
      <c r="P186" s="51"/>
      <c r="Q186" s="52">
        <f>IF(ISBLANK(P186:P1185), "", DATEDIF(J186:J1185, P186:P1185, "Y"))</f>
      </c>
    </row>
    <row x14ac:dyDescent="0.25" r="187" customHeight="1" ht="15.75">
      <c r="A187" s="45" t="s">
        <v>1280</v>
      </c>
      <c r="B187" s="45" t="s">
        <v>665</v>
      </c>
      <c r="C187" s="45" t="s">
        <v>136</v>
      </c>
      <c r="D187" s="45" t="s">
        <v>32</v>
      </c>
      <c r="E187" s="45" t="s">
        <v>1096</v>
      </c>
      <c r="F187" s="45" t="s">
        <v>10</v>
      </c>
      <c r="G187" s="45" t="s">
        <v>8</v>
      </c>
      <c r="H187" s="53">
        <v>47</v>
      </c>
      <c r="I187" s="54">
        <f>IF(H187:H1186&lt;45, "Adult", IF(H187:H1186&lt;60, "Middle Age", IF(H187:H1186&lt;70, "Old", "Very Old")))</f>
      </c>
      <c r="J187" s="55">
        <v>36229</v>
      </c>
      <c r="K187" s="56">
        <v>49404</v>
      </c>
      <c r="L187" s="54">
        <f>IF(K187:K1186&lt;50000,"0-50",IF(K187:K1186&lt;100001,"51-100",IF(K187:K1186&lt;150001,"101-150",IF(K187:K1186&lt;200001,"151-200",IF(K187:K1186&lt;250001,"201-250","above 250")))))</f>
      </c>
      <c r="M187" s="57">
        <v>0</v>
      </c>
      <c r="N187" s="45" t="s">
        <v>12</v>
      </c>
      <c r="O187" s="45" t="s">
        <v>47</v>
      </c>
      <c r="P187" s="51"/>
      <c r="Q187" s="52">
        <f>IF(ISBLANK(P187:P1186), "", DATEDIF(J187:J1186, P187:P1186, "Y"))</f>
      </c>
    </row>
    <row x14ac:dyDescent="0.25" r="188" customHeight="1" ht="15.75">
      <c r="A188" s="45" t="s">
        <v>1281</v>
      </c>
      <c r="B188" s="45" t="s">
        <v>194</v>
      </c>
      <c r="C188" s="45" t="s">
        <v>108</v>
      </c>
      <c r="D188" s="45" t="s">
        <v>32</v>
      </c>
      <c r="E188" s="45" t="s">
        <v>1092</v>
      </c>
      <c r="F188" s="45" t="s">
        <v>10</v>
      </c>
      <c r="G188" s="45" t="s">
        <v>17</v>
      </c>
      <c r="H188" s="53">
        <v>29</v>
      </c>
      <c r="I188" s="54">
        <f>IF(H188:H1187&lt;45, "Adult", IF(H188:H1187&lt;60, "Middle Age", IF(H188:H1187&lt;70, "Old", "Very Old")))</f>
      </c>
      <c r="J188" s="55">
        <v>43753</v>
      </c>
      <c r="K188" s="56">
        <v>66819</v>
      </c>
      <c r="L188" s="54">
        <f>IF(K188:K1187&lt;50000,"0-50",IF(K188:K1187&lt;100001,"51-100",IF(K188:K1187&lt;150001,"101-150",IF(K188:K1187&lt;200001,"151-200",IF(K188:K1187&lt;250001,"201-250","above 250")))))</f>
      </c>
      <c r="M188" s="57">
        <v>0</v>
      </c>
      <c r="N188" s="45" t="s">
        <v>9</v>
      </c>
      <c r="O188" s="45" t="s">
        <v>63</v>
      </c>
      <c r="P188" s="51"/>
      <c r="Q188" s="52">
        <f>IF(ISBLANK(P188:P1187), "", DATEDIF(J188:J1187, P188:P1187, "Y"))</f>
      </c>
    </row>
    <row x14ac:dyDescent="0.25" r="189" customHeight="1" ht="15.75">
      <c r="A189" s="45" t="s">
        <v>1282</v>
      </c>
      <c r="B189" s="45" t="s">
        <v>412</v>
      </c>
      <c r="C189" s="45" t="s">
        <v>80</v>
      </c>
      <c r="D189" s="45" t="s">
        <v>34</v>
      </c>
      <c r="E189" s="45" t="s">
        <v>1096</v>
      </c>
      <c r="F189" s="45" t="s">
        <v>10</v>
      </c>
      <c r="G189" s="45" t="s">
        <v>17</v>
      </c>
      <c r="H189" s="53">
        <v>38</v>
      </c>
      <c r="I189" s="54">
        <f>IF(H189:H1188&lt;45, "Adult", IF(H189:H1188&lt;60, "Middle Age", IF(H189:H1188&lt;70, "Old", "Very Old")))</f>
      </c>
      <c r="J189" s="55">
        <v>42492</v>
      </c>
      <c r="K189" s="56">
        <v>50784</v>
      </c>
      <c r="L189" s="54">
        <f>IF(K189:K1188&lt;50000,"0-50",IF(K189:K1188&lt;100001,"51-100",IF(K189:K1188&lt;150001,"101-150",IF(K189:K1188&lt;200001,"151-200",IF(K189:K1188&lt;250001,"201-250","above 250")))))</f>
      </c>
      <c r="M189" s="57">
        <v>0</v>
      </c>
      <c r="N189" s="45" t="s">
        <v>9</v>
      </c>
      <c r="O189" s="45" t="s">
        <v>63</v>
      </c>
      <c r="P189" s="51"/>
      <c r="Q189" s="52">
        <f>IF(ISBLANK(P189:P1188), "", DATEDIF(J189:J1188, P189:P1188, "Y"))</f>
      </c>
    </row>
    <row x14ac:dyDescent="0.25" r="190" customHeight="1" ht="15.75">
      <c r="A190" s="45" t="s">
        <v>1283</v>
      </c>
      <c r="B190" s="45" t="s">
        <v>195</v>
      </c>
      <c r="C190" s="45" t="s">
        <v>132</v>
      </c>
      <c r="D190" s="45" t="s">
        <v>30</v>
      </c>
      <c r="E190" s="45" t="s">
        <v>1092</v>
      </c>
      <c r="F190" s="45" t="s">
        <v>10</v>
      </c>
      <c r="G190" s="45" t="s">
        <v>17</v>
      </c>
      <c r="H190" s="53">
        <v>29</v>
      </c>
      <c r="I190" s="54">
        <f>IF(H190:H1189&lt;45, "Adult", IF(H190:H1189&lt;60, "Middle Age", IF(H190:H1189&lt;70, "Old", "Very Old")))</f>
      </c>
      <c r="J190" s="55">
        <v>43594</v>
      </c>
      <c r="K190" s="56">
        <v>125828</v>
      </c>
      <c r="L190" s="54">
        <f>IF(K190:K1189&lt;50000,"0-50",IF(K190:K1189&lt;100001,"51-100",IF(K190:K1189&lt;150001,"101-150",IF(K190:K1189&lt;200001,"151-200",IF(K190:K1189&lt;250001,"201-250","above 250")))))</f>
      </c>
      <c r="M190" s="57">
        <v>0.15</v>
      </c>
      <c r="N190" s="45" t="s">
        <v>9</v>
      </c>
      <c r="O190" s="45" t="s">
        <v>65</v>
      </c>
      <c r="P190" s="51"/>
      <c r="Q190" s="52">
        <f>IF(ISBLANK(P190:P1189), "", DATEDIF(J190:J1189, P190:P1189, "Y"))</f>
      </c>
    </row>
    <row x14ac:dyDescent="0.25" r="191" customHeight="1" ht="15.75">
      <c r="A191" s="45" t="s">
        <v>1284</v>
      </c>
      <c r="B191" s="45" t="s">
        <v>290</v>
      </c>
      <c r="C191" s="45" t="s">
        <v>130</v>
      </c>
      <c r="D191" s="45" t="s">
        <v>30</v>
      </c>
      <c r="E191" s="45" t="s">
        <v>1094</v>
      </c>
      <c r="F191" s="45" t="s">
        <v>10</v>
      </c>
      <c r="G191" s="45" t="s">
        <v>14</v>
      </c>
      <c r="H191" s="53">
        <v>33</v>
      </c>
      <c r="I191" s="54">
        <f>IF(H191:H1190&lt;45, "Adult", IF(H191:H1190&lt;60, "Middle Age", IF(H191:H1190&lt;70, "Old", "Very Old")))</f>
      </c>
      <c r="J191" s="55">
        <v>42951</v>
      </c>
      <c r="K191" s="56">
        <v>92610</v>
      </c>
      <c r="L191" s="54">
        <f>IF(K191:K1190&lt;50000,"0-50",IF(K191:K1190&lt;100001,"51-100",IF(K191:K1190&lt;150001,"101-150",IF(K191:K1190&lt;200001,"151-200",IF(K191:K1190&lt;250001,"201-250","above 250")))))</f>
      </c>
      <c r="M191" s="57">
        <v>0</v>
      </c>
      <c r="N191" s="45" t="s">
        <v>15</v>
      </c>
      <c r="O191" s="45" t="s">
        <v>55</v>
      </c>
      <c r="P191" s="51"/>
      <c r="Q191" s="52">
        <f>IF(ISBLANK(P191:P1190), "", DATEDIF(J191:J1190, P191:P1190, "Y"))</f>
      </c>
    </row>
    <row x14ac:dyDescent="0.25" r="192" customHeight="1" ht="15.75">
      <c r="A192" s="45" t="s">
        <v>1285</v>
      </c>
      <c r="B192" s="45" t="s">
        <v>737</v>
      </c>
      <c r="C192" s="45" t="s">
        <v>132</v>
      </c>
      <c r="D192" s="45" t="s">
        <v>36</v>
      </c>
      <c r="E192" s="45" t="s">
        <v>1096</v>
      </c>
      <c r="F192" s="45" t="s">
        <v>10</v>
      </c>
      <c r="G192" s="45" t="s">
        <v>14</v>
      </c>
      <c r="H192" s="53">
        <v>50</v>
      </c>
      <c r="I192" s="54">
        <f>IF(H192:H1191&lt;45, "Adult", IF(H192:H1191&lt;60, "Middle Age", IF(H192:H1191&lt;70, "Old", "Very Old")))</f>
      </c>
      <c r="J192" s="55">
        <v>37705</v>
      </c>
      <c r="K192" s="56">
        <v>123405</v>
      </c>
      <c r="L192" s="54">
        <f>IF(K192:K1191&lt;50000,"0-50",IF(K192:K1191&lt;100001,"51-100",IF(K192:K1191&lt;150001,"101-150",IF(K192:K1191&lt;200001,"151-200",IF(K192:K1191&lt;250001,"201-250","above 250")))))</f>
      </c>
      <c r="M192" s="57">
        <v>0.13</v>
      </c>
      <c r="N192" s="45" t="s">
        <v>15</v>
      </c>
      <c r="O192" s="45" t="s">
        <v>55</v>
      </c>
      <c r="P192" s="51"/>
      <c r="Q192" s="52">
        <f>IF(ISBLANK(P192:P1191), "", DATEDIF(J192:J1191, P192:P1191, "Y"))</f>
      </c>
    </row>
    <row x14ac:dyDescent="0.25" r="193" customHeight="1" ht="15.75">
      <c r="A193" s="45" t="s">
        <v>1286</v>
      </c>
      <c r="B193" s="45" t="s">
        <v>632</v>
      </c>
      <c r="C193" s="45" t="s">
        <v>78</v>
      </c>
      <c r="D193" s="45" t="s">
        <v>36</v>
      </c>
      <c r="E193" s="45" t="s">
        <v>1094</v>
      </c>
      <c r="F193" s="45" t="s">
        <v>7</v>
      </c>
      <c r="G193" s="45" t="s">
        <v>8</v>
      </c>
      <c r="H193" s="53">
        <v>46</v>
      </c>
      <c r="I193" s="54">
        <f>IF(H193:H1192&lt;45, "Adult", IF(H193:H1192&lt;60, "Middle Age", IF(H193:H1192&lt;70, "Old", "Very Old")))</f>
      </c>
      <c r="J193" s="55">
        <v>38066</v>
      </c>
      <c r="K193" s="56">
        <v>73004</v>
      </c>
      <c r="L193" s="54">
        <f>IF(K193:K1192&lt;50000,"0-50",IF(K193:K1192&lt;100001,"51-100",IF(K193:K1192&lt;150001,"101-150",IF(K193:K1192&lt;200001,"151-200",IF(K193:K1192&lt;250001,"201-250","above 250")))))</f>
      </c>
      <c r="M193" s="57">
        <v>0</v>
      </c>
      <c r="N193" s="45" t="s">
        <v>12</v>
      </c>
      <c r="O193" s="45" t="s">
        <v>47</v>
      </c>
      <c r="P193" s="51"/>
      <c r="Q193" s="52">
        <f>IF(ISBLANK(P193:P1192), "", DATEDIF(J193:J1192, P193:P1192, "Y"))</f>
      </c>
    </row>
    <row x14ac:dyDescent="0.25" r="194" customHeight="1" ht="15.75">
      <c r="A194" s="45" t="s">
        <v>1287</v>
      </c>
      <c r="B194" s="45" t="s">
        <v>925</v>
      </c>
      <c r="C194" s="45" t="s">
        <v>98</v>
      </c>
      <c r="D194" s="45" t="s">
        <v>26</v>
      </c>
      <c r="E194" s="45" t="s">
        <v>1100</v>
      </c>
      <c r="F194" s="45" t="s">
        <v>10</v>
      </c>
      <c r="G194" s="45" t="s">
        <v>8</v>
      </c>
      <c r="H194" s="53">
        <v>57</v>
      </c>
      <c r="I194" s="54">
        <f>IF(H194:H1193&lt;45, "Adult", IF(H194:H1193&lt;60, "Middle Age", IF(H194:H1193&lt;70, "Old", "Very Old")))</f>
      </c>
      <c r="J194" s="55">
        <v>36275</v>
      </c>
      <c r="K194" s="56">
        <v>95061</v>
      </c>
      <c r="L194" s="54">
        <f>IF(K194:K1193&lt;50000,"0-50",IF(K194:K1193&lt;100001,"51-100",IF(K194:K1193&lt;150001,"101-150",IF(K194:K1193&lt;200001,"151-200",IF(K194:K1193&lt;250001,"201-250","above 250")))))</f>
      </c>
      <c r="M194" s="57">
        <v>0.1</v>
      </c>
      <c r="N194" s="45" t="s">
        <v>12</v>
      </c>
      <c r="O194" s="45" t="s">
        <v>69</v>
      </c>
      <c r="P194" s="51"/>
      <c r="Q194" s="52">
        <f>IF(ISBLANK(P194:P1193), "", DATEDIF(J194:J1193, P194:P1193, "Y"))</f>
      </c>
    </row>
    <row x14ac:dyDescent="0.25" r="195" customHeight="1" ht="15.75">
      <c r="A195" s="45" t="s">
        <v>1288</v>
      </c>
      <c r="B195" s="45" t="s">
        <v>716</v>
      </c>
      <c r="C195" s="45" t="s">
        <v>96</v>
      </c>
      <c r="D195" s="45" t="s">
        <v>36</v>
      </c>
      <c r="E195" s="45" t="s">
        <v>1100</v>
      </c>
      <c r="F195" s="45" t="s">
        <v>7</v>
      </c>
      <c r="G195" s="45" t="s">
        <v>17</v>
      </c>
      <c r="H195" s="53">
        <v>49</v>
      </c>
      <c r="I195" s="54">
        <f>IF(H195:H1194&lt;45, "Adult", IF(H195:H1194&lt;60, "Middle Age", IF(H195:H1194&lt;70, "Old", "Very Old")))</f>
      </c>
      <c r="J195" s="55">
        <v>35887</v>
      </c>
      <c r="K195" s="56">
        <v>160832</v>
      </c>
      <c r="L195" s="54">
        <f>IF(K195:K1194&lt;50000,"0-50",IF(K195:K1194&lt;100001,"51-100",IF(K195:K1194&lt;150001,"101-150",IF(K195:K1194&lt;200001,"151-200",IF(K195:K1194&lt;250001,"201-250","above 250")))))</f>
      </c>
      <c r="M195" s="57">
        <v>0.3</v>
      </c>
      <c r="N195" s="45" t="s">
        <v>15</v>
      </c>
      <c r="O195" s="45" t="s">
        <v>61</v>
      </c>
      <c r="P195" s="51"/>
      <c r="Q195" s="52">
        <f>IF(ISBLANK(P195:P1194), "", DATEDIF(J195:J1194, P195:P1194, "Y"))</f>
      </c>
    </row>
    <row x14ac:dyDescent="0.25" r="196" customHeight="1" ht="15.75">
      <c r="A196" s="45" t="s">
        <v>1289</v>
      </c>
      <c r="B196" s="45" t="s">
        <v>836</v>
      </c>
      <c r="C196" s="45" t="s">
        <v>122</v>
      </c>
      <c r="D196" s="45" t="s">
        <v>32</v>
      </c>
      <c r="E196" s="45" t="s">
        <v>1094</v>
      </c>
      <c r="F196" s="45" t="s">
        <v>10</v>
      </c>
      <c r="G196" s="45" t="s">
        <v>11</v>
      </c>
      <c r="H196" s="53">
        <v>54</v>
      </c>
      <c r="I196" s="54">
        <f>IF(H196:H1195&lt;45, "Adult", IF(H196:H1195&lt;60, "Middle Age", IF(H196:H1195&lt;70, "Old", "Very Old")))</f>
      </c>
      <c r="J196" s="55">
        <v>40540</v>
      </c>
      <c r="K196" s="56">
        <v>64417</v>
      </c>
      <c r="L196" s="54">
        <f>IF(K196:K1195&lt;50000,"0-50",IF(K196:K1195&lt;100001,"51-100",IF(K196:K1195&lt;150001,"101-150",IF(K196:K1195&lt;200001,"151-200",IF(K196:K1195&lt;250001,"201-250","above 250")))))</f>
      </c>
      <c r="M196" s="57">
        <v>0</v>
      </c>
      <c r="N196" s="45" t="s">
        <v>15</v>
      </c>
      <c r="O196" s="45" t="s">
        <v>55</v>
      </c>
      <c r="P196" s="51"/>
      <c r="Q196" s="52">
        <f>IF(ISBLANK(P196:P1195), "", DATEDIF(J196:J1195, P196:P1195, "Y"))</f>
      </c>
    </row>
    <row x14ac:dyDescent="0.25" r="197" customHeight="1" ht="15.75">
      <c r="A197" s="45" t="s">
        <v>1290</v>
      </c>
      <c r="B197" s="45" t="s">
        <v>164</v>
      </c>
      <c r="C197" s="45" t="s">
        <v>110</v>
      </c>
      <c r="D197" s="45" t="s">
        <v>36</v>
      </c>
      <c r="E197" s="45" t="s">
        <v>1100</v>
      </c>
      <c r="F197" s="45" t="s">
        <v>10</v>
      </c>
      <c r="G197" s="45" t="s">
        <v>8</v>
      </c>
      <c r="H197" s="53">
        <v>28</v>
      </c>
      <c r="I197" s="54">
        <f>IF(H197:H1196&lt;45, "Adult", IF(H197:H1196&lt;60, "Middle Age", IF(H197:H1196&lt;70, "Old", "Very Old")))</f>
      </c>
      <c r="J197" s="55">
        <v>44274</v>
      </c>
      <c r="K197" s="56">
        <v>127543</v>
      </c>
      <c r="L197" s="54">
        <f>IF(K197:K1196&lt;50000,"0-50",IF(K197:K1196&lt;100001,"51-100",IF(K197:K1196&lt;150001,"101-150",IF(K197:K1196&lt;200001,"151-200",IF(K197:K1196&lt;250001,"201-250","above 250")))))</f>
      </c>
      <c r="M197" s="57">
        <v>0.06</v>
      </c>
      <c r="N197" s="45" t="s">
        <v>12</v>
      </c>
      <c r="O197" s="45" t="s">
        <v>69</v>
      </c>
      <c r="P197" s="51"/>
      <c r="Q197" s="52">
        <f>IF(ISBLANK(P197:P1196), "", DATEDIF(J197:J1196, P197:P1196, "Y"))</f>
      </c>
    </row>
    <row x14ac:dyDescent="0.25" r="198" customHeight="1" ht="15.75">
      <c r="A198" s="45" t="s">
        <v>1291</v>
      </c>
      <c r="B198" s="45" t="s">
        <v>220</v>
      </c>
      <c r="C198" s="45" t="s">
        <v>80</v>
      </c>
      <c r="D198" s="45" t="s">
        <v>34</v>
      </c>
      <c r="E198" s="45" t="s">
        <v>1094</v>
      </c>
      <c r="F198" s="45" t="s">
        <v>10</v>
      </c>
      <c r="G198" s="45" t="s">
        <v>17</v>
      </c>
      <c r="H198" s="53">
        <v>30</v>
      </c>
      <c r="I198" s="54">
        <f>IF(H198:H1197&lt;45, "Adult", IF(H198:H1197&lt;60, "Middle Age", IF(H198:H1197&lt;70, "Old", "Very Old")))</f>
      </c>
      <c r="J198" s="55">
        <v>43272</v>
      </c>
      <c r="K198" s="56">
        <v>56154</v>
      </c>
      <c r="L198" s="54">
        <f>IF(K198:K1197&lt;50000,"0-50",IF(K198:K1197&lt;100001,"51-100",IF(K198:K1197&lt;150001,"101-150",IF(K198:K1197&lt;200001,"151-200",IF(K198:K1197&lt;250001,"201-250","above 250")))))</f>
      </c>
      <c r="M198" s="57">
        <v>0</v>
      </c>
      <c r="N198" s="45" t="s">
        <v>9</v>
      </c>
      <c r="O198" s="45" t="s">
        <v>65</v>
      </c>
      <c r="P198" s="51"/>
      <c r="Q198" s="52">
        <f>IF(ISBLANK(P198:P1197), "", DATEDIF(J198:J1197, P198:P1197, "Y"))</f>
      </c>
    </row>
    <row x14ac:dyDescent="0.25" r="199" customHeight="1" ht="15.75">
      <c r="A199" s="45" t="s">
        <v>1292</v>
      </c>
      <c r="B199" s="45" t="s">
        <v>359</v>
      </c>
      <c r="C199" s="45" t="s">
        <v>142</v>
      </c>
      <c r="D199" s="45" t="s">
        <v>36</v>
      </c>
      <c r="E199" s="45" t="s">
        <v>1094</v>
      </c>
      <c r="F199" s="45" t="s">
        <v>7</v>
      </c>
      <c r="G199" s="45" t="s">
        <v>8</v>
      </c>
      <c r="H199" s="53">
        <v>36</v>
      </c>
      <c r="I199" s="54">
        <f>IF(H199:H1198&lt;45, "Adult", IF(H199:H1198&lt;60, "Middle Age", IF(H199:H1198&lt;70, "Old", "Very Old")))</f>
      </c>
      <c r="J199" s="55">
        <v>41692</v>
      </c>
      <c r="K199" s="56">
        <v>218530</v>
      </c>
      <c r="L199" s="54">
        <f>IF(K199:K1198&lt;50000,"0-50",IF(K199:K1198&lt;100001,"51-100",IF(K199:K1198&lt;150001,"101-150",IF(K199:K1198&lt;200001,"151-200",IF(K199:K1198&lt;250001,"201-250","above 250")))))</f>
      </c>
      <c r="M199" s="57">
        <v>0.3</v>
      </c>
      <c r="N199" s="45" t="s">
        <v>12</v>
      </c>
      <c r="O199" s="45" t="s">
        <v>69</v>
      </c>
      <c r="P199" s="51"/>
      <c r="Q199" s="52">
        <f>IF(ISBLANK(P199:P1198), "", DATEDIF(J199:J1198, P199:P1198, "Y"))</f>
      </c>
    </row>
    <row x14ac:dyDescent="0.25" r="200" customHeight="1" ht="15.75">
      <c r="A200" s="45" t="s">
        <v>1293</v>
      </c>
      <c r="B200" s="45" t="s">
        <v>354</v>
      </c>
      <c r="C200" s="45" t="s">
        <v>122</v>
      </c>
      <c r="D200" s="45" t="s">
        <v>32</v>
      </c>
      <c r="E200" s="45" t="s">
        <v>1094</v>
      </c>
      <c r="F200" s="45" t="s">
        <v>7</v>
      </c>
      <c r="G200" s="45" t="s">
        <v>17</v>
      </c>
      <c r="H200" s="53">
        <v>36</v>
      </c>
      <c r="I200" s="54">
        <f>IF(H200:H1199&lt;45, "Adult", IF(H200:H1199&lt;60, "Middle Age", IF(H200:H1199&lt;70, "Old", "Very Old")))</f>
      </c>
      <c r="J200" s="55">
        <v>43818</v>
      </c>
      <c r="K200" s="56">
        <v>91954</v>
      </c>
      <c r="L200" s="54">
        <f>IF(K200:K1199&lt;50000,"0-50",IF(K200:K1199&lt;100001,"51-100",IF(K200:K1199&lt;150001,"101-150",IF(K200:K1199&lt;200001,"151-200",IF(K200:K1199&lt;250001,"201-250","above 250")))))</f>
      </c>
      <c r="M200" s="57">
        <v>0</v>
      </c>
      <c r="N200" s="45" t="s">
        <v>15</v>
      </c>
      <c r="O200" s="45" t="s">
        <v>55</v>
      </c>
      <c r="P200" s="51"/>
      <c r="Q200" s="52">
        <f>IF(ISBLANK(P200:P1199), "", DATEDIF(J200:J1199, P200:P1199, "Y"))</f>
      </c>
    </row>
    <row x14ac:dyDescent="0.25" r="201" customHeight="1" ht="15.75">
      <c r="A201" s="45" t="s">
        <v>1294</v>
      </c>
      <c r="B201" s="45" t="s">
        <v>222</v>
      </c>
      <c r="C201" s="45" t="s">
        <v>142</v>
      </c>
      <c r="D201" s="45" t="s">
        <v>34</v>
      </c>
      <c r="E201" s="45" t="s">
        <v>1100</v>
      </c>
      <c r="F201" s="45" t="s">
        <v>7</v>
      </c>
      <c r="G201" s="45" t="s">
        <v>11</v>
      </c>
      <c r="H201" s="53">
        <v>30</v>
      </c>
      <c r="I201" s="54">
        <f>IF(H201:H1200&lt;45, "Adult", IF(H201:H1200&lt;60, "Middle Age", IF(H201:H1200&lt;70, "Old", "Very Old")))</f>
      </c>
      <c r="J201" s="55">
        <v>42634</v>
      </c>
      <c r="K201" s="56">
        <v>221217</v>
      </c>
      <c r="L201" s="54">
        <f>IF(K201:K1200&lt;50000,"0-50",IF(K201:K1200&lt;100001,"51-100",IF(K201:K1200&lt;150001,"101-150",IF(K201:K1200&lt;200001,"151-200",IF(K201:K1200&lt;250001,"201-250","above 250")))))</f>
      </c>
      <c r="M201" s="57">
        <v>0.32</v>
      </c>
      <c r="N201" s="45" t="s">
        <v>15</v>
      </c>
      <c r="O201" s="45" t="s">
        <v>55</v>
      </c>
      <c r="P201" s="58">
        <v>43003</v>
      </c>
      <c r="Q201" s="53">
        <f>IF(ISBLANK(P201:P1200), "", DATEDIF(J201:J1200, P201:P1200, "Y"))</f>
      </c>
    </row>
    <row x14ac:dyDescent="0.25" r="202" customHeight="1" ht="15.75">
      <c r="A202" s="45" t="s">
        <v>1295</v>
      </c>
      <c r="B202" s="45" t="s">
        <v>191</v>
      </c>
      <c r="C202" s="45" t="s">
        <v>134</v>
      </c>
      <c r="D202" s="45" t="s">
        <v>32</v>
      </c>
      <c r="E202" s="45" t="s">
        <v>1094</v>
      </c>
      <c r="F202" s="45" t="s">
        <v>10</v>
      </c>
      <c r="G202" s="45" t="s">
        <v>17</v>
      </c>
      <c r="H202" s="53">
        <v>29</v>
      </c>
      <c r="I202" s="54">
        <f>IF(H202:H1201&lt;45, "Adult", IF(H202:H1201&lt;60, "Middle Age", IF(H202:H1201&lt;70, "Old", "Very Old")))</f>
      </c>
      <c r="J202" s="55">
        <v>42866</v>
      </c>
      <c r="K202" s="56">
        <v>87536</v>
      </c>
      <c r="L202" s="54">
        <f>IF(K202:K1201&lt;50000,"0-50",IF(K202:K1201&lt;100001,"51-100",IF(K202:K1201&lt;150001,"101-150",IF(K202:K1201&lt;200001,"151-200",IF(K202:K1201&lt;250001,"201-250","above 250")))))</f>
      </c>
      <c r="M202" s="57">
        <v>0</v>
      </c>
      <c r="N202" s="45" t="s">
        <v>15</v>
      </c>
      <c r="O202" s="45" t="s">
        <v>67</v>
      </c>
      <c r="P202" s="51"/>
      <c r="Q202" s="52">
        <f>IF(ISBLANK(P202:P1201), "", DATEDIF(J202:J1201, P202:P1201, "Y"))</f>
      </c>
    </row>
    <row x14ac:dyDescent="0.25" r="203" customHeight="1" ht="15.75">
      <c r="A203" s="45" t="s">
        <v>1296</v>
      </c>
      <c r="B203" s="45" t="s">
        <v>663</v>
      </c>
      <c r="C203" s="45" t="s">
        <v>80</v>
      </c>
      <c r="D203" s="45" t="s">
        <v>36</v>
      </c>
      <c r="E203" s="45" t="s">
        <v>1100</v>
      </c>
      <c r="F203" s="45" t="s">
        <v>7</v>
      </c>
      <c r="G203" s="45" t="s">
        <v>17</v>
      </c>
      <c r="H203" s="53">
        <v>47</v>
      </c>
      <c r="I203" s="54">
        <f>IF(H203:H1202&lt;45, "Adult", IF(H203:H1202&lt;60, "Middle Age", IF(H203:H1202&lt;70, "Old", "Very Old")))</f>
      </c>
      <c r="J203" s="55">
        <v>42164</v>
      </c>
      <c r="K203" s="56">
        <v>41429</v>
      </c>
      <c r="L203" s="54">
        <f>IF(K203:K1202&lt;50000,"0-50",IF(K203:K1202&lt;100001,"51-100",IF(K203:K1202&lt;150001,"101-150",IF(K203:K1202&lt;200001,"151-200",IF(K203:K1202&lt;250001,"201-250","above 250")))))</f>
      </c>
      <c r="M203" s="57">
        <v>0</v>
      </c>
      <c r="N203" s="45" t="s">
        <v>15</v>
      </c>
      <c r="O203" s="45" t="s">
        <v>67</v>
      </c>
      <c r="P203" s="51"/>
      <c r="Q203" s="52">
        <f>IF(ISBLANK(P203:P1202), "", DATEDIF(J203:J1202, P203:P1202, "Y"))</f>
      </c>
    </row>
    <row x14ac:dyDescent="0.25" r="204" customHeight="1" ht="15.75">
      <c r="A204" s="45" t="s">
        <v>1297</v>
      </c>
      <c r="B204" s="45" t="s">
        <v>337</v>
      </c>
      <c r="C204" s="45" t="s">
        <v>142</v>
      </c>
      <c r="D204" s="45" t="s">
        <v>26</v>
      </c>
      <c r="E204" s="45" t="s">
        <v>1094</v>
      </c>
      <c r="F204" s="45" t="s">
        <v>10</v>
      </c>
      <c r="G204" s="45" t="s">
        <v>8</v>
      </c>
      <c r="H204" s="53">
        <v>35</v>
      </c>
      <c r="I204" s="54">
        <f>IF(H204:H1203&lt;45, "Adult", IF(H204:H1203&lt;60, "Middle Age", IF(H204:H1203&lt;70, "Old", "Very Old")))</f>
      </c>
      <c r="J204" s="55">
        <v>40826</v>
      </c>
      <c r="K204" s="56">
        <v>245482</v>
      </c>
      <c r="L204" s="54">
        <f>IF(K204:K1203&lt;50000,"0-50",IF(K204:K1203&lt;100001,"51-100",IF(K204:K1203&lt;150001,"101-150",IF(K204:K1203&lt;200001,"151-200",IF(K204:K1203&lt;250001,"201-250","above 250")))))</f>
      </c>
      <c r="M204" s="57">
        <v>0.39</v>
      </c>
      <c r="N204" s="45" t="s">
        <v>15</v>
      </c>
      <c r="O204" s="45" t="s">
        <v>67</v>
      </c>
      <c r="P204" s="51"/>
      <c r="Q204" s="52">
        <f>IF(ISBLANK(P204:P1203), "", DATEDIF(J204:J1203, P204:P1203, "Y"))</f>
      </c>
    </row>
    <row x14ac:dyDescent="0.25" r="205" customHeight="1" ht="15.75">
      <c r="A205" s="45" t="s">
        <v>1298</v>
      </c>
      <c r="B205" s="45" t="s">
        <v>50</v>
      </c>
      <c r="C205" s="45" t="s">
        <v>94</v>
      </c>
      <c r="D205" s="45" t="s">
        <v>26</v>
      </c>
      <c r="E205" s="45" t="s">
        <v>1094</v>
      </c>
      <c r="F205" s="45" t="s">
        <v>7</v>
      </c>
      <c r="G205" s="45" t="s">
        <v>14</v>
      </c>
      <c r="H205" s="53">
        <v>25</v>
      </c>
      <c r="I205" s="54">
        <f>IF(H205:H1204&lt;45, "Adult", IF(H205:H1204&lt;60, "Middle Age", IF(H205:H1204&lt;70, "Old", "Very Old")))</f>
      </c>
      <c r="J205" s="55">
        <v>43850</v>
      </c>
      <c r="K205" s="56">
        <v>71359</v>
      </c>
      <c r="L205" s="54">
        <f>IF(K205:K1204&lt;50000,"0-50",IF(K205:K1204&lt;100001,"51-100",IF(K205:K1204&lt;150001,"101-150",IF(K205:K1204&lt;200001,"151-200",IF(K205:K1204&lt;250001,"201-250","above 250")))))</f>
      </c>
      <c r="M205" s="57">
        <v>0</v>
      </c>
      <c r="N205" s="45" t="s">
        <v>15</v>
      </c>
      <c r="O205" s="45" t="s">
        <v>61</v>
      </c>
      <c r="P205" s="51"/>
      <c r="Q205" s="52">
        <f>IF(ISBLANK(P205:P1204), "", DATEDIF(J205:J1204, P205:P1204, "Y"))</f>
      </c>
    </row>
    <row x14ac:dyDescent="0.25" r="206" customHeight="1" ht="15.75">
      <c r="A206" s="45" t="s">
        <v>1299</v>
      </c>
      <c r="B206" s="45" t="s">
        <v>566</v>
      </c>
      <c r="C206" s="45" t="s">
        <v>96</v>
      </c>
      <c r="D206" s="45" t="s">
        <v>26</v>
      </c>
      <c r="E206" s="45" t="s">
        <v>1096</v>
      </c>
      <c r="F206" s="45" t="s">
        <v>10</v>
      </c>
      <c r="G206" s="45" t="s">
        <v>8</v>
      </c>
      <c r="H206" s="53">
        <v>45</v>
      </c>
      <c r="I206" s="54">
        <f>IF(H206:H1205&lt;45, "Adult", IF(H206:H1205&lt;60, "Middle Age", IF(H206:H1205&lt;70, "Old", "Very Old")))</f>
      </c>
      <c r="J206" s="55">
        <v>41879</v>
      </c>
      <c r="K206" s="56">
        <v>183161</v>
      </c>
      <c r="L206" s="54">
        <f>IF(K206:K1205&lt;50000,"0-50",IF(K206:K1205&lt;100001,"51-100",IF(K206:K1205&lt;150001,"101-150",IF(K206:K1205&lt;200001,"151-200",IF(K206:K1205&lt;250001,"201-250","above 250")))))</f>
      </c>
      <c r="M206" s="57">
        <v>0.22</v>
      </c>
      <c r="N206" s="45" t="s">
        <v>15</v>
      </c>
      <c r="O206" s="45" t="s">
        <v>59</v>
      </c>
      <c r="P206" s="51"/>
      <c r="Q206" s="52">
        <f>IF(ISBLANK(P206:P1205), "", DATEDIF(J206:J1205, P206:P1205, "Y"))</f>
      </c>
    </row>
    <row x14ac:dyDescent="0.25" r="207" customHeight="1" ht="15.75">
      <c r="A207" s="45" t="s">
        <v>1300</v>
      </c>
      <c r="B207" s="45" t="s">
        <v>940</v>
      </c>
      <c r="C207" s="45" t="s">
        <v>112</v>
      </c>
      <c r="D207" s="45" t="s">
        <v>32</v>
      </c>
      <c r="E207" s="45" t="s">
        <v>1100</v>
      </c>
      <c r="F207" s="45" t="s">
        <v>10</v>
      </c>
      <c r="G207" s="45" t="s">
        <v>14</v>
      </c>
      <c r="H207" s="53">
        <v>58</v>
      </c>
      <c r="I207" s="54">
        <f>IF(H207:H1206&lt;45, "Adult", IF(H207:H1206&lt;60, "Middle Age", IF(H207:H1206&lt;70, "Old", "Very Old")))</f>
      </c>
      <c r="J207" s="55">
        <v>34176</v>
      </c>
      <c r="K207" s="56">
        <v>69260</v>
      </c>
      <c r="L207" s="54">
        <f>IF(K207:K1206&lt;50000,"0-50",IF(K207:K1206&lt;100001,"51-100",IF(K207:K1206&lt;150001,"101-150",IF(K207:K1206&lt;200001,"151-200",IF(K207:K1206&lt;250001,"201-250","above 250")))))</f>
      </c>
      <c r="M207" s="57">
        <v>0</v>
      </c>
      <c r="N207" s="45" t="s">
        <v>15</v>
      </c>
      <c r="O207" s="45" t="s">
        <v>61</v>
      </c>
      <c r="P207" s="51"/>
      <c r="Q207" s="52">
        <f>IF(ISBLANK(P207:P1206), "", DATEDIF(J207:J1206, P207:P1206, "Y"))</f>
      </c>
    </row>
    <row x14ac:dyDescent="0.25" r="208" customHeight="1" ht="15.75">
      <c r="A208" s="45" t="s">
        <v>1301</v>
      </c>
      <c r="B208" s="45" t="s">
        <v>762</v>
      </c>
      <c r="C208" s="45" t="s">
        <v>118</v>
      </c>
      <c r="D208" s="45" t="s">
        <v>26</v>
      </c>
      <c r="E208" s="45" t="s">
        <v>1096</v>
      </c>
      <c r="F208" s="45" t="s">
        <v>10</v>
      </c>
      <c r="G208" s="45" t="s">
        <v>14</v>
      </c>
      <c r="H208" s="53">
        <v>51</v>
      </c>
      <c r="I208" s="54">
        <f>IF(H208:H1207&lt;45, "Adult", IF(H208:H1207&lt;60, "Middle Age", IF(H208:H1207&lt;70, "Old", "Very Old")))</f>
      </c>
      <c r="J208" s="55">
        <v>36442</v>
      </c>
      <c r="K208" s="56">
        <v>95639</v>
      </c>
      <c r="L208" s="54">
        <f>IF(K208:K1207&lt;50000,"0-50",IF(K208:K1207&lt;100001,"51-100",IF(K208:K1207&lt;150001,"101-150",IF(K208:K1207&lt;200001,"151-200",IF(K208:K1207&lt;250001,"201-250","above 250")))))</f>
      </c>
      <c r="M208" s="57">
        <v>0</v>
      </c>
      <c r="N208" s="45" t="s">
        <v>15</v>
      </c>
      <c r="O208" s="45" t="s">
        <v>42</v>
      </c>
      <c r="P208" s="51"/>
      <c r="Q208" s="52">
        <f>IF(ISBLANK(P208:P1207), "", DATEDIF(J208:J1207, P208:P1207, "Y"))</f>
      </c>
    </row>
    <row x14ac:dyDescent="0.25" r="209" customHeight="1" ht="15.75">
      <c r="A209" s="45" t="s">
        <v>1302</v>
      </c>
      <c r="B209" s="45" t="s">
        <v>688</v>
      </c>
      <c r="C209" s="45" t="s">
        <v>110</v>
      </c>
      <c r="D209" s="45" t="s">
        <v>30</v>
      </c>
      <c r="E209" s="45" t="s">
        <v>1092</v>
      </c>
      <c r="F209" s="45" t="s">
        <v>10</v>
      </c>
      <c r="G209" s="45" t="s">
        <v>8</v>
      </c>
      <c r="H209" s="53">
        <v>48</v>
      </c>
      <c r="I209" s="54">
        <f>IF(H209:H1208&lt;45, "Adult", IF(H209:H1208&lt;60, "Middle Age", IF(H209:H1208&lt;70, "Old", "Very Old")))</f>
      </c>
      <c r="J209" s="55">
        <v>38168</v>
      </c>
      <c r="K209" s="56">
        <v>120660</v>
      </c>
      <c r="L209" s="54">
        <f>IF(K209:K1208&lt;50000,"0-50",IF(K209:K1208&lt;100001,"51-100",IF(K209:K1208&lt;150001,"101-150",IF(K209:K1208&lt;200001,"151-200",IF(K209:K1208&lt;250001,"201-250","above 250")))))</f>
      </c>
      <c r="M209" s="57">
        <v>0.07</v>
      </c>
      <c r="N209" s="45" t="s">
        <v>12</v>
      </c>
      <c r="O209" s="45" t="s">
        <v>49</v>
      </c>
      <c r="P209" s="51"/>
      <c r="Q209" s="52">
        <f>IF(ISBLANK(P209:P1208), "", DATEDIF(J209:J1208, P209:P1208, "Y"))</f>
      </c>
    </row>
    <row x14ac:dyDescent="0.25" r="210" customHeight="1" ht="15.75">
      <c r="A210" s="45" t="s">
        <v>1303</v>
      </c>
      <c r="B210" s="45" t="s">
        <v>356</v>
      </c>
      <c r="C210" s="45" t="s">
        <v>128</v>
      </c>
      <c r="D210" s="45" t="s">
        <v>36</v>
      </c>
      <c r="E210" s="45" t="s">
        <v>1100</v>
      </c>
      <c r="F210" s="45" t="s">
        <v>10</v>
      </c>
      <c r="G210" s="45" t="s">
        <v>11</v>
      </c>
      <c r="H210" s="53">
        <v>36</v>
      </c>
      <c r="I210" s="54">
        <f>IF(H210:H1209&lt;45, "Adult", IF(H210:H1209&lt;60, "Middle Age", IF(H210:H1209&lt;70, "Old", "Very Old")))</f>
      </c>
      <c r="J210" s="55">
        <v>44556</v>
      </c>
      <c r="K210" s="56">
        <v>75119</v>
      </c>
      <c r="L210" s="54">
        <f>IF(K210:K1209&lt;50000,"0-50",IF(K210:K1209&lt;100001,"51-100",IF(K210:K1209&lt;150001,"101-150",IF(K210:K1209&lt;200001,"151-200",IF(K210:K1209&lt;250001,"201-250","above 250")))))</f>
      </c>
      <c r="M210" s="57">
        <v>0</v>
      </c>
      <c r="N210" s="45" t="s">
        <v>15</v>
      </c>
      <c r="O210" s="45" t="s">
        <v>51</v>
      </c>
      <c r="P210" s="51"/>
      <c r="Q210" s="52">
        <f>IF(ISBLANK(P210:P1209), "", DATEDIF(J210:J1209, P210:P1209, "Y"))</f>
      </c>
    </row>
    <row x14ac:dyDescent="0.25" r="211" customHeight="1" ht="15.75">
      <c r="A211" s="45" t="s">
        <v>1304</v>
      </c>
      <c r="B211" s="45" t="s">
        <v>960</v>
      </c>
      <c r="C211" s="45" t="s">
        <v>142</v>
      </c>
      <c r="D211" s="45" t="s">
        <v>24</v>
      </c>
      <c r="E211" s="45" t="s">
        <v>1092</v>
      </c>
      <c r="F211" s="45" t="s">
        <v>10</v>
      </c>
      <c r="G211" s="45" t="s">
        <v>8</v>
      </c>
      <c r="H211" s="53">
        <v>59</v>
      </c>
      <c r="I211" s="54">
        <f>IF(H211:H1210&lt;45, "Adult", IF(H211:H1210&lt;60, "Middle Age", IF(H211:H1210&lt;70, "Old", "Very Old")))</f>
      </c>
      <c r="J211" s="55">
        <v>40681</v>
      </c>
      <c r="K211" s="56">
        <v>192213</v>
      </c>
      <c r="L211" s="54">
        <f>IF(K211:K1210&lt;50000,"0-50",IF(K211:K1210&lt;100001,"51-100",IF(K211:K1210&lt;150001,"101-150",IF(K211:K1210&lt;200001,"151-200",IF(K211:K1210&lt;250001,"201-250","above 250")))))</f>
      </c>
      <c r="M211" s="57">
        <v>0.4</v>
      </c>
      <c r="N211" s="45" t="s">
        <v>15</v>
      </c>
      <c r="O211" s="45" t="s">
        <v>51</v>
      </c>
      <c r="P211" s="51"/>
      <c r="Q211" s="52">
        <f>IF(ISBLANK(P211:P1210), "", DATEDIF(J211:J1210, P211:P1210, "Y"))</f>
      </c>
    </row>
    <row x14ac:dyDescent="0.25" r="212" customHeight="1" ht="15.75">
      <c r="A212" s="45" t="s">
        <v>1305</v>
      </c>
      <c r="B212" s="45" t="s">
        <v>574</v>
      </c>
      <c r="C212" s="45" t="s">
        <v>78</v>
      </c>
      <c r="D212" s="45" t="s">
        <v>36</v>
      </c>
      <c r="E212" s="45" t="s">
        <v>1096</v>
      </c>
      <c r="F212" s="45" t="s">
        <v>7</v>
      </c>
      <c r="G212" s="45" t="s">
        <v>17</v>
      </c>
      <c r="H212" s="53">
        <v>45</v>
      </c>
      <c r="I212" s="54">
        <f>IF(H212:H1211&lt;45, "Adult", IF(H212:H1211&lt;60, "Middle Age", IF(H212:H1211&lt;70, "Old", "Very Old")))</f>
      </c>
      <c r="J212" s="55">
        <v>41769</v>
      </c>
      <c r="K212" s="56">
        <v>65047</v>
      </c>
      <c r="L212" s="54">
        <f>IF(K212:K1211&lt;50000,"0-50",IF(K212:K1211&lt;100001,"51-100",IF(K212:K1211&lt;150001,"101-150",IF(K212:K1211&lt;200001,"151-200",IF(K212:K1211&lt;250001,"201-250","above 250")))))</f>
      </c>
      <c r="M212" s="57">
        <v>0</v>
      </c>
      <c r="N212" s="45" t="s">
        <v>9</v>
      </c>
      <c r="O212" s="45" t="s">
        <v>65</v>
      </c>
      <c r="P212" s="51"/>
      <c r="Q212" s="52">
        <f>IF(ISBLANK(P212:P1211), "", DATEDIF(J212:J1211, P212:P1211, "Y"))</f>
      </c>
    </row>
    <row x14ac:dyDescent="0.25" r="213" customHeight="1" ht="15.75">
      <c r="A213" s="45" t="s">
        <v>1306</v>
      </c>
      <c r="B213" s="45" t="s">
        <v>188</v>
      </c>
      <c r="C213" s="45" t="s">
        <v>132</v>
      </c>
      <c r="D213" s="45" t="s">
        <v>36</v>
      </c>
      <c r="E213" s="45" t="s">
        <v>1094</v>
      </c>
      <c r="F213" s="45" t="s">
        <v>10</v>
      </c>
      <c r="G213" s="45" t="s">
        <v>14</v>
      </c>
      <c r="H213" s="53">
        <v>29</v>
      </c>
      <c r="I213" s="54">
        <f>IF(H213:H1212&lt;45, "Adult", IF(H213:H1212&lt;60, "Middle Age", IF(H213:H1212&lt;70, "Old", "Very Old")))</f>
      </c>
      <c r="J213" s="55">
        <v>42810</v>
      </c>
      <c r="K213" s="56">
        <v>151413</v>
      </c>
      <c r="L213" s="54">
        <f>IF(K213:K1212&lt;50000,"0-50",IF(K213:K1212&lt;100001,"51-100",IF(K213:K1212&lt;150001,"101-150",IF(K213:K1212&lt;200001,"151-200",IF(K213:K1212&lt;250001,"201-250","above 250")))))</f>
      </c>
      <c r="M213" s="57">
        <v>0.15</v>
      </c>
      <c r="N213" s="45" t="s">
        <v>15</v>
      </c>
      <c r="O213" s="45" t="s">
        <v>67</v>
      </c>
      <c r="P213" s="51"/>
      <c r="Q213" s="52">
        <f>IF(ISBLANK(P213:P1212), "", DATEDIF(J213:J1212, P213:P1212, "Y"))</f>
      </c>
    </row>
    <row x14ac:dyDescent="0.25" r="214" customHeight="1" ht="15.75">
      <c r="A214" s="45" t="s">
        <v>1307</v>
      </c>
      <c r="B214" s="45" t="s">
        <v>1015</v>
      </c>
      <c r="C214" s="45" t="s">
        <v>128</v>
      </c>
      <c r="D214" s="45" t="s">
        <v>24</v>
      </c>
      <c r="E214" s="45" t="s">
        <v>1096</v>
      </c>
      <c r="F214" s="45" t="s">
        <v>10</v>
      </c>
      <c r="G214" s="45" t="s">
        <v>14</v>
      </c>
      <c r="H214" s="53">
        <v>62</v>
      </c>
      <c r="I214" s="54">
        <f>IF(H214:H1213&lt;45, "Adult", IF(H214:H1213&lt;60, "Middle Age", IF(H214:H1213&lt;70, "Old", "Very Old")))</f>
      </c>
      <c r="J214" s="55">
        <v>37733</v>
      </c>
      <c r="K214" s="56">
        <v>76906</v>
      </c>
      <c r="L214" s="54">
        <f>IF(K214:K1213&lt;50000,"0-50",IF(K214:K1213&lt;100001,"51-100",IF(K214:K1213&lt;150001,"101-150",IF(K214:K1213&lt;200001,"151-200",IF(K214:K1213&lt;250001,"201-250","above 250")))))</f>
      </c>
      <c r="M214" s="57">
        <v>0</v>
      </c>
      <c r="N214" s="45" t="s">
        <v>15</v>
      </c>
      <c r="O214" s="45" t="s">
        <v>67</v>
      </c>
      <c r="P214" s="51"/>
      <c r="Q214" s="52">
        <f>IF(ISBLANK(P214:P1213), "", DATEDIF(J214:J1213, P214:P1213, "Y"))</f>
      </c>
    </row>
    <row x14ac:dyDescent="0.25" r="215" customHeight="1" ht="15.75">
      <c r="A215" s="45" t="s">
        <v>1308</v>
      </c>
      <c r="B215" s="45" t="s">
        <v>760</v>
      </c>
      <c r="C215" s="45" t="s">
        <v>110</v>
      </c>
      <c r="D215" s="45" t="s">
        <v>32</v>
      </c>
      <c r="E215" s="45" t="s">
        <v>1100</v>
      </c>
      <c r="F215" s="45" t="s">
        <v>10</v>
      </c>
      <c r="G215" s="45" t="s">
        <v>8</v>
      </c>
      <c r="H215" s="53">
        <v>51</v>
      </c>
      <c r="I215" s="54">
        <f>IF(H215:H1214&lt;45, "Adult", IF(H215:H1214&lt;60, "Middle Age", IF(H215:H1214&lt;70, "Old", "Very Old")))</f>
      </c>
      <c r="J215" s="55">
        <v>34388</v>
      </c>
      <c r="K215" s="56">
        <v>122802</v>
      </c>
      <c r="L215" s="54">
        <f>IF(K215:K1214&lt;50000,"0-50",IF(K215:K1214&lt;100001,"51-100",IF(K215:K1214&lt;150001,"101-150",IF(K215:K1214&lt;200001,"151-200",IF(K215:K1214&lt;250001,"201-250","above 250")))))</f>
      </c>
      <c r="M215" s="57">
        <v>0.05</v>
      </c>
      <c r="N215" s="45" t="s">
        <v>12</v>
      </c>
      <c r="O215" s="45" t="s">
        <v>69</v>
      </c>
      <c r="P215" s="51"/>
      <c r="Q215" s="52">
        <f>IF(ISBLANK(P215:P1214), "", DATEDIF(J215:J1214, P215:P1214, "Y"))</f>
      </c>
    </row>
    <row x14ac:dyDescent="0.25" r="216" customHeight="1" ht="15.75">
      <c r="A216" s="45" t="s">
        <v>1309</v>
      </c>
      <c r="B216" s="45" t="s">
        <v>666</v>
      </c>
      <c r="C216" s="45" t="s">
        <v>94</v>
      </c>
      <c r="D216" s="45" t="s">
        <v>26</v>
      </c>
      <c r="E216" s="45" t="s">
        <v>1092</v>
      </c>
      <c r="F216" s="45" t="s">
        <v>10</v>
      </c>
      <c r="G216" s="45" t="s">
        <v>17</v>
      </c>
      <c r="H216" s="53">
        <v>47</v>
      </c>
      <c r="I216" s="54">
        <f>IF(H216:H1215&lt;45, "Adult", IF(H216:H1215&lt;60, "Middle Age", IF(H216:H1215&lt;70, "Old", "Very Old")))</f>
      </c>
      <c r="J216" s="55">
        <v>35990</v>
      </c>
      <c r="K216" s="56">
        <v>99091</v>
      </c>
      <c r="L216" s="54">
        <f>IF(K216:K1215&lt;50000,"0-50",IF(K216:K1215&lt;100001,"51-100",IF(K216:K1215&lt;150001,"101-150",IF(K216:K1215&lt;200001,"151-200",IF(K216:K1215&lt;250001,"201-250","above 250")))))</f>
      </c>
      <c r="M216" s="57">
        <v>0</v>
      </c>
      <c r="N216" s="45" t="s">
        <v>15</v>
      </c>
      <c r="O216" s="45" t="s">
        <v>42</v>
      </c>
      <c r="P216" s="51"/>
      <c r="Q216" s="52">
        <f>IF(ISBLANK(P216:P1215), "", DATEDIF(J216:J1215, P216:P1215, "Y"))</f>
      </c>
    </row>
    <row x14ac:dyDescent="0.25" r="217" customHeight="1" ht="15.75">
      <c r="A217" s="45" t="s">
        <v>1310</v>
      </c>
      <c r="B217" s="45" t="s">
        <v>446</v>
      </c>
      <c r="C217" s="45" t="s">
        <v>92</v>
      </c>
      <c r="D217" s="45" t="s">
        <v>26</v>
      </c>
      <c r="E217" s="45" t="s">
        <v>1094</v>
      </c>
      <c r="F217" s="45" t="s">
        <v>10</v>
      </c>
      <c r="G217" s="45" t="s">
        <v>17</v>
      </c>
      <c r="H217" s="53">
        <v>40</v>
      </c>
      <c r="I217" s="54">
        <f>IF(H217:H1216&lt;45, "Adult", IF(H217:H1216&lt;60, "Middle Age", IF(H217:H1216&lt;70, "Old", "Very Old")))</f>
      </c>
      <c r="J217" s="55">
        <v>39506</v>
      </c>
      <c r="K217" s="56">
        <v>113987</v>
      </c>
      <c r="L217" s="54">
        <f>IF(K217:K1216&lt;50000,"0-50",IF(K217:K1216&lt;100001,"51-100",IF(K217:K1216&lt;150001,"101-150",IF(K217:K1216&lt;200001,"151-200",IF(K217:K1216&lt;250001,"201-250","above 250")))))</f>
      </c>
      <c r="M217" s="57">
        <v>0</v>
      </c>
      <c r="N217" s="45" t="s">
        <v>9</v>
      </c>
      <c r="O217" s="45" t="s">
        <v>57</v>
      </c>
      <c r="P217" s="51"/>
      <c r="Q217" s="52">
        <f>IF(ISBLANK(P217:P1216), "", DATEDIF(J217:J1216, P217:P1216, "Y"))</f>
      </c>
    </row>
    <row x14ac:dyDescent="0.25" r="218" customHeight="1" ht="15.75">
      <c r="A218" s="45" t="s">
        <v>1311</v>
      </c>
      <c r="B218" s="45" t="s">
        <v>158</v>
      </c>
      <c r="C218" s="45" t="s">
        <v>128</v>
      </c>
      <c r="D218" s="45" t="s">
        <v>28</v>
      </c>
      <c r="E218" s="45" t="s">
        <v>1100</v>
      </c>
      <c r="F218" s="45" t="s">
        <v>7</v>
      </c>
      <c r="G218" s="45" t="s">
        <v>14</v>
      </c>
      <c r="H218" s="53">
        <v>28</v>
      </c>
      <c r="I218" s="54">
        <f>IF(H218:H1217&lt;45, "Adult", IF(H218:H1217&lt;60, "Middle Age", IF(H218:H1217&lt;70, "Old", "Very Old")))</f>
      </c>
      <c r="J218" s="55">
        <v>44078</v>
      </c>
      <c r="K218" s="56">
        <v>95045</v>
      </c>
      <c r="L218" s="54">
        <f>IF(K218:K1217&lt;50000,"0-50",IF(K218:K1217&lt;100001,"51-100",IF(K218:K1217&lt;150001,"101-150",IF(K218:K1217&lt;200001,"151-200",IF(K218:K1217&lt;250001,"201-250","above 250")))))</f>
      </c>
      <c r="M218" s="57">
        <v>0</v>
      </c>
      <c r="N218" s="45" t="s">
        <v>15</v>
      </c>
      <c r="O218" s="45" t="s">
        <v>51</v>
      </c>
      <c r="P218" s="51"/>
      <c r="Q218" s="52">
        <f>IF(ISBLANK(P218:P1217), "", DATEDIF(J218:J1217, P218:P1217, "Y"))</f>
      </c>
    </row>
    <row x14ac:dyDescent="0.25" r="219" customHeight="1" ht="15.75">
      <c r="A219" s="45" t="s">
        <v>1312</v>
      </c>
      <c r="B219" s="45" t="s">
        <v>186</v>
      </c>
      <c r="C219" s="45" t="s">
        <v>142</v>
      </c>
      <c r="D219" s="45" t="s">
        <v>34</v>
      </c>
      <c r="E219" s="45" t="s">
        <v>1096</v>
      </c>
      <c r="F219" s="45" t="s">
        <v>7</v>
      </c>
      <c r="G219" s="45" t="s">
        <v>14</v>
      </c>
      <c r="H219" s="53">
        <v>29</v>
      </c>
      <c r="I219" s="54">
        <f>IF(H219:H1218&lt;45, "Adult", IF(H219:H1218&lt;60, "Middle Age", IF(H219:H1218&lt;70, "Old", "Very Old")))</f>
      </c>
      <c r="J219" s="55">
        <v>42740</v>
      </c>
      <c r="K219" s="56">
        <v>190401</v>
      </c>
      <c r="L219" s="54">
        <f>IF(K219:K1218&lt;50000,"0-50",IF(K219:K1218&lt;100001,"51-100",IF(K219:K1218&lt;150001,"101-150",IF(K219:K1218&lt;200001,"151-200",IF(K219:K1218&lt;250001,"201-250","above 250")))))</f>
      </c>
      <c r="M219" s="57">
        <v>0.37</v>
      </c>
      <c r="N219" s="45" t="s">
        <v>15</v>
      </c>
      <c r="O219" s="45" t="s">
        <v>55</v>
      </c>
      <c r="P219" s="51"/>
      <c r="Q219" s="52">
        <f>IF(ISBLANK(P219:P1218), "", DATEDIF(J219:J1218, P219:P1218, "Y"))</f>
      </c>
    </row>
    <row x14ac:dyDescent="0.25" r="220" customHeight="1" ht="15.75">
      <c r="A220" s="45" t="s">
        <v>1313</v>
      </c>
      <c r="B220" s="45" t="s">
        <v>635</v>
      </c>
      <c r="C220" s="45" t="s">
        <v>128</v>
      </c>
      <c r="D220" s="45" t="s">
        <v>28</v>
      </c>
      <c r="E220" s="45" t="s">
        <v>1100</v>
      </c>
      <c r="F220" s="45" t="s">
        <v>10</v>
      </c>
      <c r="G220" s="45" t="s">
        <v>17</v>
      </c>
      <c r="H220" s="53">
        <v>46</v>
      </c>
      <c r="I220" s="54">
        <f>IF(H220:H1219&lt;45, "Adult", IF(H220:H1219&lt;60, "Middle Age", IF(H220:H1219&lt;70, "Old", "Very Old")))</f>
      </c>
      <c r="J220" s="55">
        <v>41294</v>
      </c>
      <c r="K220" s="56">
        <v>86061</v>
      </c>
      <c r="L220" s="54">
        <f>IF(K220:K1219&lt;50000,"0-50",IF(K220:K1219&lt;100001,"51-100",IF(K220:K1219&lt;150001,"101-150",IF(K220:K1219&lt;200001,"151-200",IF(K220:K1219&lt;250001,"201-250","above 250")))))</f>
      </c>
      <c r="M220" s="57">
        <v>0</v>
      </c>
      <c r="N220" s="45" t="s">
        <v>9</v>
      </c>
      <c r="O220" s="45" t="s">
        <v>63</v>
      </c>
      <c r="P220" s="51"/>
      <c r="Q220" s="52">
        <f>IF(ISBLANK(P220:P1219), "", DATEDIF(J220:J1219, P220:P1219, "Y"))</f>
      </c>
    </row>
    <row x14ac:dyDescent="0.25" r="221" customHeight="1" ht="15.75">
      <c r="A221" s="45" t="s">
        <v>1314</v>
      </c>
      <c r="B221" s="45" t="s">
        <v>568</v>
      </c>
      <c r="C221" s="45" t="s">
        <v>126</v>
      </c>
      <c r="D221" s="45" t="s">
        <v>36</v>
      </c>
      <c r="E221" s="45" t="s">
        <v>1096</v>
      </c>
      <c r="F221" s="45" t="s">
        <v>10</v>
      </c>
      <c r="G221" s="45" t="s">
        <v>17</v>
      </c>
      <c r="H221" s="53">
        <v>45</v>
      </c>
      <c r="I221" s="54">
        <f>IF(H221:H1220&lt;45, "Adult", IF(H221:H1220&lt;60, "Middle Age", IF(H221:H1220&lt;70, "Old", "Very Old")))</f>
      </c>
      <c r="J221" s="55">
        <v>44237</v>
      </c>
      <c r="K221" s="56">
        <v>79882</v>
      </c>
      <c r="L221" s="54">
        <f>IF(K221:K1220&lt;50000,"0-50",IF(K221:K1220&lt;100001,"51-100",IF(K221:K1220&lt;150001,"101-150",IF(K221:K1220&lt;200001,"151-200",IF(K221:K1220&lt;250001,"201-250","above 250")))))</f>
      </c>
      <c r="M221" s="57">
        <v>0</v>
      </c>
      <c r="N221" s="45" t="s">
        <v>15</v>
      </c>
      <c r="O221" s="45" t="s">
        <v>61</v>
      </c>
      <c r="P221" s="51"/>
      <c r="Q221" s="52">
        <f>IF(ISBLANK(P221:P1220), "", DATEDIF(J221:J1220, P221:P1220, "Y"))</f>
      </c>
    </row>
    <row x14ac:dyDescent="0.25" r="222" customHeight="1" ht="15.75">
      <c r="A222" s="45" t="s">
        <v>1315</v>
      </c>
      <c r="B222" s="45" t="s">
        <v>217</v>
      </c>
      <c r="C222" s="45" t="s">
        <v>142</v>
      </c>
      <c r="D222" s="45" t="s">
        <v>26</v>
      </c>
      <c r="E222" s="45" t="s">
        <v>1094</v>
      </c>
      <c r="F222" s="45" t="s">
        <v>7</v>
      </c>
      <c r="G222" s="45" t="s">
        <v>14</v>
      </c>
      <c r="H222" s="53">
        <v>30</v>
      </c>
      <c r="I222" s="54">
        <f>IF(H222:H1221&lt;45, "Adult", IF(H222:H1221&lt;60, "Middle Age", IF(H222:H1221&lt;70, "Old", "Very Old")))</f>
      </c>
      <c r="J222" s="55">
        <v>43165</v>
      </c>
      <c r="K222" s="56">
        <v>255431</v>
      </c>
      <c r="L222" s="54">
        <f>IF(K222:K1221&lt;50000,"0-50",IF(K222:K1221&lt;100001,"51-100",IF(K222:K1221&lt;150001,"101-150",IF(K222:K1221&lt;200001,"151-200",IF(K222:K1221&lt;250001,"201-250","above 250")))))</f>
      </c>
      <c r="M222" s="57">
        <v>0.36</v>
      </c>
      <c r="N222" s="45" t="s">
        <v>15</v>
      </c>
      <c r="O222" s="45" t="s">
        <v>55</v>
      </c>
      <c r="P222" s="51"/>
      <c r="Q222" s="52">
        <f>IF(ISBLANK(P222:P1221), "", DATEDIF(J222:J1221, P222:P1221, "Y"))</f>
      </c>
    </row>
    <row x14ac:dyDescent="0.25" r="223" customHeight="1" ht="15.75">
      <c r="A223" s="45" t="s">
        <v>1316</v>
      </c>
      <c r="B223" s="45" t="s">
        <v>684</v>
      </c>
      <c r="C223" s="45" t="s">
        <v>122</v>
      </c>
      <c r="D223" s="45" t="s">
        <v>32</v>
      </c>
      <c r="E223" s="45" t="s">
        <v>1094</v>
      </c>
      <c r="F223" s="45" t="s">
        <v>7</v>
      </c>
      <c r="G223" s="45" t="s">
        <v>8</v>
      </c>
      <c r="H223" s="53">
        <v>48</v>
      </c>
      <c r="I223" s="54">
        <f>IF(H223:H1222&lt;45, "Adult", IF(H223:H1222&lt;60, "Middle Age", IF(H223:H1222&lt;70, "Old", "Very Old")))</f>
      </c>
      <c r="J223" s="55">
        <v>37855</v>
      </c>
      <c r="K223" s="56">
        <v>82017</v>
      </c>
      <c r="L223" s="54">
        <f>IF(K223:K1222&lt;50000,"0-50",IF(K223:K1222&lt;100001,"51-100",IF(K223:K1222&lt;150001,"101-150",IF(K223:K1222&lt;200001,"151-200",IF(K223:K1222&lt;250001,"201-250","above 250")))))</f>
      </c>
      <c r="M223" s="57">
        <v>0</v>
      </c>
      <c r="N223" s="45" t="s">
        <v>12</v>
      </c>
      <c r="O223" s="45" t="s">
        <v>47</v>
      </c>
      <c r="P223" s="51"/>
      <c r="Q223" s="52">
        <f>IF(ISBLANK(P223:P1222), "", DATEDIF(J223:J1222, P223:P1222, "Y"))</f>
      </c>
    </row>
    <row x14ac:dyDescent="0.25" r="224" customHeight="1" ht="15.75">
      <c r="A224" s="45" t="s">
        <v>1317</v>
      </c>
      <c r="B224" s="45" t="s">
        <v>763</v>
      </c>
      <c r="C224" s="45" t="s">
        <v>80</v>
      </c>
      <c r="D224" s="45" t="s">
        <v>28</v>
      </c>
      <c r="E224" s="45" t="s">
        <v>1094</v>
      </c>
      <c r="F224" s="45" t="s">
        <v>7</v>
      </c>
      <c r="G224" s="45" t="s">
        <v>14</v>
      </c>
      <c r="H224" s="53">
        <v>51</v>
      </c>
      <c r="I224" s="54">
        <f>IF(H224:H1223&lt;45, "Adult", IF(H224:H1223&lt;60, "Middle Age", IF(H224:H1223&lt;70, "Old", "Very Old")))</f>
      </c>
      <c r="J224" s="55">
        <v>42753</v>
      </c>
      <c r="K224" s="56">
        <v>53799</v>
      </c>
      <c r="L224" s="54">
        <f>IF(K224:K1223&lt;50000,"0-50",IF(K224:K1223&lt;100001,"51-100",IF(K224:K1223&lt;150001,"101-150",IF(K224:K1223&lt;200001,"151-200",IF(K224:K1223&lt;250001,"201-250","above 250")))))</f>
      </c>
      <c r="M224" s="57">
        <v>0</v>
      </c>
      <c r="N224" s="45" t="s">
        <v>15</v>
      </c>
      <c r="O224" s="45" t="s">
        <v>55</v>
      </c>
      <c r="P224" s="51"/>
      <c r="Q224" s="52">
        <f>IF(ISBLANK(P224:P1223), "", DATEDIF(J224:J1223, P224:P1223, "Y"))</f>
      </c>
    </row>
    <row x14ac:dyDescent="0.25" r="225" customHeight="1" ht="15.75">
      <c r="A225" s="45" t="s">
        <v>1318</v>
      </c>
      <c r="B225" s="45" t="s">
        <v>161</v>
      </c>
      <c r="C225" s="45" t="s">
        <v>128</v>
      </c>
      <c r="D225" s="45" t="s">
        <v>36</v>
      </c>
      <c r="E225" s="45" t="s">
        <v>1100</v>
      </c>
      <c r="F225" s="45" t="s">
        <v>7</v>
      </c>
      <c r="G225" s="45" t="s">
        <v>14</v>
      </c>
      <c r="H225" s="53">
        <v>28</v>
      </c>
      <c r="I225" s="54">
        <f>IF(H225:H1224&lt;45, "Adult", IF(H225:H1224&lt;60, "Middle Age", IF(H225:H1224&lt;70, "Old", "Very Old")))</f>
      </c>
      <c r="J225" s="55">
        <v>44380</v>
      </c>
      <c r="K225" s="56">
        <v>82739</v>
      </c>
      <c r="L225" s="54">
        <f>IF(K225:K1224&lt;50000,"0-50",IF(K225:K1224&lt;100001,"51-100",IF(K225:K1224&lt;150001,"101-150",IF(K225:K1224&lt;200001,"151-200",IF(K225:K1224&lt;250001,"201-250","above 250")))))</f>
      </c>
      <c r="M225" s="57">
        <v>0</v>
      </c>
      <c r="N225" s="45" t="s">
        <v>15</v>
      </c>
      <c r="O225" s="45" t="s">
        <v>61</v>
      </c>
      <c r="P225" s="51"/>
      <c r="Q225" s="52">
        <f>IF(ISBLANK(P225:P1224), "", DATEDIF(J225:J1224, P225:P1224, "Y"))</f>
      </c>
    </row>
    <row x14ac:dyDescent="0.25" r="226" customHeight="1" ht="15.75">
      <c r="A226" s="45" t="s">
        <v>1319</v>
      </c>
      <c r="B226" s="45" t="s">
        <v>358</v>
      </c>
      <c r="C226" s="45" t="s">
        <v>88</v>
      </c>
      <c r="D226" s="45" t="s">
        <v>32</v>
      </c>
      <c r="E226" s="45" t="s">
        <v>1094</v>
      </c>
      <c r="F226" s="45" t="s">
        <v>7</v>
      </c>
      <c r="G226" s="45" t="s">
        <v>14</v>
      </c>
      <c r="H226" s="53">
        <v>36</v>
      </c>
      <c r="I226" s="54">
        <f>IF(H226:H1225&lt;45, "Adult", IF(H226:H1225&lt;60, "Middle Age", IF(H226:H1225&lt;70, "Old", "Very Old")))</f>
      </c>
      <c r="J226" s="55">
        <v>41789</v>
      </c>
      <c r="K226" s="56">
        <v>99080</v>
      </c>
      <c r="L226" s="54">
        <f>IF(K226:K1225&lt;50000,"0-50",IF(K226:K1225&lt;100001,"51-100",IF(K226:K1225&lt;150001,"101-150",IF(K226:K1225&lt;200001,"151-200",IF(K226:K1225&lt;250001,"201-250","above 250")))))</f>
      </c>
      <c r="M226" s="57">
        <v>0</v>
      </c>
      <c r="N226" s="45" t="s">
        <v>15</v>
      </c>
      <c r="O226" s="45" t="s">
        <v>51</v>
      </c>
      <c r="P226" s="51"/>
      <c r="Q226" s="52">
        <f>IF(ISBLANK(P226:P1225), "", DATEDIF(J226:J1225, P226:P1225, "Y"))</f>
      </c>
    </row>
    <row x14ac:dyDescent="0.25" r="227" customHeight="1" ht="15.75">
      <c r="A227" s="45" t="s">
        <v>1320</v>
      </c>
      <c r="B227" s="45" t="s">
        <v>455</v>
      </c>
      <c r="C227" s="45" t="s">
        <v>126</v>
      </c>
      <c r="D227" s="45" t="s">
        <v>36</v>
      </c>
      <c r="E227" s="45" t="s">
        <v>1100</v>
      </c>
      <c r="F227" s="45" t="s">
        <v>7</v>
      </c>
      <c r="G227" s="45" t="s">
        <v>8</v>
      </c>
      <c r="H227" s="53">
        <v>40</v>
      </c>
      <c r="I227" s="54">
        <f>IF(H227:H1226&lt;45, "Adult", IF(H227:H1226&lt;60, "Middle Age", IF(H227:H1226&lt;70, "Old", "Very Old")))</f>
      </c>
      <c r="J227" s="55">
        <v>40563</v>
      </c>
      <c r="K227" s="56">
        <v>96719</v>
      </c>
      <c r="L227" s="54">
        <f>IF(K227:K1226&lt;50000,"0-50",IF(K227:K1226&lt;100001,"51-100",IF(K227:K1226&lt;150001,"101-150",IF(K227:K1226&lt;200001,"151-200",IF(K227:K1226&lt;250001,"201-250","above 250")))))</f>
      </c>
      <c r="M227" s="57">
        <v>0</v>
      </c>
      <c r="N227" s="45" t="s">
        <v>12</v>
      </c>
      <c r="O227" s="45" t="s">
        <v>49</v>
      </c>
      <c r="P227" s="51"/>
      <c r="Q227" s="52">
        <f>IF(ISBLANK(P227:P1226), "", DATEDIF(J227:J1226, P227:P1226, "Y"))</f>
      </c>
    </row>
    <row x14ac:dyDescent="0.25" r="228" customHeight="1" ht="15.75">
      <c r="A228" s="45" t="s">
        <v>1321</v>
      </c>
      <c r="B228" s="45" t="s">
        <v>755</v>
      </c>
      <c r="C228" s="45" t="s">
        <v>96</v>
      </c>
      <c r="D228" s="45" t="s">
        <v>30</v>
      </c>
      <c r="E228" s="45" t="s">
        <v>1092</v>
      </c>
      <c r="F228" s="45" t="s">
        <v>7</v>
      </c>
      <c r="G228" s="45" t="s">
        <v>14</v>
      </c>
      <c r="H228" s="53">
        <v>51</v>
      </c>
      <c r="I228" s="54">
        <f>IF(H228:H1227&lt;45, "Adult", IF(H228:H1227&lt;60, "Middle Age", IF(H228:H1227&lt;70, "Old", "Very Old")))</f>
      </c>
      <c r="J228" s="55">
        <v>44283</v>
      </c>
      <c r="K228" s="56">
        <v>180687</v>
      </c>
      <c r="L228" s="54">
        <f>IF(K228:K1227&lt;50000,"0-50",IF(K228:K1227&lt;100001,"51-100",IF(K228:K1227&lt;150001,"101-150",IF(K228:K1227&lt;200001,"151-200",IF(K228:K1227&lt;250001,"201-250","above 250")))))</f>
      </c>
      <c r="M228" s="57">
        <v>0.19</v>
      </c>
      <c r="N228" s="45" t="s">
        <v>15</v>
      </c>
      <c r="O228" s="45" t="s">
        <v>61</v>
      </c>
      <c r="P228" s="51"/>
      <c r="Q228" s="52">
        <f>IF(ISBLANK(P228:P1227), "", DATEDIF(J228:J1227, P228:P1227, "Y"))</f>
      </c>
    </row>
    <row x14ac:dyDescent="0.25" r="229" customHeight="1" ht="15.75">
      <c r="A229" s="45" t="s">
        <v>1322</v>
      </c>
      <c r="B229" s="45" t="s">
        <v>570</v>
      </c>
      <c r="C229" s="45" t="s">
        <v>98</v>
      </c>
      <c r="D229" s="45" t="s">
        <v>26</v>
      </c>
      <c r="E229" s="45" t="s">
        <v>1100</v>
      </c>
      <c r="F229" s="45" t="s">
        <v>10</v>
      </c>
      <c r="G229" s="45" t="s">
        <v>8</v>
      </c>
      <c r="H229" s="53">
        <v>45</v>
      </c>
      <c r="I229" s="54">
        <f>IF(H229:H1228&lt;45, "Adult", IF(H229:H1228&lt;60, "Middle Age", IF(H229:H1228&lt;70, "Old", "Very Old")))</f>
      </c>
      <c r="J229" s="55">
        <v>36993</v>
      </c>
      <c r="K229" s="56">
        <v>95743</v>
      </c>
      <c r="L229" s="54">
        <f>IF(K229:K1228&lt;50000,"0-50",IF(K229:K1228&lt;100001,"51-100",IF(K229:K1228&lt;150001,"101-150",IF(K229:K1228&lt;200001,"151-200",IF(K229:K1228&lt;250001,"201-250","above 250")))))</f>
      </c>
      <c r="M229" s="57">
        <v>0.15</v>
      </c>
      <c r="N229" s="45" t="s">
        <v>15</v>
      </c>
      <c r="O229" s="45" t="s">
        <v>42</v>
      </c>
      <c r="P229" s="58">
        <v>40193</v>
      </c>
      <c r="Q229" s="53">
        <f>IF(ISBLANK(P229:P1228), "", DATEDIF(J229:J1228, P229:P1228, "Y"))</f>
      </c>
    </row>
    <row x14ac:dyDescent="0.25" r="230" customHeight="1" ht="15.75">
      <c r="A230" s="45" t="s">
        <v>1323</v>
      </c>
      <c r="B230" s="45" t="s">
        <v>545</v>
      </c>
      <c r="C230" s="45" t="s">
        <v>94</v>
      </c>
      <c r="D230" s="45" t="s">
        <v>26</v>
      </c>
      <c r="E230" s="45" t="s">
        <v>1092</v>
      </c>
      <c r="F230" s="45" t="s">
        <v>7</v>
      </c>
      <c r="G230" s="45" t="s">
        <v>14</v>
      </c>
      <c r="H230" s="53">
        <v>44</v>
      </c>
      <c r="I230" s="54">
        <f>IF(H230:H1229&lt;45, "Adult", IF(H230:H1229&lt;60, "Middle Age", IF(H230:H1229&lt;70, "Old", "Very Old")))</f>
      </c>
      <c r="J230" s="55">
        <v>40060</v>
      </c>
      <c r="K230" s="56">
        <v>89695</v>
      </c>
      <c r="L230" s="54">
        <f>IF(K230:K1229&lt;50000,"0-50",IF(K230:K1229&lt;100001,"51-100",IF(K230:K1229&lt;150001,"101-150",IF(K230:K1229&lt;200001,"151-200",IF(K230:K1229&lt;250001,"201-250","above 250")))))</f>
      </c>
      <c r="M230" s="57">
        <v>0</v>
      </c>
      <c r="N230" s="45" t="s">
        <v>15</v>
      </c>
      <c r="O230" s="45" t="s">
        <v>42</v>
      </c>
      <c r="P230" s="51"/>
      <c r="Q230" s="52">
        <f>IF(ISBLANK(P230:P1229), "", DATEDIF(J230:J1229, P230:P1229, "Y"))</f>
      </c>
    </row>
    <row x14ac:dyDescent="0.25" r="231" customHeight="1" ht="15.75">
      <c r="A231" s="45" t="s">
        <v>1324</v>
      </c>
      <c r="B231" s="45" t="s">
        <v>1052</v>
      </c>
      <c r="C231" s="45" t="s">
        <v>110</v>
      </c>
      <c r="D231" s="45" t="s">
        <v>28</v>
      </c>
      <c r="E231" s="45" t="s">
        <v>1094</v>
      </c>
      <c r="F231" s="45" t="s">
        <v>10</v>
      </c>
      <c r="G231" s="45" t="s">
        <v>8</v>
      </c>
      <c r="H231" s="53">
        <v>64</v>
      </c>
      <c r="I231" s="54">
        <f>IF(H231:H1230&lt;45, "Adult", IF(H231:H1230&lt;60, "Middle Age", IF(H231:H1230&lt;70, "Old", "Very Old")))</f>
      </c>
      <c r="J231" s="55">
        <v>35996</v>
      </c>
      <c r="K231" s="56">
        <v>122753</v>
      </c>
      <c r="L231" s="54">
        <f>IF(K231:K1230&lt;50000,"0-50",IF(K231:K1230&lt;100001,"51-100",IF(K231:K1230&lt;150001,"101-150",IF(K231:K1230&lt;200001,"151-200",IF(K231:K1230&lt;250001,"201-250","above 250")))))</f>
      </c>
      <c r="M231" s="57">
        <v>0.09</v>
      </c>
      <c r="N231" s="45" t="s">
        <v>12</v>
      </c>
      <c r="O231" s="45" t="s">
        <v>53</v>
      </c>
      <c r="P231" s="51"/>
      <c r="Q231" s="52">
        <f>IF(ISBLANK(P231:P1230), "", DATEDIF(J231:J1230, P231:P1230, "Y"))</f>
      </c>
    </row>
    <row x14ac:dyDescent="0.25" r="232" customHeight="1" ht="15.75">
      <c r="A232" s="45" t="s">
        <v>1325</v>
      </c>
      <c r="B232" s="45" t="s">
        <v>225</v>
      </c>
      <c r="C232" s="45" t="s">
        <v>130</v>
      </c>
      <c r="D232" s="45" t="s">
        <v>30</v>
      </c>
      <c r="E232" s="45" t="s">
        <v>1092</v>
      </c>
      <c r="F232" s="45" t="s">
        <v>10</v>
      </c>
      <c r="G232" s="45" t="s">
        <v>14</v>
      </c>
      <c r="H232" s="53">
        <v>30</v>
      </c>
      <c r="I232" s="54">
        <f>IF(H232:H1231&lt;45, "Adult", IF(H232:H1231&lt;60, "Middle Age", IF(H232:H1231&lt;70, "Old", "Very Old")))</f>
      </c>
      <c r="J232" s="55">
        <v>42078</v>
      </c>
      <c r="K232" s="56">
        <v>93734</v>
      </c>
      <c r="L232" s="54">
        <f>IF(K232:K1231&lt;50000,"0-50",IF(K232:K1231&lt;100001,"51-100",IF(K232:K1231&lt;150001,"101-150",IF(K232:K1231&lt;200001,"151-200",IF(K232:K1231&lt;250001,"201-250","above 250")))))</f>
      </c>
      <c r="M232" s="57">
        <v>0</v>
      </c>
      <c r="N232" s="45" t="s">
        <v>15</v>
      </c>
      <c r="O232" s="45" t="s">
        <v>61</v>
      </c>
      <c r="P232" s="51"/>
      <c r="Q232" s="52">
        <f>IF(ISBLANK(P232:P1231), "", DATEDIF(J232:J1231, P232:P1231, "Y"))</f>
      </c>
    </row>
    <row x14ac:dyDescent="0.25" r="233" customHeight="1" ht="15.75">
      <c r="A233" s="45" t="s">
        <v>1326</v>
      </c>
      <c r="B233" s="45" t="s">
        <v>163</v>
      </c>
      <c r="C233" s="45" t="s">
        <v>80</v>
      </c>
      <c r="D233" s="45" t="s">
        <v>24</v>
      </c>
      <c r="E233" s="45" t="s">
        <v>1100</v>
      </c>
      <c r="F233" s="45" t="s">
        <v>10</v>
      </c>
      <c r="G233" s="45" t="s">
        <v>8</v>
      </c>
      <c r="H233" s="53">
        <v>28</v>
      </c>
      <c r="I233" s="54">
        <f>IF(H233:H1232&lt;45, "Adult", IF(H233:H1232&lt;60, "Middle Age", IF(H233:H1232&lt;70, "Old", "Very Old")))</f>
      </c>
      <c r="J233" s="55">
        <v>42867</v>
      </c>
      <c r="K233" s="56">
        <v>52069</v>
      </c>
      <c r="L233" s="54">
        <f>IF(K233:K1232&lt;50000,"0-50",IF(K233:K1232&lt;100001,"51-100",IF(K233:K1232&lt;150001,"101-150",IF(K233:K1232&lt;200001,"151-200",IF(K233:K1232&lt;250001,"201-250","above 250")))))</f>
      </c>
      <c r="M233" s="57">
        <v>0</v>
      </c>
      <c r="N233" s="45" t="s">
        <v>12</v>
      </c>
      <c r="O233" s="45" t="s">
        <v>53</v>
      </c>
      <c r="P233" s="51"/>
      <c r="Q233" s="52">
        <f>IF(ISBLANK(P233:P1232), "", DATEDIF(J233:J1232, P233:P1232, "Y"))</f>
      </c>
    </row>
    <row x14ac:dyDescent="0.25" r="234" customHeight="1" ht="15.75">
      <c r="A234" s="45" t="s">
        <v>1327</v>
      </c>
      <c r="B234" s="45" t="s">
        <v>292</v>
      </c>
      <c r="C234" s="45" t="s">
        <v>142</v>
      </c>
      <c r="D234" s="45" t="s">
        <v>24</v>
      </c>
      <c r="E234" s="45" t="s">
        <v>1100</v>
      </c>
      <c r="F234" s="45" t="s">
        <v>7</v>
      </c>
      <c r="G234" s="45" t="s">
        <v>17</v>
      </c>
      <c r="H234" s="53">
        <v>33</v>
      </c>
      <c r="I234" s="54">
        <f>IF(H234:H1233&lt;45, "Adult", IF(H234:H1233&lt;60, "Middle Age", IF(H234:H1233&lt;70, "Old", "Very Old")))</f>
      </c>
      <c r="J234" s="55">
        <v>44181</v>
      </c>
      <c r="K234" s="56">
        <v>258426</v>
      </c>
      <c r="L234" s="54">
        <f>IF(K234:K1233&lt;50000,"0-50",IF(K234:K1233&lt;100001,"51-100",IF(K234:K1233&lt;150001,"101-150",IF(K234:K1233&lt;200001,"151-200",IF(K234:K1233&lt;250001,"201-250","above 250")))))</f>
      </c>
      <c r="M234" s="57">
        <v>0.4</v>
      </c>
      <c r="N234" s="45" t="s">
        <v>9</v>
      </c>
      <c r="O234" s="45" t="s">
        <v>63</v>
      </c>
      <c r="P234" s="51"/>
      <c r="Q234" s="52">
        <f>IF(ISBLANK(P234:P1233), "", DATEDIF(J234:J1233, P234:P1233, "Y"))</f>
      </c>
    </row>
    <row x14ac:dyDescent="0.25" r="235" customHeight="1" ht="15.75">
      <c r="A235" s="45" t="s">
        <v>1328</v>
      </c>
      <c r="B235" s="45" t="s">
        <v>758</v>
      </c>
      <c r="C235" s="45" t="s">
        <v>110</v>
      </c>
      <c r="D235" s="45" t="s">
        <v>28</v>
      </c>
      <c r="E235" s="45" t="s">
        <v>1096</v>
      </c>
      <c r="F235" s="45" t="s">
        <v>10</v>
      </c>
      <c r="G235" s="45" t="s">
        <v>11</v>
      </c>
      <c r="H235" s="53">
        <v>51</v>
      </c>
      <c r="I235" s="54">
        <f>IF(H235:H1234&lt;45, "Adult", IF(H235:H1234&lt;60, "Middle Age", IF(H235:H1234&lt;70, "Old", "Very Old")))</f>
      </c>
      <c r="J235" s="55">
        <v>34746</v>
      </c>
      <c r="K235" s="56">
        <v>125375</v>
      </c>
      <c r="L235" s="54">
        <f>IF(K235:K1234&lt;50000,"0-50",IF(K235:K1234&lt;100001,"51-100",IF(K235:K1234&lt;150001,"101-150",IF(K235:K1234&lt;200001,"151-200",IF(K235:K1234&lt;250001,"201-250","above 250")))))</f>
      </c>
      <c r="M235" s="57">
        <v>0.09</v>
      </c>
      <c r="N235" s="45" t="s">
        <v>15</v>
      </c>
      <c r="O235" s="45" t="s">
        <v>51</v>
      </c>
      <c r="P235" s="51"/>
      <c r="Q235" s="52">
        <f>IF(ISBLANK(P235:P1234), "", DATEDIF(J235:J1234, P235:P1234, "Y"))</f>
      </c>
    </row>
    <row x14ac:dyDescent="0.25" r="236" customHeight="1" ht="15.75">
      <c r="A236" s="45" t="s">
        <v>1329</v>
      </c>
      <c r="B236" s="45" t="s">
        <v>54</v>
      </c>
      <c r="C236" s="45" t="s">
        <v>142</v>
      </c>
      <c r="D236" s="45" t="s">
        <v>24</v>
      </c>
      <c r="E236" s="45" t="s">
        <v>1094</v>
      </c>
      <c r="F236" s="45" t="s">
        <v>10</v>
      </c>
      <c r="G236" s="45" t="s">
        <v>8</v>
      </c>
      <c r="H236" s="53">
        <v>25</v>
      </c>
      <c r="I236" s="54">
        <f>IF(H236:H1235&lt;45, "Adult", IF(H236:H1235&lt;60, "Middle Age", IF(H236:H1235&lt;70, "Old", "Very Old")))</f>
      </c>
      <c r="J236" s="55">
        <v>44235</v>
      </c>
      <c r="K236" s="56">
        <v>198243</v>
      </c>
      <c r="L236" s="54">
        <f>IF(K236:K1235&lt;50000,"0-50",IF(K236:K1235&lt;100001,"51-100",IF(K236:K1235&lt;150001,"101-150",IF(K236:K1235&lt;200001,"151-200",IF(K236:K1235&lt;250001,"201-250","above 250")))))</f>
      </c>
      <c r="M236" s="57">
        <v>0.31</v>
      </c>
      <c r="N236" s="45" t="s">
        <v>15</v>
      </c>
      <c r="O236" s="45" t="s">
        <v>59</v>
      </c>
      <c r="P236" s="51"/>
      <c r="Q236" s="52">
        <f>IF(ISBLANK(P236:P1235), "", DATEDIF(J236:J1235, P236:P1235, "Y"))</f>
      </c>
    </row>
    <row x14ac:dyDescent="0.25" r="237" customHeight="1" ht="15.75">
      <c r="A237" s="45" t="s">
        <v>1330</v>
      </c>
      <c r="B237" s="45" t="s">
        <v>497</v>
      </c>
      <c r="C237" s="45" t="s">
        <v>140</v>
      </c>
      <c r="D237" s="45" t="s">
        <v>26</v>
      </c>
      <c r="E237" s="45" t="s">
        <v>1092</v>
      </c>
      <c r="F237" s="45" t="s">
        <v>7</v>
      </c>
      <c r="G237" s="45" t="s">
        <v>17</v>
      </c>
      <c r="H237" s="53">
        <v>42</v>
      </c>
      <c r="I237" s="54">
        <f>IF(H237:H1236&lt;45, "Adult", IF(H237:H1236&lt;60, "Middle Age", IF(H237:H1236&lt;70, "Old", "Very Old")))</f>
      </c>
      <c r="J237" s="55">
        <v>43062</v>
      </c>
      <c r="K237" s="56">
        <v>96023</v>
      </c>
      <c r="L237" s="54">
        <f>IF(K237:K1236&lt;50000,"0-50",IF(K237:K1236&lt;100001,"51-100",IF(K237:K1236&lt;150001,"101-150",IF(K237:K1236&lt;200001,"151-200",IF(K237:K1236&lt;250001,"201-250","above 250")))))</f>
      </c>
      <c r="M237" s="57">
        <v>0</v>
      </c>
      <c r="N237" s="45" t="s">
        <v>15</v>
      </c>
      <c r="O237" s="45" t="s">
        <v>59</v>
      </c>
      <c r="P237" s="51"/>
      <c r="Q237" s="52">
        <f>IF(ISBLANK(P237:P1236), "", DATEDIF(J237:J1236, P237:P1236, "Y"))</f>
      </c>
    </row>
    <row x14ac:dyDescent="0.25" r="238" customHeight="1" ht="15.75">
      <c r="A238" s="45" t="s">
        <v>1331</v>
      </c>
      <c r="B238" s="45" t="s">
        <v>312</v>
      </c>
      <c r="C238" s="45" t="s">
        <v>128</v>
      </c>
      <c r="D238" s="45" t="s">
        <v>34</v>
      </c>
      <c r="E238" s="45" t="s">
        <v>1092</v>
      </c>
      <c r="F238" s="45" t="s">
        <v>7</v>
      </c>
      <c r="G238" s="45" t="s">
        <v>14</v>
      </c>
      <c r="H238" s="53">
        <v>34</v>
      </c>
      <c r="I238" s="54">
        <f>IF(H238:H1237&lt;45, "Adult", IF(H238:H1237&lt;60, "Middle Age", IF(H238:H1237&lt;70, "Old", "Very Old")))</f>
      </c>
      <c r="J238" s="55">
        <v>41085</v>
      </c>
      <c r="K238" s="56">
        <v>83066</v>
      </c>
      <c r="L238" s="54">
        <f>IF(K238:K1237&lt;50000,"0-50",IF(K238:K1237&lt;100001,"51-100",IF(K238:K1237&lt;150001,"101-150",IF(K238:K1237&lt;200001,"151-200",IF(K238:K1237&lt;250001,"201-250","above 250")))))</f>
      </c>
      <c r="M238" s="57">
        <v>0</v>
      </c>
      <c r="N238" s="45" t="s">
        <v>15</v>
      </c>
      <c r="O238" s="45" t="s">
        <v>51</v>
      </c>
      <c r="P238" s="58">
        <v>41430</v>
      </c>
      <c r="Q238" s="53">
        <f>IF(ISBLANK(P238:P1237), "", DATEDIF(J238:J1237, P238:P1237, "Y"))</f>
      </c>
    </row>
    <row x14ac:dyDescent="0.25" r="239" customHeight="1" ht="15.75">
      <c r="A239" s="45" t="s">
        <v>1332</v>
      </c>
      <c r="B239" s="45" t="s">
        <v>683</v>
      </c>
      <c r="C239" s="45" t="s">
        <v>82</v>
      </c>
      <c r="D239" s="45" t="s">
        <v>36</v>
      </c>
      <c r="E239" s="45" t="s">
        <v>1092</v>
      </c>
      <c r="F239" s="45" t="s">
        <v>7</v>
      </c>
      <c r="G239" s="45" t="s">
        <v>17</v>
      </c>
      <c r="H239" s="53">
        <v>48</v>
      </c>
      <c r="I239" s="54">
        <f>IF(H239:H1238&lt;45, "Adult", IF(H239:H1238&lt;60, "Middle Age", IF(H239:H1238&lt;70, "Old", "Very Old")))</f>
      </c>
      <c r="J239" s="55">
        <v>41773</v>
      </c>
      <c r="K239" s="56">
        <v>61216</v>
      </c>
      <c r="L239" s="54">
        <f>IF(K239:K1238&lt;50000,"0-50",IF(K239:K1238&lt;100001,"51-100",IF(K239:K1238&lt;150001,"101-150",IF(K239:K1238&lt;200001,"151-200",IF(K239:K1238&lt;250001,"201-250","above 250")))))</f>
      </c>
      <c r="M239" s="57">
        <v>0</v>
      </c>
      <c r="N239" s="45" t="s">
        <v>15</v>
      </c>
      <c r="O239" s="45" t="s">
        <v>67</v>
      </c>
      <c r="P239" s="51"/>
      <c r="Q239" s="52">
        <f>IF(ISBLANK(P239:P1238), "", DATEDIF(J239:J1238, P239:P1238, "Y"))</f>
      </c>
    </row>
    <row x14ac:dyDescent="0.25" r="240" customHeight="1" ht="15.75">
      <c r="A240" s="45" t="s">
        <v>1333</v>
      </c>
      <c r="B240" s="45" t="s">
        <v>291</v>
      </c>
      <c r="C240" s="45" t="s">
        <v>132</v>
      </c>
      <c r="D240" s="45" t="s">
        <v>24</v>
      </c>
      <c r="E240" s="45" t="s">
        <v>1100</v>
      </c>
      <c r="F240" s="45" t="s">
        <v>10</v>
      </c>
      <c r="G240" s="45" t="s">
        <v>14</v>
      </c>
      <c r="H240" s="53">
        <v>33</v>
      </c>
      <c r="I240" s="54">
        <f>IF(H240:H1239&lt;45, "Adult", IF(H240:H1239&lt;60, "Middle Age", IF(H240:H1239&lt;70, "Old", "Very Old")))</f>
      </c>
      <c r="J240" s="55">
        <v>41315</v>
      </c>
      <c r="K240" s="56">
        <v>144231</v>
      </c>
      <c r="L240" s="54">
        <f>IF(K240:K1239&lt;50000,"0-50",IF(K240:K1239&lt;100001,"51-100",IF(K240:K1239&lt;150001,"101-150",IF(K240:K1239&lt;200001,"151-200",IF(K240:K1239&lt;250001,"201-250","above 250")))))</f>
      </c>
      <c r="M240" s="57">
        <v>0.14</v>
      </c>
      <c r="N240" s="45" t="s">
        <v>15</v>
      </c>
      <c r="O240" s="45" t="s">
        <v>55</v>
      </c>
      <c r="P240" s="58">
        <v>44029</v>
      </c>
      <c r="Q240" s="53">
        <f>IF(ISBLANK(P240:P1239), "", DATEDIF(J240:J1239, P240:P1239, "Y"))</f>
      </c>
    </row>
    <row x14ac:dyDescent="0.25" r="241" customHeight="1" ht="15.75">
      <c r="A241" s="45" t="s">
        <v>1334</v>
      </c>
      <c r="B241" s="45" t="s">
        <v>471</v>
      </c>
      <c r="C241" s="45" t="s">
        <v>104</v>
      </c>
      <c r="D241" s="45" t="s">
        <v>30</v>
      </c>
      <c r="E241" s="45" t="s">
        <v>1092</v>
      </c>
      <c r="F241" s="45" t="s">
        <v>10</v>
      </c>
      <c r="G241" s="45" t="s">
        <v>8</v>
      </c>
      <c r="H241" s="53">
        <v>41</v>
      </c>
      <c r="I241" s="54">
        <f>IF(H241:H1240&lt;45, "Adult", IF(H241:H1240&lt;60, "Middle Age", IF(H241:H1240&lt;70, "Old", "Very Old")))</f>
      </c>
      <c r="J241" s="55">
        <v>39379</v>
      </c>
      <c r="K241" s="56">
        <v>51630</v>
      </c>
      <c r="L241" s="54">
        <f>IF(K241:K1240&lt;50000,"0-50",IF(K241:K1240&lt;100001,"51-100",IF(K241:K1240&lt;150001,"101-150",IF(K241:K1240&lt;200001,"151-200",IF(K241:K1240&lt;250001,"201-250","above 250")))))</f>
      </c>
      <c r="M241" s="57">
        <v>0</v>
      </c>
      <c r="N241" s="45" t="s">
        <v>12</v>
      </c>
      <c r="O241" s="45" t="s">
        <v>47</v>
      </c>
      <c r="P241" s="51"/>
      <c r="Q241" s="52">
        <f>IF(ISBLANK(P241:P1240), "", DATEDIF(J241:J1240, P241:P1240, "Y"))</f>
      </c>
    </row>
    <row x14ac:dyDescent="0.25" r="242" customHeight="1" ht="15.75">
      <c r="A242" s="45" t="s">
        <v>1335</v>
      </c>
      <c r="B242" s="45" t="s">
        <v>864</v>
      </c>
      <c r="C242" s="45" t="s">
        <v>132</v>
      </c>
      <c r="D242" s="45" t="s">
        <v>36</v>
      </c>
      <c r="E242" s="45" t="s">
        <v>1100</v>
      </c>
      <c r="F242" s="45" t="s">
        <v>10</v>
      </c>
      <c r="G242" s="45" t="s">
        <v>17</v>
      </c>
      <c r="H242" s="53">
        <v>55</v>
      </c>
      <c r="I242" s="54">
        <f>IF(H242:H1241&lt;45, "Adult", IF(H242:H1241&lt;60, "Middle Age", IF(H242:H1241&lt;70, "Old", "Very Old")))</f>
      </c>
      <c r="J242" s="55">
        <v>41594</v>
      </c>
      <c r="K242" s="56">
        <v>124129</v>
      </c>
      <c r="L242" s="54">
        <f>IF(K242:K1241&lt;50000,"0-50",IF(K242:K1241&lt;100001,"51-100",IF(K242:K1241&lt;150001,"101-150",IF(K242:K1241&lt;200001,"151-200",IF(K242:K1241&lt;250001,"201-250","above 250")))))</f>
      </c>
      <c r="M242" s="57">
        <v>0.15</v>
      </c>
      <c r="N242" s="45" t="s">
        <v>9</v>
      </c>
      <c r="O242" s="45" t="s">
        <v>65</v>
      </c>
      <c r="P242" s="51"/>
      <c r="Q242" s="52">
        <f>IF(ISBLANK(P242:P1241), "", DATEDIF(J242:J1241, P242:P1241, "Y"))</f>
      </c>
    </row>
    <row x14ac:dyDescent="0.25" r="243" customHeight="1" ht="15.75">
      <c r="A243" s="45" t="s">
        <v>1336</v>
      </c>
      <c r="B243" s="45" t="s">
        <v>353</v>
      </c>
      <c r="C243" s="45" t="s">
        <v>140</v>
      </c>
      <c r="D243" s="45" t="s">
        <v>26</v>
      </c>
      <c r="E243" s="45" t="s">
        <v>1094</v>
      </c>
      <c r="F243" s="45" t="s">
        <v>10</v>
      </c>
      <c r="G243" s="45" t="s">
        <v>17</v>
      </c>
      <c r="H243" s="53">
        <v>36</v>
      </c>
      <c r="I243" s="54">
        <f>IF(H243:H1242&lt;45, "Adult", IF(H243:H1242&lt;60, "Middle Age", IF(H243:H1242&lt;70, "Old", "Very Old")))</f>
      </c>
      <c r="J243" s="55">
        <v>39912</v>
      </c>
      <c r="K243" s="56">
        <v>60055</v>
      </c>
      <c r="L243" s="54">
        <f>IF(K243:K1242&lt;50000,"0-50",IF(K243:K1242&lt;100001,"51-100",IF(K243:K1242&lt;150001,"101-150",IF(K243:K1242&lt;200001,"151-200",IF(K243:K1242&lt;250001,"201-250","above 250")))))</f>
      </c>
      <c r="M243" s="57">
        <v>0</v>
      </c>
      <c r="N243" s="45" t="s">
        <v>15</v>
      </c>
      <c r="O243" s="45" t="s">
        <v>67</v>
      </c>
      <c r="P243" s="51"/>
      <c r="Q243" s="52">
        <f>IF(ISBLANK(P243:P1242), "", DATEDIF(J243:J1242, P243:P1242, "Y"))</f>
      </c>
    </row>
    <row x14ac:dyDescent="0.25" r="244" customHeight="1" ht="15.75">
      <c r="A244" s="45" t="s">
        <v>1337</v>
      </c>
      <c r="B244" s="45" t="s">
        <v>248</v>
      </c>
      <c r="C244" s="45" t="s">
        <v>96</v>
      </c>
      <c r="D244" s="45" t="s">
        <v>26</v>
      </c>
      <c r="E244" s="45" t="s">
        <v>1092</v>
      </c>
      <c r="F244" s="45" t="s">
        <v>10</v>
      </c>
      <c r="G244" s="45" t="s">
        <v>17</v>
      </c>
      <c r="H244" s="53">
        <v>31</v>
      </c>
      <c r="I244" s="54">
        <f>IF(H244:H1243&lt;45, "Adult", IF(H244:H1243&lt;60, "Middle Age", IF(H244:H1243&lt;70, "Old", "Very Old")))</f>
      </c>
      <c r="J244" s="55">
        <v>44069</v>
      </c>
      <c r="K244" s="56">
        <v>189290</v>
      </c>
      <c r="L244" s="54">
        <f>IF(K244:K1243&lt;50000,"0-50",IF(K244:K1243&lt;100001,"51-100",IF(K244:K1243&lt;150001,"101-150",IF(K244:K1243&lt;200001,"151-200",IF(K244:K1243&lt;250001,"201-250","above 250")))))</f>
      </c>
      <c r="M244" s="57">
        <v>0.22</v>
      </c>
      <c r="N244" s="45" t="s">
        <v>9</v>
      </c>
      <c r="O244" s="45" t="s">
        <v>65</v>
      </c>
      <c r="P244" s="58">
        <v>44099</v>
      </c>
      <c r="Q244" s="53">
        <f>IF(ISBLANK(P244:P1243), "", DATEDIF(J244:J1243, P244:P1243, "Y"))</f>
      </c>
    </row>
    <row x14ac:dyDescent="0.25" r="245" customHeight="1" ht="15.75">
      <c r="A245" s="45" t="s">
        <v>1338</v>
      </c>
      <c r="B245" s="45" t="s">
        <v>809</v>
      </c>
      <c r="C245" s="45" t="s">
        <v>142</v>
      </c>
      <c r="D245" s="45" t="s">
        <v>32</v>
      </c>
      <c r="E245" s="45" t="s">
        <v>1100</v>
      </c>
      <c r="F245" s="45" t="s">
        <v>7</v>
      </c>
      <c r="G245" s="45" t="s">
        <v>8</v>
      </c>
      <c r="H245" s="53">
        <v>53</v>
      </c>
      <c r="I245" s="54">
        <f>IF(H245:H1244&lt;45, "Adult", IF(H245:H1244&lt;60, "Middle Age", IF(H245:H1244&lt;70, "Old", "Very Old")))</f>
      </c>
      <c r="J245" s="55">
        <v>39568</v>
      </c>
      <c r="K245" s="56">
        <v>182202</v>
      </c>
      <c r="L245" s="54">
        <f>IF(K245:K1244&lt;50000,"0-50",IF(K245:K1244&lt;100001,"51-100",IF(K245:K1244&lt;150001,"101-150",IF(K245:K1244&lt;200001,"151-200",IF(K245:K1244&lt;250001,"201-250","above 250")))))</f>
      </c>
      <c r="M245" s="57">
        <v>0.3</v>
      </c>
      <c r="N245" s="45" t="s">
        <v>15</v>
      </c>
      <c r="O245" s="45" t="s">
        <v>42</v>
      </c>
      <c r="P245" s="51"/>
      <c r="Q245" s="52">
        <f>IF(ISBLANK(P245:P1244), "", DATEDIF(J245:J1244, P245:P1244, "Y"))</f>
      </c>
    </row>
    <row x14ac:dyDescent="0.25" r="246" customHeight="1" ht="15.75">
      <c r="A246" s="45" t="s">
        <v>1339</v>
      </c>
      <c r="B246" s="45" t="s">
        <v>523</v>
      </c>
      <c r="C246" s="45" t="s">
        <v>110</v>
      </c>
      <c r="D246" s="45" t="s">
        <v>36</v>
      </c>
      <c r="E246" s="45" t="s">
        <v>1096</v>
      </c>
      <c r="F246" s="45" t="s">
        <v>10</v>
      </c>
      <c r="G246" s="45" t="s">
        <v>14</v>
      </c>
      <c r="H246" s="53">
        <v>43</v>
      </c>
      <c r="I246" s="54">
        <f>IF(H246:H1245&lt;45, "Adult", IF(H246:H1245&lt;60, "Middle Age", IF(H246:H1245&lt;70, "Old", "Very Old")))</f>
      </c>
      <c r="J246" s="55">
        <v>38748</v>
      </c>
      <c r="K246" s="56">
        <v>117518</v>
      </c>
      <c r="L246" s="54">
        <f>IF(K246:K1245&lt;50000,"0-50",IF(K246:K1245&lt;100001,"51-100",IF(K246:K1245&lt;150001,"101-150",IF(K246:K1245&lt;200001,"151-200",IF(K246:K1245&lt;250001,"201-250","above 250")))))</f>
      </c>
      <c r="M246" s="57">
        <v>0.07</v>
      </c>
      <c r="N246" s="45" t="s">
        <v>15</v>
      </c>
      <c r="O246" s="45" t="s">
        <v>67</v>
      </c>
      <c r="P246" s="51"/>
      <c r="Q246" s="52">
        <f>IF(ISBLANK(P246:P1245), "", DATEDIF(J246:J1245, P246:P1245, "Y"))</f>
      </c>
    </row>
    <row x14ac:dyDescent="0.25" r="247" customHeight="1" ht="15.75">
      <c r="A247" s="45" t="s">
        <v>1340</v>
      </c>
      <c r="B247" s="45" t="s">
        <v>385</v>
      </c>
      <c r="C247" s="45" t="s">
        <v>132</v>
      </c>
      <c r="D247" s="45" t="s">
        <v>28</v>
      </c>
      <c r="E247" s="45" t="s">
        <v>1094</v>
      </c>
      <c r="F247" s="45" t="s">
        <v>7</v>
      </c>
      <c r="G247" s="45" t="s">
        <v>17</v>
      </c>
      <c r="H247" s="53">
        <v>37</v>
      </c>
      <c r="I247" s="54">
        <f>IF(H247:H1246&lt;45, "Adult", IF(H247:H1246&lt;60, "Middle Age", IF(H247:H1246&lt;70, "Old", "Very Old")))</f>
      </c>
      <c r="J247" s="55">
        <v>41329</v>
      </c>
      <c r="K247" s="56">
        <v>157474</v>
      </c>
      <c r="L247" s="54">
        <f>IF(K247:K1246&lt;50000,"0-50",IF(K247:K1246&lt;100001,"51-100",IF(K247:K1246&lt;150001,"101-150",IF(K247:K1246&lt;200001,"151-200",IF(K247:K1246&lt;250001,"201-250","above 250")))))</f>
      </c>
      <c r="M247" s="57">
        <v>0.11</v>
      </c>
      <c r="N247" s="45" t="s">
        <v>9</v>
      </c>
      <c r="O247" s="45" t="s">
        <v>63</v>
      </c>
      <c r="P247" s="51"/>
      <c r="Q247" s="52">
        <f>IF(ISBLANK(P247:P1246), "", DATEDIF(J247:J1246, P247:P1246, "Y"))</f>
      </c>
    </row>
    <row x14ac:dyDescent="0.25" r="248" customHeight="1" ht="15.75">
      <c r="A248" s="45" t="s">
        <v>1341</v>
      </c>
      <c r="B248" s="45" t="s">
        <v>410</v>
      </c>
      <c r="C248" s="45" t="s">
        <v>110</v>
      </c>
      <c r="D248" s="45" t="s">
        <v>34</v>
      </c>
      <c r="E248" s="45" t="s">
        <v>1094</v>
      </c>
      <c r="F248" s="45" t="s">
        <v>10</v>
      </c>
      <c r="G248" s="45" t="s">
        <v>14</v>
      </c>
      <c r="H248" s="53">
        <v>38</v>
      </c>
      <c r="I248" s="54">
        <f>IF(H248:H1247&lt;45, "Adult", IF(H248:H1247&lt;60, "Middle Age", IF(H248:H1247&lt;70, "Old", "Very Old")))</f>
      </c>
      <c r="J248" s="55">
        <v>39544</v>
      </c>
      <c r="K248" s="56">
        <v>126856</v>
      </c>
      <c r="L248" s="54">
        <f>IF(K248:K1247&lt;50000,"0-50",IF(K248:K1247&lt;100001,"51-100",IF(K248:K1247&lt;150001,"101-150",IF(K248:K1247&lt;200001,"151-200",IF(K248:K1247&lt;250001,"201-250","above 250")))))</f>
      </c>
      <c r="M248" s="57">
        <v>0.06</v>
      </c>
      <c r="N248" s="45" t="s">
        <v>15</v>
      </c>
      <c r="O248" s="45" t="s">
        <v>55</v>
      </c>
      <c r="P248" s="51"/>
      <c r="Q248" s="52">
        <f>IF(ISBLANK(P248:P1247), "", DATEDIF(J248:J1247, P248:P1247, "Y"))</f>
      </c>
    </row>
    <row x14ac:dyDescent="0.25" r="249" customHeight="1" ht="15.75">
      <c r="A249" s="45" t="s">
        <v>1342</v>
      </c>
      <c r="B249" s="45" t="s">
        <v>715</v>
      </c>
      <c r="C249" s="45" t="s">
        <v>132</v>
      </c>
      <c r="D249" s="45" t="s">
        <v>24</v>
      </c>
      <c r="E249" s="45" t="s">
        <v>1094</v>
      </c>
      <c r="F249" s="45" t="s">
        <v>7</v>
      </c>
      <c r="G249" s="45" t="s">
        <v>8</v>
      </c>
      <c r="H249" s="53">
        <v>49</v>
      </c>
      <c r="I249" s="54">
        <f>IF(H249:H1248&lt;45, "Adult", IF(H249:H1248&lt;60, "Middle Age", IF(H249:H1248&lt;70, "Old", "Very Old")))</f>
      </c>
      <c r="J249" s="55">
        <v>36983</v>
      </c>
      <c r="K249" s="56">
        <v>129124</v>
      </c>
      <c r="L249" s="54">
        <f>IF(K249:K1248&lt;50000,"0-50",IF(K249:K1248&lt;100001,"51-100",IF(K249:K1248&lt;150001,"101-150",IF(K249:K1248&lt;200001,"151-200",IF(K249:K1248&lt;250001,"201-250","above 250")))))</f>
      </c>
      <c r="M249" s="57">
        <v>0.12</v>
      </c>
      <c r="N249" s="45" t="s">
        <v>12</v>
      </c>
      <c r="O249" s="45" t="s">
        <v>69</v>
      </c>
      <c r="P249" s="51"/>
      <c r="Q249" s="52">
        <f>IF(ISBLANK(P249:P1248), "", DATEDIF(J249:J1248, P249:P1248, "Y"))</f>
      </c>
    </row>
    <row x14ac:dyDescent="0.25" r="250" customHeight="1" ht="15.75">
      <c r="A250" s="45" t="s">
        <v>1343</v>
      </c>
      <c r="B250" s="45" t="s">
        <v>559</v>
      </c>
      <c r="C250" s="45" t="s">
        <v>96</v>
      </c>
      <c r="D250" s="45" t="s">
        <v>36</v>
      </c>
      <c r="E250" s="45" t="s">
        <v>1092</v>
      </c>
      <c r="F250" s="45" t="s">
        <v>7</v>
      </c>
      <c r="G250" s="45" t="s">
        <v>8</v>
      </c>
      <c r="H250" s="53">
        <v>45</v>
      </c>
      <c r="I250" s="54">
        <f>IF(H250:H1249&lt;45, "Adult", IF(H250:H1249&lt;60, "Middle Age", IF(H250:H1249&lt;70, "Old", "Very Old")))</f>
      </c>
      <c r="J250" s="55">
        <v>37316</v>
      </c>
      <c r="K250" s="56">
        <v>165181</v>
      </c>
      <c r="L250" s="54">
        <f>IF(K250:K1249&lt;50000,"0-50",IF(K250:K1249&lt;100001,"51-100",IF(K250:K1249&lt;150001,"101-150",IF(K250:K1249&lt;200001,"151-200",IF(K250:K1249&lt;250001,"201-250","above 250")))))</f>
      </c>
      <c r="M250" s="57">
        <v>0.16</v>
      </c>
      <c r="N250" s="45" t="s">
        <v>15</v>
      </c>
      <c r="O250" s="45" t="s">
        <v>67</v>
      </c>
      <c r="P250" s="51"/>
      <c r="Q250" s="52">
        <f>IF(ISBLANK(P250:P1249), "", DATEDIF(J250:J1249, P250:P1249, "Y"))</f>
      </c>
    </row>
    <row x14ac:dyDescent="0.25" r="251" customHeight="1" ht="15.75">
      <c r="A251" s="45" t="s">
        <v>1344</v>
      </c>
      <c r="B251" s="45" t="s">
        <v>735</v>
      </c>
      <c r="C251" s="45" t="s">
        <v>142</v>
      </c>
      <c r="D251" s="45" t="s">
        <v>28</v>
      </c>
      <c r="E251" s="45" t="s">
        <v>1100</v>
      </c>
      <c r="F251" s="45" t="s">
        <v>10</v>
      </c>
      <c r="G251" s="45" t="s">
        <v>17</v>
      </c>
      <c r="H251" s="53">
        <v>50</v>
      </c>
      <c r="I251" s="54">
        <f>IF(H251:H1250&lt;45, "Adult", IF(H251:H1250&lt;60, "Middle Age", IF(H251:H1250&lt;70, "Old", "Very Old")))</f>
      </c>
      <c r="J251" s="55">
        <v>38004</v>
      </c>
      <c r="K251" s="56">
        <v>247939</v>
      </c>
      <c r="L251" s="54">
        <f>IF(K251:K1250&lt;50000,"0-50",IF(K251:K1250&lt;100001,"51-100",IF(K251:K1250&lt;150001,"101-150",IF(K251:K1250&lt;200001,"151-200",IF(K251:K1250&lt;250001,"201-250","above 250")))))</f>
      </c>
      <c r="M251" s="57">
        <v>0.35</v>
      </c>
      <c r="N251" s="45" t="s">
        <v>9</v>
      </c>
      <c r="O251" s="45" t="s">
        <v>63</v>
      </c>
      <c r="P251" s="51"/>
      <c r="Q251" s="52">
        <f>IF(ISBLANK(P251:P1250), "", DATEDIF(J251:J1250, P251:P1250, "Y"))</f>
      </c>
    </row>
    <row x14ac:dyDescent="0.25" r="252" customHeight="1" ht="15.75">
      <c r="A252" s="45" t="s">
        <v>1345</v>
      </c>
      <c r="B252" s="45" t="s">
        <v>1050</v>
      </c>
      <c r="C252" s="45" t="s">
        <v>96</v>
      </c>
      <c r="D252" s="45" t="s">
        <v>26</v>
      </c>
      <c r="E252" s="45" t="s">
        <v>1096</v>
      </c>
      <c r="F252" s="45" t="s">
        <v>10</v>
      </c>
      <c r="G252" s="45" t="s">
        <v>17</v>
      </c>
      <c r="H252" s="53">
        <v>64</v>
      </c>
      <c r="I252" s="54">
        <f>IF(H252:H1251&lt;45, "Adult", IF(H252:H1251&lt;60, "Middle Age", IF(H252:H1251&lt;70, "Old", "Very Old")))</f>
      </c>
      <c r="J252" s="55">
        <v>42972</v>
      </c>
      <c r="K252" s="56">
        <v>169509</v>
      </c>
      <c r="L252" s="54">
        <f>IF(K252:K1251&lt;50000,"0-50",IF(K252:K1251&lt;100001,"51-100",IF(K252:K1251&lt;150001,"101-150",IF(K252:K1251&lt;200001,"151-200",IF(K252:K1251&lt;250001,"201-250","above 250")))))</f>
      </c>
      <c r="M252" s="57">
        <v>0.18</v>
      </c>
      <c r="N252" s="45" t="s">
        <v>9</v>
      </c>
      <c r="O252" s="45" t="s">
        <v>57</v>
      </c>
      <c r="P252" s="51"/>
      <c r="Q252" s="52">
        <f>IF(ISBLANK(P252:P1251), "", DATEDIF(J252:J1251, P252:P1251, "Y"))</f>
      </c>
    </row>
    <row x14ac:dyDescent="0.25" r="253" customHeight="1" ht="15.75">
      <c r="A253" s="45" t="s">
        <v>1346</v>
      </c>
      <c r="B253" s="45" t="s">
        <v>855</v>
      </c>
      <c r="C253" s="45" t="s">
        <v>132</v>
      </c>
      <c r="D253" s="45" t="s">
        <v>24</v>
      </c>
      <c r="E253" s="45" t="s">
        <v>1094</v>
      </c>
      <c r="F253" s="45" t="s">
        <v>7</v>
      </c>
      <c r="G253" s="45" t="s">
        <v>14</v>
      </c>
      <c r="H253" s="53">
        <v>55</v>
      </c>
      <c r="I253" s="54">
        <f>IF(H253:H1252&lt;45, "Adult", IF(H253:H1252&lt;60, "Middle Age", IF(H253:H1252&lt;70, "Old", "Very Old")))</f>
      </c>
      <c r="J253" s="55">
        <v>40552</v>
      </c>
      <c r="K253" s="56">
        <v>138521</v>
      </c>
      <c r="L253" s="54">
        <f>IF(K253:K1252&lt;50000,"0-50",IF(K253:K1252&lt;100001,"51-100",IF(K253:K1252&lt;150001,"101-150",IF(K253:K1252&lt;200001,"151-200",IF(K253:K1252&lt;250001,"201-250","above 250")))))</f>
      </c>
      <c r="M253" s="57">
        <v>0.1</v>
      </c>
      <c r="N253" s="45" t="s">
        <v>15</v>
      </c>
      <c r="O253" s="45" t="s">
        <v>59</v>
      </c>
      <c r="P253" s="51"/>
      <c r="Q253" s="52">
        <f>IF(ISBLANK(P253:P1252), "", DATEDIF(J253:J1252, P253:P1252, "Y"))</f>
      </c>
    </row>
    <row x14ac:dyDescent="0.25" r="254" customHeight="1" ht="15.75">
      <c r="A254" s="45" t="s">
        <v>1347</v>
      </c>
      <c r="B254" s="45" t="s">
        <v>563</v>
      </c>
      <c r="C254" s="45" t="s">
        <v>98</v>
      </c>
      <c r="D254" s="45" t="s">
        <v>26</v>
      </c>
      <c r="E254" s="45" t="s">
        <v>1096</v>
      </c>
      <c r="F254" s="45" t="s">
        <v>7</v>
      </c>
      <c r="G254" s="45" t="s">
        <v>17</v>
      </c>
      <c r="H254" s="53">
        <v>45</v>
      </c>
      <c r="I254" s="54">
        <f>IF(H254:H1253&lt;45, "Adult", IF(H254:H1253&lt;60, "Middle Age", IF(H254:H1253&lt;70, "Old", "Very Old")))</f>
      </c>
      <c r="J254" s="55">
        <v>41712</v>
      </c>
      <c r="K254" s="56">
        <v>113873</v>
      </c>
      <c r="L254" s="54">
        <f>IF(K254:K1253&lt;50000,"0-50",IF(K254:K1253&lt;100001,"51-100",IF(K254:K1253&lt;150001,"101-150",IF(K254:K1253&lt;200001,"151-200",IF(K254:K1253&lt;250001,"201-250","above 250")))))</f>
      </c>
      <c r="M254" s="57">
        <v>0.11</v>
      </c>
      <c r="N254" s="45" t="s">
        <v>9</v>
      </c>
      <c r="O254" s="45" t="s">
        <v>63</v>
      </c>
      <c r="P254" s="51"/>
      <c r="Q254" s="52">
        <f>IF(ISBLANK(P254:P1253), "", DATEDIF(J254:J1253, P254:P1253, "Y"))</f>
      </c>
    </row>
    <row x14ac:dyDescent="0.25" r="255" customHeight="1" ht="15.75">
      <c r="A255" s="45" t="s">
        <v>1348</v>
      </c>
      <c r="B255" s="45" t="s">
        <v>427</v>
      </c>
      <c r="C255" s="45" t="s">
        <v>100</v>
      </c>
      <c r="D255" s="45" t="s">
        <v>32</v>
      </c>
      <c r="E255" s="45" t="s">
        <v>1100</v>
      </c>
      <c r="F255" s="45" t="s">
        <v>7</v>
      </c>
      <c r="G255" s="45" t="s">
        <v>11</v>
      </c>
      <c r="H255" s="53">
        <v>39</v>
      </c>
      <c r="I255" s="54">
        <f>IF(H255:H1254&lt;45, "Adult", IF(H255:H1254&lt;60, "Middle Age", IF(H255:H1254&lt;70, "Old", "Very Old")))</f>
      </c>
      <c r="J255" s="55">
        <v>43229</v>
      </c>
      <c r="K255" s="56">
        <v>73317</v>
      </c>
      <c r="L255" s="54">
        <f>IF(K255:K1254&lt;50000,"0-50",IF(K255:K1254&lt;100001,"51-100",IF(K255:K1254&lt;150001,"101-150",IF(K255:K1254&lt;200001,"151-200",IF(K255:K1254&lt;250001,"201-250","above 250")))))</f>
      </c>
      <c r="M255" s="57">
        <v>0</v>
      </c>
      <c r="N255" s="45" t="s">
        <v>15</v>
      </c>
      <c r="O255" s="45" t="s">
        <v>59</v>
      </c>
      <c r="P255" s="51"/>
      <c r="Q255" s="52">
        <f>IF(ISBLANK(P255:P1254), "", DATEDIF(J255:J1254, P255:P1254, "Y"))</f>
      </c>
    </row>
    <row x14ac:dyDescent="0.25" r="256" customHeight="1" ht="15.75">
      <c r="A256" s="45" t="s">
        <v>1349</v>
      </c>
      <c r="B256" s="45" t="s">
        <v>457</v>
      </c>
      <c r="C256" s="45" t="s">
        <v>122</v>
      </c>
      <c r="D256" s="45" t="s">
        <v>32</v>
      </c>
      <c r="E256" s="45" t="s">
        <v>1096</v>
      </c>
      <c r="F256" s="45" t="s">
        <v>7</v>
      </c>
      <c r="G256" s="45" t="s">
        <v>8</v>
      </c>
      <c r="H256" s="53">
        <v>40</v>
      </c>
      <c r="I256" s="54">
        <f>IF(H256:H1255&lt;45, "Adult", IF(H256:H1255&lt;60, "Middle Age", IF(H256:H1255&lt;70, "Old", "Very Old")))</f>
      </c>
      <c r="J256" s="55">
        <v>41451</v>
      </c>
      <c r="K256" s="56">
        <v>69096</v>
      </c>
      <c r="L256" s="54">
        <f>IF(K256:K1255&lt;50000,"0-50",IF(K256:K1255&lt;100001,"51-100",IF(K256:K1255&lt;150001,"101-150",IF(K256:K1255&lt;200001,"151-200",IF(K256:K1255&lt;250001,"201-250","above 250")))))</f>
      </c>
      <c r="M256" s="57">
        <v>0</v>
      </c>
      <c r="N256" s="45" t="s">
        <v>15</v>
      </c>
      <c r="O256" s="45" t="s">
        <v>67</v>
      </c>
      <c r="P256" s="51"/>
      <c r="Q256" s="52">
        <f>IF(ISBLANK(P256:P1255), "", DATEDIF(J256:J1255, P256:P1255, "Y"))</f>
      </c>
    </row>
    <row x14ac:dyDescent="0.25" r="257" customHeight="1" ht="15.75">
      <c r="A257" s="45" t="s">
        <v>1350</v>
      </c>
      <c r="B257" s="45" t="s">
        <v>687</v>
      </c>
      <c r="C257" s="45" t="s">
        <v>130</v>
      </c>
      <c r="D257" s="45" t="s">
        <v>30</v>
      </c>
      <c r="E257" s="45" t="s">
        <v>1094</v>
      </c>
      <c r="F257" s="45" t="s">
        <v>10</v>
      </c>
      <c r="G257" s="45" t="s">
        <v>17</v>
      </c>
      <c r="H257" s="53">
        <v>48</v>
      </c>
      <c r="I257" s="54">
        <f>IF(H257:H1256&lt;45, "Adult", IF(H257:H1256&lt;60, "Middle Age", IF(H257:H1256&lt;70, "Old", "Very Old")))</f>
      </c>
      <c r="J257" s="55">
        <v>38454</v>
      </c>
      <c r="K257" s="56">
        <v>87158</v>
      </c>
      <c r="L257" s="54">
        <f>IF(K257:K1256&lt;50000,"0-50",IF(K257:K1256&lt;100001,"51-100",IF(K257:K1256&lt;150001,"101-150",IF(K257:K1256&lt;200001,"151-200",IF(K257:K1256&lt;250001,"201-250","above 250")))))</f>
      </c>
      <c r="M257" s="57">
        <v>0</v>
      </c>
      <c r="N257" s="45" t="s">
        <v>9</v>
      </c>
      <c r="O257" s="45" t="s">
        <v>57</v>
      </c>
      <c r="P257" s="51"/>
      <c r="Q257" s="52">
        <f>IF(ISBLANK(P257:P1256), "", DATEDIF(J257:J1256, P257:P1256, "Y"))</f>
      </c>
    </row>
    <row x14ac:dyDescent="0.25" r="258" customHeight="1" ht="15.75">
      <c r="A258" s="45" t="s">
        <v>1351</v>
      </c>
      <c r="B258" s="45" t="s">
        <v>1047</v>
      </c>
      <c r="C258" s="45" t="s">
        <v>140</v>
      </c>
      <c r="D258" s="45" t="s">
        <v>26</v>
      </c>
      <c r="E258" s="45" t="s">
        <v>1100</v>
      </c>
      <c r="F258" s="45" t="s">
        <v>10</v>
      </c>
      <c r="G258" s="45" t="s">
        <v>17</v>
      </c>
      <c r="H258" s="53">
        <v>64</v>
      </c>
      <c r="I258" s="54">
        <f>IF(H258:H1257&lt;45, "Adult", IF(H258:H1257&lt;60, "Middle Age", IF(H258:H1257&lt;70, "Old", "Very Old")))</f>
      </c>
      <c r="J258" s="55">
        <v>33875</v>
      </c>
      <c r="K258" s="56">
        <v>70778</v>
      </c>
      <c r="L258" s="54">
        <f>IF(K258:K1257&lt;50000,"0-50",IF(K258:K1257&lt;100001,"51-100",IF(K258:K1257&lt;150001,"101-150",IF(K258:K1257&lt;200001,"151-200",IF(K258:K1257&lt;250001,"201-250","above 250")))))</f>
      </c>
      <c r="M258" s="57">
        <v>0</v>
      </c>
      <c r="N258" s="45" t="s">
        <v>15</v>
      </c>
      <c r="O258" s="45" t="s">
        <v>42</v>
      </c>
      <c r="P258" s="51"/>
      <c r="Q258" s="52">
        <f>IF(ISBLANK(P258:P1257), "", DATEDIF(J258:J1257, P258:P1257, "Y"))</f>
      </c>
    </row>
    <row x14ac:dyDescent="0.25" r="259" customHeight="1" ht="15.75">
      <c r="A259" s="45" t="s">
        <v>1352</v>
      </c>
      <c r="B259" s="45" t="s">
        <v>1069</v>
      </c>
      <c r="C259" s="45" t="s">
        <v>96</v>
      </c>
      <c r="D259" s="45" t="s">
        <v>30</v>
      </c>
      <c r="E259" s="45" t="s">
        <v>1096</v>
      </c>
      <c r="F259" s="45" t="s">
        <v>7</v>
      </c>
      <c r="G259" s="45" t="s">
        <v>17</v>
      </c>
      <c r="H259" s="53">
        <v>65</v>
      </c>
      <c r="I259" s="54">
        <f>IF(H259:H1258&lt;45, "Adult", IF(H259:H1258&lt;60, "Middle Age", IF(H259:H1258&lt;70, "Old", "Very Old")))</f>
      </c>
      <c r="J259" s="55">
        <v>38130</v>
      </c>
      <c r="K259" s="56">
        <v>153938</v>
      </c>
      <c r="L259" s="54">
        <f>IF(K259:K1258&lt;50000,"0-50",IF(K259:K1258&lt;100001,"51-100",IF(K259:K1258&lt;150001,"101-150",IF(K259:K1258&lt;200001,"151-200",IF(K259:K1258&lt;250001,"201-250","above 250")))))</f>
      </c>
      <c r="M259" s="57">
        <v>0.2</v>
      </c>
      <c r="N259" s="45" t="s">
        <v>15</v>
      </c>
      <c r="O259" s="45" t="s">
        <v>61</v>
      </c>
      <c r="P259" s="51"/>
      <c r="Q259" s="52">
        <f>IF(ISBLANK(P259:P1258), "", DATEDIF(J259:J1258, P259:P1258, "Y"))</f>
      </c>
    </row>
    <row x14ac:dyDescent="0.25" r="260" customHeight="1" ht="15.75">
      <c r="A260" s="45" t="s">
        <v>1353</v>
      </c>
      <c r="B260" s="45" t="s">
        <v>524</v>
      </c>
      <c r="C260" s="45" t="s">
        <v>136</v>
      </c>
      <c r="D260" s="45" t="s">
        <v>32</v>
      </c>
      <c r="E260" s="45" t="s">
        <v>1092</v>
      </c>
      <c r="F260" s="45" t="s">
        <v>10</v>
      </c>
      <c r="G260" s="45" t="s">
        <v>8</v>
      </c>
      <c r="H260" s="53">
        <v>43</v>
      </c>
      <c r="I260" s="54">
        <f>IF(H260:H1259&lt;45, "Adult", IF(H260:H1259&lt;60, "Middle Age", IF(H260:H1259&lt;70, "Old", "Very Old")))</f>
      </c>
      <c r="J260" s="55">
        <v>43224</v>
      </c>
      <c r="K260" s="56">
        <v>59888</v>
      </c>
      <c r="L260" s="54">
        <f>IF(K260:K1259&lt;50000,"0-50",IF(K260:K1259&lt;100001,"51-100",IF(K260:K1259&lt;150001,"101-150",IF(K260:K1259&lt;200001,"151-200",IF(K260:K1259&lt;250001,"201-250","above 250")))))</f>
      </c>
      <c r="M260" s="57">
        <v>0</v>
      </c>
      <c r="N260" s="45" t="s">
        <v>12</v>
      </c>
      <c r="O260" s="45" t="s">
        <v>47</v>
      </c>
      <c r="P260" s="51"/>
      <c r="Q260" s="52">
        <f>IF(ISBLANK(P260:P1259), "", DATEDIF(J260:J1259, P260:P1259, "Y"))</f>
      </c>
    </row>
    <row x14ac:dyDescent="0.25" r="261" customHeight="1" ht="15.75">
      <c r="A261" s="45" t="s">
        <v>1354</v>
      </c>
      <c r="B261" s="45" t="s">
        <v>742</v>
      </c>
      <c r="C261" s="45" t="s">
        <v>140</v>
      </c>
      <c r="D261" s="45" t="s">
        <v>26</v>
      </c>
      <c r="E261" s="45" t="s">
        <v>1100</v>
      </c>
      <c r="F261" s="45" t="s">
        <v>10</v>
      </c>
      <c r="G261" s="45" t="s">
        <v>14</v>
      </c>
      <c r="H261" s="53">
        <v>50</v>
      </c>
      <c r="I261" s="54">
        <f>IF(H261:H1260&lt;45, "Adult", IF(H261:H1260&lt;60, "Middle Age", IF(H261:H1260&lt;70, "Old", "Very Old")))</f>
      </c>
      <c r="J261" s="55">
        <v>43447</v>
      </c>
      <c r="K261" s="56">
        <v>63098</v>
      </c>
      <c r="L261" s="54">
        <f>IF(K261:K1260&lt;50000,"0-50",IF(K261:K1260&lt;100001,"51-100",IF(K261:K1260&lt;150001,"101-150",IF(K261:K1260&lt;200001,"151-200",IF(K261:K1260&lt;250001,"201-250","above 250")))))</f>
      </c>
      <c r="M261" s="57">
        <v>0</v>
      </c>
      <c r="N261" s="45" t="s">
        <v>15</v>
      </c>
      <c r="O261" s="45" t="s">
        <v>55</v>
      </c>
      <c r="P261" s="51"/>
      <c r="Q261" s="52">
        <f>IF(ISBLANK(P261:P1260), "", DATEDIF(J261:J1260, P261:P1260, "Y"))</f>
      </c>
    </row>
    <row x14ac:dyDescent="0.25" r="262" customHeight="1" ht="15.75">
      <c r="A262" s="45" t="s">
        <v>1355</v>
      </c>
      <c r="B262" s="45" t="s">
        <v>125</v>
      </c>
      <c r="C262" s="45" t="s">
        <v>142</v>
      </c>
      <c r="D262" s="45" t="s">
        <v>28</v>
      </c>
      <c r="E262" s="45" t="s">
        <v>1100</v>
      </c>
      <c r="F262" s="45" t="s">
        <v>7</v>
      </c>
      <c r="G262" s="45" t="s">
        <v>17</v>
      </c>
      <c r="H262" s="53">
        <v>27</v>
      </c>
      <c r="I262" s="54">
        <f>IF(H262:H1261&lt;45, "Adult", IF(H262:H1261&lt;60, "Middle Age", IF(H262:H1261&lt;70, "Old", "Very Old")))</f>
      </c>
      <c r="J262" s="55">
        <v>44545</v>
      </c>
      <c r="K262" s="56">
        <v>255369</v>
      </c>
      <c r="L262" s="54">
        <f>IF(K262:K1261&lt;50000,"0-50",IF(K262:K1261&lt;100001,"51-100",IF(K262:K1261&lt;150001,"101-150",IF(K262:K1261&lt;200001,"151-200",IF(K262:K1261&lt;250001,"201-250","above 250")))))</f>
      </c>
      <c r="M262" s="57">
        <v>0.33</v>
      </c>
      <c r="N262" s="45" t="s">
        <v>9</v>
      </c>
      <c r="O262" s="45" t="s">
        <v>65</v>
      </c>
      <c r="P262" s="51"/>
      <c r="Q262" s="52">
        <f>IF(ISBLANK(P262:P1261), "", DATEDIF(J262:J1261, P262:P1261, "Y"))</f>
      </c>
    </row>
    <row x14ac:dyDescent="0.25" r="263" customHeight="1" ht="15.75">
      <c r="A263" s="45" t="s">
        <v>1356</v>
      </c>
      <c r="B263" s="45" t="s">
        <v>862</v>
      </c>
      <c r="C263" s="45" t="s">
        <v>132</v>
      </c>
      <c r="D263" s="45" t="s">
        <v>30</v>
      </c>
      <c r="E263" s="45" t="s">
        <v>1094</v>
      </c>
      <c r="F263" s="45" t="s">
        <v>7</v>
      </c>
      <c r="G263" s="45" t="s">
        <v>11</v>
      </c>
      <c r="H263" s="53">
        <v>55</v>
      </c>
      <c r="I263" s="54">
        <f>IF(H263:H1262&lt;45, "Adult", IF(H263:H1262&lt;60, "Middle Age", IF(H263:H1262&lt;70, "Old", "Very Old")))</f>
      </c>
      <c r="J263" s="55">
        <v>38301</v>
      </c>
      <c r="K263" s="56">
        <v>142318</v>
      </c>
      <c r="L263" s="54">
        <f>IF(K263:K1262&lt;50000,"0-50",IF(K263:K1262&lt;100001,"51-100",IF(K263:K1262&lt;150001,"101-150",IF(K263:K1262&lt;200001,"151-200",IF(K263:K1262&lt;250001,"201-250","above 250")))))</f>
      </c>
      <c r="M263" s="57">
        <v>0.14</v>
      </c>
      <c r="N263" s="45" t="s">
        <v>15</v>
      </c>
      <c r="O263" s="45" t="s">
        <v>51</v>
      </c>
      <c r="P263" s="51"/>
      <c r="Q263" s="52">
        <f>IF(ISBLANK(P263:P1262), "", DATEDIF(J263:J1262, P263:P1262, "Y"))</f>
      </c>
    </row>
    <row x14ac:dyDescent="0.25" r="264" customHeight="1" ht="15.75">
      <c r="A264" s="45" t="s">
        <v>1357</v>
      </c>
      <c r="B264" s="45" t="s">
        <v>475</v>
      </c>
      <c r="C264" s="45" t="s">
        <v>86</v>
      </c>
      <c r="D264" s="45" t="s">
        <v>30</v>
      </c>
      <c r="E264" s="45" t="s">
        <v>1094</v>
      </c>
      <c r="F264" s="45" t="s">
        <v>10</v>
      </c>
      <c r="G264" s="45" t="s">
        <v>11</v>
      </c>
      <c r="H264" s="53">
        <v>41</v>
      </c>
      <c r="I264" s="54">
        <f>IF(H264:H1263&lt;45, "Adult", IF(H264:H1263&lt;60, "Middle Age", IF(H264:H1263&lt;70, "Old", "Very Old")))</f>
      </c>
      <c r="J264" s="55">
        <v>38219</v>
      </c>
      <c r="K264" s="56">
        <v>49186</v>
      </c>
      <c r="L264" s="54">
        <f>IF(K264:K1263&lt;50000,"0-50",IF(K264:K1263&lt;100001,"51-100",IF(K264:K1263&lt;150001,"101-150",IF(K264:K1263&lt;200001,"151-200",IF(K264:K1263&lt;250001,"201-250","above 250")))))</f>
      </c>
      <c r="M264" s="57">
        <v>0</v>
      </c>
      <c r="N264" s="45" t="s">
        <v>15</v>
      </c>
      <c r="O264" s="45" t="s">
        <v>42</v>
      </c>
      <c r="P264" s="58">
        <v>39616</v>
      </c>
      <c r="Q264" s="53">
        <f>IF(ISBLANK(P264:P1263), "", DATEDIF(J264:J1263, P264:P1263, "Y"))</f>
      </c>
    </row>
    <row x14ac:dyDescent="0.25" r="265" customHeight="1" ht="15.75">
      <c r="A265" s="45" t="s">
        <v>1358</v>
      </c>
      <c r="B265" s="45" t="s">
        <v>315</v>
      </c>
      <c r="C265" s="45" t="s">
        <v>142</v>
      </c>
      <c r="D265" s="45" t="s">
        <v>30</v>
      </c>
      <c r="E265" s="45" t="s">
        <v>1092</v>
      </c>
      <c r="F265" s="45" t="s">
        <v>7</v>
      </c>
      <c r="G265" s="45" t="s">
        <v>11</v>
      </c>
      <c r="H265" s="53">
        <v>34</v>
      </c>
      <c r="I265" s="54">
        <f>IF(H265:H1264&lt;45, "Adult", IF(H265:H1264&lt;60, "Middle Age", IF(H265:H1264&lt;70, "Old", "Very Old")))</f>
      </c>
      <c r="J265" s="55">
        <v>43673</v>
      </c>
      <c r="K265" s="56">
        <v>220937</v>
      </c>
      <c r="L265" s="54">
        <f>IF(K265:K1264&lt;50000,"0-50",IF(K265:K1264&lt;100001,"51-100",IF(K265:K1264&lt;150001,"101-150",IF(K265:K1264&lt;200001,"151-200",IF(K265:K1264&lt;250001,"201-250","above 250")))))</f>
      </c>
      <c r="M265" s="57">
        <v>0.38</v>
      </c>
      <c r="N265" s="45" t="s">
        <v>15</v>
      </c>
      <c r="O265" s="45" t="s">
        <v>42</v>
      </c>
      <c r="P265" s="51"/>
      <c r="Q265" s="52">
        <f>IF(ISBLANK(P265:P1264), "", DATEDIF(J265:J1264, P265:P1264, "Y"))</f>
      </c>
    </row>
    <row x14ac:dyDescent="0.25" r="266" customHeight="1" ht="15.75">
      <c r="A266" s="45" t="s">
        <v>1359</v>
      </c>
      <c r="B266" s="45" t="s">
        <v>667</v>
      </c>
      <c r="C266" s="45" t="s">
        <v>96</v>
      </c>
      <c r="D266" s="45" t="s">
        <v>32</v>
      </c>
      <c r="E266" s="45" t="s">
        <v>1096</v>
      </c>
      <c r="F266" s="45" t="s">
        <v>7</v>
      </c>
      <c r="G266" s="45" t="s">
        <v>8</v>
      </c>
      <c r="H266" s="53">
        <v>47</v>
      </c>
      <c r="I266" s="54">
        <f>IF(H266:H1265&lt;45, "Adult", IF(H266:H1265&lt;60, "Middle Age", IF(H266:H1265&lt;70, "Old", "Very Old")))</f>
      </c>
      <c r="J266" s="55">
        <v>41208</v>
      </c>
      <c r="K266" s="56">
        <v>183156</v>
      </c>
      <c r="L266" s="54">
        <f>IF(K266:K1265&lt;50000,"0-50",IF(K266:K1265&lt;100001,"51-100",IF(K266:K1265&lt;150001,"101-150",IF(K266:K1265&lt;200001,"151-200",IF(K266:K1265&lt;250001,"201-250","above 250")))))</f>
      </c>
      <c r="M266" s="57">
        <v>0.3</v>
      </c>
      <c r="N266" s="45" t="s">
        <v>15</v>
      </c>
      <c r="O266" s="45" t="s">
        <v>67</v>
      </c>
      <c r="P266" s="51"/>
      <c r="Q266" s="52">
        <f>IF(ISBLANK(P266:P1265), "", DATEDIF(J266:J1265, P266:P1265, "Y"))</f>
      </c>
    </row>
    <row x14ac:dyDescent="0.25" r="267" customHeight="1" ht="15.75">
      <c r="A267" s="45" t="s">
        <v>1360</v>
      </c>
      <c r="B267" s="45" t="s">
        <v>269</v>
      </c>
      <c r="C267" s="45" t="s">
        <v>142</v>
      </c>
      <c r="D267" s="45" t="s">
        <v>32</v>
      </c>
      <c r="E267" s="45" t="s">
        <v>1096</v>
      </c>
      <c r="F267" s="45" t="s">
        <v>7</v>
      </c>
      <c r="G267" s="45" t="s">
        <v>17</v>
      </c>
      <c r="H267" s="53">
        <v>32</v>
      </c>
      <c r="I267" s="54">
        <f>IF(H267:H1266&lt;45, "Adult", IF(H267:H1266&lt;60, "Middle Age", IF(H267:H1266&lt;70, "Old", "Very Old")))</f>
      </c>
      <c r="J267" s="55">
        <v>44034</v>
      </c>
      <c r="K267" s="56">
        <v>192749</v>
      </c>
      <c r="L267" s="54">
        <f>IF(K267:K1266&lt;50000,"0-50",IF(K267:K1266&lt;100001,"51-100",IF(K267:K1266&lt;150001,"101-150",IF(K267:K1266&lt;200001,"151-200",IF(K267:K1266&lt;250001,"201-250","above 250")))))</f>
      </c>
      <c r="M267" s="57">
        <v>0.31</v>
      </c>
      <c r="N267" s="45" t="s">
        <v>15</v>
      </c>
      <c r="O267" s="45" t="s">
        <v>51</v>
      </c>
      <c r="P267" s="51"/>
      <c r="Q267" s="52">
        <f>IF(ISBLANK(P267:P1266), "", DATEDIF(J267:J1266, P267:P1266, "Y"))</f>
      </c>
    </row>
    <row x14ac:dyDescent="0.25" r="268" customHeight="1" ht="15.75">
      <c r="A268" s="45" t="s">
        <v>1361</v>
      </c>
      <c r="B268" s="45" t="s">
        <v>429</v>
      </c>
      <c r="C268" s="45" t="s">
        <v>132</v>
      </c>
      <c r="D268" s="45" t="s">
        <v>32</v>
      </c>
      <c r="E268" s="45" t="s">
        <v>1094</v>
      </c>
      <c r="F268" s="45" t="s">
        <v>7</v>
      </c>
      <c r="G268" s="45" t="s">
        <v>8</v>
      </c>
      <c r="H268" s="53">
        <v>39</v>
      </c>
      <c r="I268" s="54">
        <f>IF(H268:H1267&lt;45, "Adult", IF(H268:H1267&lt;60, "Middle Age", IF(H268:H1267&lt;70, "Old", "Very Old")))</f>
      </c>
      <c r="J268" s="55">
        <v>42819</v>
      </c>
      <c r="K268" s="56">
        <v>135325</v>
      </c>
      <c r="L268" s="54">
        <f>IF(K268:K1267&lt;50000,"0-50",IF(K268:K1267&lt;100001,"51-100",IF(K268:K1267&lt;150001,"101-150",IF(K268:K1267&lt;200001,"151-200",IF(K268:K1267&lt;250001,"201-250","above 250")))))</f>
      </c>
      <c r="M268" s="57">
        <v>0.14</v>
      </c>
      <c r="N268" s="45" t="s">
        <v>15</v>
      </c>
      <c r="O268" s="45" t="s">
        <v>61</v>
      </c>
      <c r="P268" s="51"/>
      <c r="Q268" s="52">
        <f>IF(ISBLANK(P268:P1267), "", DATEDIF(J268:J1267, P268:P1267, "Y"))</f>
      </c>
    </row>
    <row x14ac:dyDescent="0.25" r="269" customHeight="1" ht="15.75">
      <c r="A269" s="45" t="s">
        <v>1362</v>
      </c>
      <c r="B269" s="45" t="s">
        <v>93</v>
      </c>
      <c r="C269" s="45" t="s">
        <v>128</v>
      </c>
      <c r="D269" s="45" t="s">
        <v>36</v>
      </c>
      <c r="E269" s="45" t="s">
        <v>1096</v>
      </c>
      <c r="F269" s="45" t="s">
        <v>7</v>
      </c>
      <c r="G269" s="45" t="s">
        <v>14</v>
      </c>
      <c r="H269" s="53">
        <v>26</v>
      </c>
      <c r="I269" s="54">
        <f>IF(H269:H1268&lt;45, "Adult", IF(H269:H1268&lt;60, "Middle Age", IF(H269:H1268&lt;70, "Old", "Very Old")))</f>
      </c>
      <c r="J269" s="55">
        <v>43752</v>
      </c>
      <c r="K269" s="56">
        <v>79356</v>
      </c>
      <c r="L269" s="54">
        <f>IF(K269:K1268&lt;50000,"0-50",IF(K269:K1268&lt;100001,"51-100",IF(K269:K1268&lt;150001,"101-150",IF(K269:K1268&lt;200001,"151-200",IF(K269:K1268&lt;250001,"201-250","above 250")))))</f>
      </c>
      <c r="M269" s="57">
        <v>0</v>
      </c>
      <c r="N269" s="45" t="s">
        <v>15</v>
      </c>
      <c r="O269" s="45" t="s">
        <v>61</v>
      </c>
      <c r="P269" s="51"/>
      <c r="Q269" s="52">
        <f>IF(ISBLANK(P269:P1268), "", DATEDIF(J269:J1268, P269:P1268, "Y"))</f>
      </c>
    </row>
    <row x14ac:dyDescent="0.25" r="270" customHeight="1" ht="15.75">
      <c r="A270" s="45" t="s">
        <v>1363</v>
      </c>
      <c r="B270" s="45" t="s">
        <v>451</v>
      </c>
      <c r="C270" s="45" t="s">
        <v>94</v>
      </c>
      <c r="D270" s="45" t="s">
        <v>26</v>
      </c>
      <c r="E270" s="45" t="s">
        <v>1094</v>
      </c>
      <c r="F270" s="45" t="s">
        <v>10</v>
      </c>
      <c r="G270" s="45" t="s">
        <v>11</v>
      </c>
      <c r="H270" s="53">
        <v>40</v>
      </c>
      <c r="I270" s="54">
        <f>IF(H270:H1269&lt;45, "Adult", IF(H270:H1269&lt;60, "Middle Age", IF(H270:H1269&lt;70, "Old", "Very Old")))</f>
      </c>
      <c r="J270" s="55">
        <v>38540</v>
      </c>
      <c r="K270" s="56">
        <v>74412</v>
      </c>
      <c r="L270" s="54">
        <f>IF(K270:K1269&lt;50000,"0-50",IF(K270:K1269&lt;100001,"51-100",IF(K270:K1269&lt;150001,"101-150",IF(K270:K1269&lt;200001,"151-200",IF(K270:K1269&lt;250001,"201-250","above 250")))))</f>
      </c>
      <c r="M270" s="57">
        <v>0</v>
      </c>
      <c r="N270" s="45" t="s">
        <v>15</v>
      </c>
      <c r="O270" s="45" t="s">
        <v>67</v>
      </c>
      <c r="P270" s="51"/>
      <c r="Q270" s="52">
        <f>IF(ISBLANK(P270:P1269), "", DATEDIF(J270:J1269, P270:P1269, "Y"))</f>
      </c>
    </row>
    <row x14ac:dyDescent="0.25" r="271" customHeight="1" ht="15.75">
      <c r="A271" s="45" t="s">
        <v>1364</v>
      </c>
      <c r="B271" s="45" t="s">
        <v>271</v>
      </c>
      <c r="C271" s="45" t="s">
        <v>90</v>
      </c>
      <c r="D271" s="45" t="s">
        <v>32</v>
      </c>
      <c r="E271" s="45" t="s">
        <v>1094</v>
      </c>
      <c r="F271" s="45" t="s">
        <v>7</v>
      </c>
      <c r="G271" s="45" t="s">
        <v>17</v>
      </c>
      <c r="H271" s="53">
        <v>32</v>
      </c>
      <c r="I271" s="54">
        <f>IF(H271:H1270&lt;45, "Adult", IF(H271:H1270&lt;60, "Middle Age", IF(H271:H1270&lt;70, "Old", "Very Old")))</f>
      </c>
      <c r="J271" s="55">
        <v>43010</v>
      </c>
      <c r="K271" s="56">
        <v>61886</v>
      </c>
      <c r="L271" s="54">
        <f>IF(K271:K1270&lt;50000,"0-50",IF(K271:K1270&lt;100001,"51-100",IF(K271:K1270&lt;150001,"101-150",IF(K271:K1270&lt;200001,"151-200",IF(K271:K1270&lt;250001,"201-250","above 250")))))</f>
      </c>
      <c r="M271" s="57">
        <v>0.09</v>
      </c>
      <c r="N271" s="45" t="s">
        <v>9</v>
      </c>
      <c r="O271" s="45" t="s">
        <v>63</v>
      </c>
      <c r="P271" s="51"/>
      <c r="Q271" s="52">
        <f>IF(ISBLANK(P271:P1270), "", DATEDIF(J271:J1270, P271:P1270, "Y"))</f>
      </c>
    </row>
    <row x14ac:dyDescent="0.25" r="272" customHeight="1" ht="15.75">
      <c r="A272" s="45" t="s">
        <v>1365</v>
      </c>
      <c r="B272" s="45" t="s">
        <v>941</v>
      </c>
      <c r="C272" s="45" t="s">
        <v>96</v>
      </c>
      <c r="D272" s="45" t="s">
        <v>24</v>
      </c>
      <c r="E272" s="45" t="s">
        <v>1092</v>
      </c>
      <c r="F272" s="45" t="s">
        <v>7</v>
      </c>
      <c r="G272" s="45" t="s">
        <v>8</v>
      </c>
      <c r="H272" s="53">
        <v>58</v>
      </c>
      <c r="I272" s="54">
        <f>IF(H272:H1271&lt;45, "Adult", IF(H272:H1271&lt;60, "Middle Age", IF(H272:H1271&lt;70, "Old", "Very Old")))</f>
      </c>
      <c r="J272" s="55">
        <v>37755</v>
      </c>
      <c r="K272" s="56">
        <v>173071</v>
      </c>
      <c r="L272" s="54">
        <f>IF(K272:K1271&lt;50000,"0-50",IF(K272:K1271&lt;100001,"51-100",IF(K272:K1271&lt;150001,"101-150",IF(K272:K1271&lt;200001,"151-200",IF(K272:K1271&lt;250001,"201-250","above 250")))))</f>
      </c>
      <c r="M272" s="57">
        <v>0.29</v>
      </c>
      <c r="N272" s="45" t="s">
        <v>15</v>
      </c>
      <c r="O272" s="45" t="s">
        <v>55</v>
      </c>
      <c r="P272" s="51"/>
      <c r="Q272" s="52">
        <f>IF(ISBLANK(P272:P1271), "", DATEDIF(J272:J1271, P272:P1271, "Y"))</f>
      </c>
    </row>
    <row x14ac:dyDescent="0.25" r="273" customHeight="1" ht="15.75">
      <c r="A273" s="45" t="s">
        <v>1366</v>
      </c>
      <c r="B273" s="45" t="s">
        <v>942</v>
      </c>
      <c r="C273" s="45" t="s">
        <v>102</v>
      </c>
      <c r="D273" s="45" t="s">
        <v>26</v>
      </c>
      <c r="E273" s="45" t="s">
        <v>1092</v>
      </c>
      <c r="F273" s="45" t="s">
        <v>7</v>
      </c>
      <c r="G273" s="45" t="s">
        <v>14</v>
      </c>
      <c r="H273" s="53">
        <v>58</v>
      </c>
      <c r="I273" s="54">
        <f>IF(H273:H1272&lt;45, "Adult", IF(H273:H1272&lt;60, "Middle Age", IF(H273:H1272&lt;70, "Old", "Very Old")))</f>
      </c>
      <c r="J273" s="55">
        <v>34999</v>
      </c>
      <c r="K273" s="56">
        <v>70189</v>
      </c>
      <c r="L273" s="54">
        <f>IF(K273:K1272&lt;50000,"0-50",IF(K273:K1272&lt;100001,"51-100",IF(K273:K1272&lt;150001,"101-150",IF(K273:K1272&lt;200001,"151-200",IF(K273:K1272&lt;250001,"201-250","above 250")))))</f>
      </c>
      <c r="M273" s="57">
        <v>0</v>
      </c>
      <c r="N273" s="45" t="s">
        <v>15</v>
      </c>
      <c r="O273" s="45" t="s">
        <v>55</v>
      </c>
      <c r="P273" s="51"/>
      <c r="Q273" s="52">
        <f>IF(ISBLANK(P273:P1272), "", DATEDIF(J273:J1272, P273:P1272, "Y"))</f>
      </c>
    </row>
    <row x14ac:dyDescent="0.25" r="274" customHeight="1" ht="15.75">
      <c r="A274" s="45" t="s">
        <v>1367</v>
      </c>
      <c r="B274" s="45" t="s">
        <v>499</v>
      </c>
      <c r="C274" s="45" t="s">
        <v>142</v>
      </c>
      <c r="D274" s="45" t="s">
        <v>36</v>
      </c>
      <c r="E274" s="45" t="s">
        <v>1092</v>
      </c>
      <c r="F274" s="45" t="s">
        <v>7</v>
      </c>
      <c r="G274" s="45" t="s">
        <v>17</v>
      </c>
      <c r="H274" s="53">
        <v>42</v>
      </c>
      <c r="I274" s="54">
        <f>IF(H274:H1273&lt;45, "Adult", IF(H274:H1273&lt;60, "Middle Age", IF(H274:H1273&lt;70, "Old", "Very Old")))</f>
      </c>
      <c r="J274" s="55">
        <v>41528</v>
      </c>
      <c r="K274" s="56">
        <v>181452</v>
      </c>
      <c r="L274" s="54">
        <f>IF(K274:K1273&lt;50000,"0-50",IF(K274:K1273&lt;100001,"51-100",IF(K274:K1273&lt;150001,"101-150",IF(K274:K1273&lt;200001,"151-200",IF(K274:K1273&lt;250001,"201-250","above 250")))))</f>
      </c>
      <c r="M274" s="57">
        <v>0.3</v>
      </c>
      <c r="N274" s="45" t="s">
        <v>15</v>
      </c>
      <c r="O274" s="45" t="s">
        <v>55</v>
      </c>
      <c r="P274" s="51"/>
      <c r="Q274" s="52">
        <f>IF(ISBLANK(P274:P1273), "", DATEDIF(J274:J1273, P274:P1273, "Y"))</f>
      </c>
    </row>
    <row x14ac:dyDescent="0.25" r="275" customHeight="1" ht="15.75">
      <c r="A275" s="45" t="s">
        <v>1368</v>
      </c>
      <c r="B275" s="45" t="s">
        <v>91</v>
      </c>
      <c r="C275" s="45" t="s">
        <v>104</v>
      </c>
      <c r="D275" s="45" t="s">
        <v>30</v>
      </c>
      <c r="E275" s="45" t="s">
        <v>1096</v>
      </c>
      <c r="F275" s="45" t="s">
        <v>10</v>
      </c>
      <c r="G275" s="45" t="s">
        <v>14</v>
      </c>
      <c r="H275" s="53">
        <v>26</v>
      </c>
      <c r="I275" s="54">
        <f>IF(H275:H1274&lt;45, "Adult", IF(H275:H1274&lt;60, "Middle Age", IF(H275:H1274&lt;70, "Old", "Very Old")))</f>
      </c>
      <c r="J275" s="55">
        <v>44267</v>
      </c>
      <c r="K275" s="56">
        <v>70369</v>
      </c>
      <c r="L275" s="54">
        <f>IF(K275:K1274&lt;50000,"0-50",IF(K275:K1274&lt;100001,"51-100",IF(K275:K1274&lt;150001,"101-150",IF(K275:K1274&lt;200001,"151-200",IF(K275:K1274&lt;250001,"201-250","above 250")))))</f>
      </c>
      <c r="M275" s="57">
        <v>0</v>
      </c>
      <c r="N275" s="45" t="s">
        <v>15</v>
      </c>
      <c r="O275" s="45" t="s">
        <v>67</v>
      </c>
      <c r="P275" s="51"/>
      <c r="Q275" s="52">
        <f>IF(ISBLANK(P275:P1274), "", DATEDIF(J275:J1274, P275:P1274, "Y"))</f>
      </c>
    </row>
    <row x14ac:dyDescent="0.25" r="276" customHeight="1" ht="15.75">
      <c r="A276" s="45" t="s">
        <v>1369</v>
      </c>
      <c r="B276" s="45" t="s">
        <v>409</v>
      </c>
      <c r="C276" s="45" t="s">
        <v>128</v>
      </c>
      <c r="D276" s="45" t="s">
        <v>24</v>
      </c>
      <c r="E276" s="45" t="s">
        <v>1094</v>
      </c>
      <c r="F276" s="45" t="s">
        <v>10</v>
      </c>
      <c r="G276" s="45" t="s">
        <v>17</v>
      </c>
      <c r="H276" s="53">
        <v>38</v>
      </c>
      <c r="I276" s="54">
        <f>IF(H276:H1275&lt;45, "Adult", IF(H276:H1275&lt;60, "Middle Age", IF(H276:H1275&lt;70, "Old", "Very Old")))</f>
      </c>
      <c r="J276" s="55">
        <v>39634</v>
      </c>
      <c r="K276" s="56">
        <v>78056</v>
      </c>
      <c r="L276" s="54">
        <f>IF(K276:K1275&lt;50000,"0-50",IF(K276:K1275&lt;100001,"51-100",IF(K276:K1275&lt;150001,"101-150",IF(K276:K1275&lt;200001,"151-200",IF(K276:K1275&lt;250001,"201-250","above 250")))))</f>
      </c>
      <c r="M276" s="57">
        <v>0</v>
      </c>
      <c r="N276" s="45" t="s">
        <v>9</v>
      </c>
      <c r="O276" s="45" t="s">
        <v>65</v>
      </c>
      <c r="P276" s="51"/>
      <c r="Q276" s="52">
        <f>IF(ISBLANK(P276:P1275), "", DATEDIF(J276:J1275, P276:P1275, "Y"))</f>
      </c>
    </row>
    <row x14ac:dyDescent="0.25" r="277" customHeight="1" ht="15.75">
      <c r="A277" s="45" t="s">
        <v>1370</v>
      </c>
      <c r="B277" s="45" t="s">
        <v>924</v>
      </c>
      <c r="C277" s="45" t="s">
        <v>96</v>
      </c>
      <c r="D277" s="45" t="s">
        <v>28</v>
      </c>
      <c r="E277" s="45" t="s">
        <v>1092</v>
      </c>
      <c r="F277" s="45" t="s">
        <v>10</v>
      </c>
      <c r="G277" s="45" t="s">
        <v>8</v>
      </c>
      <c r="H277" s="53">
        <v>64</v>
      </c>
      <c r="I277" s="54">
        <f>IF(H277:H1276&lt;45, "Adult", IF(H277:H1276&lt;60, "Middle Age", IF(H277:H1276&lt;70, "Old", "Very Old")))</f>
      </c>
      <c r="J277" s="55">
        <v>35187</v>
      </c>
      <c r="K277" s="56">
        <v>189933</v>
      </c>
      <c r="L277" s="54">
        <f>IF(K277:K1276&lt;50000,"0-50",IF(K277:K1276&lt;100001,"51-100",IF(K277:K1276&lt;150001,"101-150",IF(K277:K1276&lt;200001,"151-200",IF(K277:K1276&lt;250001,"201-250","above 250")))))</f>
      </c>
      <c r="M277" s="57">
        <v>0.23</v>
      </c>
      <c r="N277" s="45" t="s">
        <v>15</v>
      </c>
      <c r="O277" s="45" t="s">
        <v>59</v>
      </c>
      <c r="P277" s="51"/>
      <c r="Q277" s="52">
        <f>IF(ISBLANK(P277:P1276), "", DATEDIF(J277:J1276, P277:P1276, "Y"))</f>
      </c>
    </row>
    <row x14ac:dyDescent="0.25" r="278" customHeight="1" ht="15.75">
      <c r="A278" s="45" t="s">
        <v>1371</v>
      </c>
      <c r="B278" s="45" t="s">
        <v>334</v>
      </c>
      <c r="C278" s="45" t="s">
        <v>84</v>
      </c>
      <c r="D278" s="45" t="s">
        <v>26</v>
      </c>
      <c r="E278" s="45" t="s">
        <v>1096</v>
      </c>
      <c r="F278" s="45" t="s">
        <v>10</v>
      </c>
      <c r="G278" s="45" t="s">
        <v>14</v>
      </c>
      <c r="H278" s="53">
        <v>38</v>
      </c>
      <c r="I278" s="54">
        <f>IF(H278:H1277&lt;45, "Adult", IF(H278:H1277&lt;60, "Middle Age", IF(H278:H1277&lt;70, "Old", "Very Old")))</f>
      </c>
      <c r="J278" s="55">
        <v>40360</v>
      </c>
      <c r="K278" s="56">
        <v>78237</v>
      </c>
      <c r="L278" s="54">
        <f>IF(K278:K1277&lt;50000,"0-50",IF(K278:K1277&lt;100001,"51-100",IF(K278:K1277&lt;150001,"101-150",IF(K278:K1277&lt;200001,"151-200",IF(K278:K1277&lt;250001,"201-250","above 250")))))</f>
      </c>
      <c r="M278" s="57">
        <v>0</v>
      </c>
      <c r="N278" s="45" t="s">
        <v>15</v>
      </c>
      <c r="O278" s="45" t="s">
        <v>61</v>
      </c>
      <c r="P278" s="51"/>
      <c r="Q278" s="52">
        <f>IF(ISBLANK(P278:P1277), "", DATEDIF(J278:J1277, P278:P1277, "Y"))</f>
      </c>
    </row>
    <row x14ac:dyDescent="0.25" r="279" customHeight="1" ht="15.75">
      <c r="A279" s="45" t="s">
        <v>1372</v>
      </c>
      <c r="B279" s="45" t="s">
        <v>866</v>
      </c>
      <c r="C279" s="45" t="s">
        <v>80</v>
      </c>
      <c r="D279" s="45" t="s">
        <v>24</v>
      </c>
      <c r="E279" s="45" t="s">
        <v>1092</v>
      </c>
      <c r="F279" s="45" t="s">
        <v>7</v>
      </c>
      <c r="G279" s="45" t="s">
        <v>17</v>
      </c>
      <c r="H279" s="53">
        <v>55</v>
      </c>
      <c r="I279" s="54">
        <f>IF(H279:H1278&lt;45, "Adult", IF(H279:H1278&lt;60, "Middle Age", IF(H279:H1278&lt;70, "Old", "Very Old")))</f>
      </c>
      <c r="J279" s="55">
        <v>35242</v>
      </c>
      <c r="K279" s="56">
        <v>48687</v>
      </c>
      <c r="L279" s="54">
        <f>IF(K279:K1278&lt;50000,"0-50",IF(K279:K1278&lt;100001,"51-100",IF(K279:K1278&lt;150001,"101-150",IF(K279:K1278&lt;200001,"151-200",IF(K279:K1278&lt;250001,"201-250","above 250")))))</f>
      </c>
      <c r="M279" s="57">
        <v>0</v>
      </c>
      <c r="N279" s="45" t="s">
        <v>9</v>
      </c>
      <c r="O279" s="45" t="s">
        <v>63</v>
      </c>
      <c r="P279" s="51"/>
      <c r="Q279" s="52">
        <f>IF(ISBLANK(P279:P1278), "", DATEDIF(J279:J1278, P279:P1278, "Y"))</f>
      </c>
    </row>
    <row x14ac:dyDescent="0.25" r="280" customHeight="1" ht="15.75">
      <c r="A280" s="45" t="s">
        <v>1373</v>
      </c>
      <c r="B280" s="45" t="s">
        <v>567</v>
      </c>
      <c r="C280" s="45" t="s">
        <v>132</v>
      </c>
      <c r="D280" s="45" t="s">
        <v>34</v>
      </c>
      <c r="E280" s="45" t="s">
        <v>1094</v>
      </c>
      <c r="F280" s="45" t="s">
        <v>7</v>
      </c>
      <c r="G280" s="45" t="s">
        <v>17</v>
      </c>
      <c r="H280" s="53">
        <v>45</v>
      </c>
      <c r="I280" s="54">
        <f>IF(H280:H1279&lt;45, "Adult", IF(H280:H1279&lt;60, "Middle Age", IF(H280:H1279&lt;70, "Old", "Very Old")))</f>
      </c>
      <c r="J280" s="55">
        <v>38218</v>
      </c>
      <c r="K280" s="56">
        <v>121065</v>
      </c>
      <c r="L280" s="54">
        <f>IF(K280:K1279&lt;50000,"0-50",IF(K280:K1279&lt;100001,"51-100",IF(K280:K1279&lt;150001,"101-150",IF(K280:K1279&lt;200001,"151-200",IF(K280:K1279&lt;250001,"201-250","above 250")))))</f>
      </c>
      <c r="M280" s="57">
        <v>0.15</v>
      </c>
      <c r="N280" s="45" t="s">
        <v>9</v>
      </c>
      <c r="O280" s="45" t="s">
        <v>63</v>
      </c>
      <c r="P280" s="51"/>
      <c r="Q280" s="52">
        <f>IF(ISBLANK(P280:P1279), "", DATEDIF(J280:J1279, P280:P1279, "Y"))</f>
      </c>
    </row>
    <row x14ac:dyDescent="0.25" r="281" customHeight="1" ht="15.75">
      <c r="A281" s="45" t="s">
        <v>1374</v>
      </c>
      <c r="B281" s="45" t="s">
        <v>522</v>
      </c>
      <c r="C281" s="45" t="s">
        <v>128</v>
      </c>
      <c r="D281" s="45" t="s">
        <v>36</v>
      </c>
      <c r="E281" s="45" t="s">
        <v>1100</v>
      </c>
      <c r="F281" s="45" t="s">
        <v>10</v>
      </c>
      <c r="G281" s="45" t="s">
        <v>11</v>
      </c>
      <c r="H281" s="53">
        <v>43</v>
      </c>
      <c r="I281" s="54">
        <f>IF(H281:H1280&lt;45, "Adult", IF(H281:H1280&lt;60, "Middle Age", IF(H281:H1280&lt;70, "Old", "Very Old")))</f>
      </c>
      <c r="J281" s="55">
        <v>38093</v>
      </c>
      <c r="K281" s="56">
        <v>94246</v>
      </c>
      <c r="L281" s="54">
        <f>IF(K281:K1280&lt;50000,"0-50",IF(K281:K1280&lt;100001,"51-100",IF(K281:K1280&lt;150001,"101-150",IF(K281:K1280&lt;200001,"151-200",IF(K281:K1280&lt;250001,"201-250","above 250")))))</f>
      </c>
      <c r="M281" s="57">
        <v>0</v>
      </c>
      <c r="N281" s="45" t="s">
        <v>15</v>
      </c>
      <c r="O281" s="45" t="s">
        <v>42</v>
      </c>
      <c r="P281" s="51"/>
      <c r="Q281" s="52">
        <f>IF(ISBLANK(P281:P1280), "", DATEDIF(J281:J1280, P281:P1280, "Y"))</f>
      </c>
    </row>
    <row x14ac:dyDescent="0.25" r="282" customHeight="1" ht="15.75">
      <c r="A282" s="45" t="s">
        <v>1375</v>
      </c>
      <c r="B282" s="45" t="s">
        <v>319</v>
      </c>
      <c r="C282" s="45" t="s">
        <v>136</v>
      </c>
      <c r="D282" s="45" t="s">
        <v>32</v>
      </c>
      <c r="E282" s="45" t="s">
        <v>1094</v>
      </c>
      <c r="F282" s="45" t="s">
        <v>7</v>
      </c>
      <c r="G282" s="45" t="s">
        <v>8</v>
      </c>
      <c r="H282" s="53">
        <v>34</v>
      </c>
      <c r="I282" s="54">
        <f>IF(H282:H1281&lt;45, "Adult", IF(H282:H1281&lt;60, "Middle Age", IF(H282:H1281&lt;70, "Old", "Very Old")))</f>
      </c>
      <c r="J282" s="55">
        <v>42512</v>
      </c>
      <c r="K282" s="56">
        <v>44614</v>
      </c>
      <c r="L282" s="54">
        <f>IF(K282:K1281&lt;50000,"0-50",IF(K282:K1281&lt;100001,"51-100",IF(K282:K1281&lt;150001,"101-150",IF(K282:K1281&lt;200001,"151-200",IF(K282:K1281&lt;250001,"201-250","above 250")))))</f>
      </c>
      <c r="M282" s="57">
        <v>0</v>
      </c>
      <c r="N282" s="45" t="s">
        <v>15</v>
      </c>
      <c r="O282" s="45" t="s">
        <v>59</v>
      </c>
      <c r="P282" s="51"/>
      <c r="Q282" s="52">
        <f>IF(ISBLANK(P282:P1281), "", DATEDIF(J282:J1281, P282:P1281, "Y"))</f>
      </c>
    </row>
    <row x14ac:dyDescent="0.25" r="283" customHeight="1" ht="15.75">
      <c r="A283" s="45" t="s">
        <v>1376</v>
      </c>
      <c r="B283" s="45" t="s">
        <v>453</v>
      </c>
      <c r="C283" s="45" t="s">
        <v>142</v>
      </c>
      <c r="D283" s="45" t="s">
        <v>32</v>
      </c>
      <c r="E283" s="45" t="s">
        <v>1092</v>
      </c>
      <c r="F283" s="45" t="s">
        <v>10</v>
      </c>
      <c r="G283" s="45" t="s">
        <v>8</v>
      </c>
      <c r="H283" s="53">
        <v>40</v>
      </c>
      <c r="I283" s="54">
        <f>IF(H283:H1282&lt;45, "Adult", IF(H283:H1282&lt;60, "Middle Age", IF(H283:H1282&lt;70, "Old", "Very Old")))</f>
      </c>
      <c r="J283" s="55">
        <v>44143</v>
      </c>
      <c r="K283" s="56">
        <v>234469</v>
      </c>
      <c r="L283" s="54">
        <f>IF(K283:K1282&lt;50000,"0-50",IF(K283:K1282&lt;100001,"51-100",IF(K283:K1282&lt;150001,"101-150",IF(K283:K1282&lt;200001,"151-200",IF(K283:K1282&lt;250001,"201-250","above 250")))))</f>
      </c>
      <c r="M283" s="57">
        <v>0.31</v>
      </c>
      <c r="N283" s="45" t="s">
        <v>12</v>
      </c>
      <c r="O283" s="45" t="s">
        <v>49</v>
      </c>
      <c r="P283" s="51"/>
      <c r="Q283" s="52">
        <f>IF(ISBLANK(P283:P1282), "", DATEDIF(J283:J1282, P283:P1282, "Y"))</f>
      </c>
    </row>
    <row x14ac:dyDescent="0.25" r="284" customHeight="1" ht="15.75">
      <c r="A284" s="45" t="s">
        <v>1377</v>
      </c>
      <c r="B284" s="45" t="s">
        <v>783</v>
      </c>
      <c r="C284" s="45" t="s">
        <v>84</v>
      </c>
      <c r="D284" s="45" t="s">
        <v>26</v>
      </c>
      <c r="E284" s="45" t="s">
        <v>1092</v>
      </c>
      <c r="F284" s="45" t="s">
        <v>10</v>
      </c>
      <c r="G284" s="45" t="s">
        <v>17</v>
      </c>
      <c r="H284" s="53">
        <v>52</v>
      </c>
      <c r="I284" s="54">
        <f>IF(H284:H1283&lt;45, "Adult", IF(H284:H1283&lt;60, "Middle Age", IF(H284:H1283&lt;70, "Old", "Very Old")))</f>
      </c>
      <c r="J284" s="55">
        <v>44022</v>
      </c>
      <c r="K284" s="56">
        <v>88272</v>
      </c>
      <c r="L284" s="54">
        <f>IF(K284:K1283&lt;50000,"0-50",IF(K284:K1283&lt;100001,"51-100",IF(K284:K1283&lt;150001,"101-150",IF(K284:K1283&lt;200001,"151-200",IF(K284:K1283&lt;250001,"201-250","above 250")))))</f>
      </c>
      <c r="M284" s="57">
        <v>0</v>
      </c>
      <c r="N284" s="45" t="s">
        <v>9</v>
      </c>
      <c r="O284" s="45" t="s">
        <v>65</v>
      </c>
      <c r="P284" s="51"/>
      <c r="Q284" s="52">
        <f>IF(ISBLANK(P284:P1283), "", DATEDIF(J284:J1283, P284:P1283, "Y"))</f>
      </c>
    </row>
    <row x14ac:dyDescent="0.25" r="285" customHeight="1" ht="15.75">
      <c r="A285" s="45" t="s">
        <v>1378</v>
      </c>
      <c r="B285" s="45" t="s">
        <v>782</v>
      </c>
      <c r="C285" s="45" t="s">
        <v>82</v>
      </c>
      <c r="D285" s="45" t="s">
        <v>28</v>
      </c>
      <c r="E285" s="45" t="s">
        <v>1100</v>
      </c>
      <c r="F285" s="45" t="s">
        <v>10</v>
      </c>
      <c r="G285" s="45" t="s">
        <v>8</v>
      </c>
      <c r="H285" s="53">
        <v>52</v>
      </c>
      <c r="I285" s="54">
        <f>IF(H285:H1284&lt;45, "Adult", IF(H285:H1284&lt;60, "Middle Age", IF(H285:H1284&lt;70, "Old", "Very Old")))</f>
      </c>
      <c r="J285" s="55">
        <v>42992</v>
      </c>
      <c r="K285" s="56">
        <v>74449</v>
      </c>
      <c r="L285" s="54">
        <f>IF(K285:K1284&lt;50000,"0-50",IF(K285:K1284&lt;100001,"51-100",IF(K285:K1284&lt;150001,"101-150",IF(K285:K1284&lt;200001,"151-200",IF(K285:K1284&lt;250001,"201-250","above 250")))))</f>
      </c>
      <c r="M285" s="57">
        <v>0</v>
      </c>
      <c r="N285" s="45" t="s">
        <v>12</v>
      </c>
      <c r="O285" s="45" t="s">
        <v>47</v>
      </c>
      <c r="P285" s="51"/>
      <c r="Q285" s="52">
        <f>IF(ISBLANK(P285:P1284), "", DATEDIF(J285:J1284, P285:P1284, "Y"))</f>
      </c>
    </row>
    <row x14ac:dyDescent="0.25" r="286" customHeight="1" ht="15.75">
      <c r="A286" s="45" t="s">
        <v>1379</v>
      </c>
      <c r="B286" s="45" t="s">
        <v>668</v>
      </c>
      <c r="C286" s="45" t="s">
        <v>142</v>
      </c>
      <c r="D286" s="45" t="s">
        <v>26</v>
      </c>
      <c r="E286" s="45" t="s">
        <v>1096</v>
      </c>
      <c r="F286" s="45" t="s">
        <v>10</v>
      </c>
      <c r="G286" s="45" t="s">
        <v>8</v>
      </c>
      <c r="H286" s="53">
        <v>47</v>
      </c>
      <c r="I286" s="54">
        <f>IF(H286:H1285&lt;45, "Adult", IF(H286:H1285&lt;60, "Middle Age", IF(H286:H1285&lt;70, "Old", "Very Old")))</f>
      </c>
      <c r="J286" s="55">
        <v>41071</v>
      </c>
      <c r="K286" s="56">
        <v>222941</v>
      </c>
      <c r="L286" s="54">
        <f>IF(K286:K1285&lt;50000,"0-50",IF(K286:K1285&lt;100001,"51-100",IF(K286:K1285&lt;150001,"101-150",IF(K286:K1285&lt;200001,"151-200",IF(K286:K1285&lt;250001,"201-250","above 250")))))</f>
      </c>
      <c r="M286" s="57">
        <v>0.39</v>
      </c>
      <c r="N286" s="45" t="s">
        <v>12</v>
      </c>
      <c r="O286" s="45" t="s">
        <v>47</v>
      </c>
      <c r="P286" s="51"/>
      <c r="Q286" s="52">
        <f>IF(ISBLANK(P286:P1285), "", DATEDIF(J286:J1285, P286:P1285, "Y"))</f>
      </c>
    </row>
    <row x14ac:dyDescent="0.25" r="287" customHeight="1" ht="15.75">
      <c r="A287" s="45" t="s">
        <v>1380</v>
      </c>
      <c r="B287" s="45" t="s">
        <v>1071</v>
      </c>
      <c r="C287" s="45" t="s">
        <v>80</v>
      </c>
      <c r="D287" s="45" t="s">
        <v>34</v>
      </c>
      <c r="E287" s="45" t="s">
        <v>1094</v>
      </c>
      <c r="F287" s="45" t="s">
        <v>7</v>
      </c>
      <c r="G287" s="45" t="s">
        <v>8</v>
      </c>
      <c r="H287" s="53">
        <v>65</v>
      </c>
      <c r="I287" s="54">
        <f>IF(H287:H1286&lt;45, "Adult", IF(H287:H1286&lt;60, "Middle Age", IF(H287:H1286&lt;70, "Old", "Very Old")))</f>
      </c>
      <c r="J287" s="55">
        <v>41543</v>
      </c>
      <c r="K287" s="56">
        <v>50341</v>
      </c>
      <c r="L287" s="54">
        <f>IF(K287:K1286&lt;50000,"0-50",IF(K287:K1286&lt;100001,"51-100",IF(K287:K1286&lt;150001,"101-150",IF(K287:K1286&lt;200001,"151-200",IF(K287:K1286&lt;250001,"201-250","above 250")))))</f>
      </c>
      <c r="M287" s="57">
        <v>0</v>
      </c>
      <c r="N287" s="45" t="s">
        <v>12</v>
      </c>
      <c r="O287" s="45" t="s">
        <v>47</v>
      </c>
      <c r="P287" s="51"/>
      <c r="Q287" s="52">
        <f>IF(ISBLANK(P287:P1286), "", DATEDIF(J287:J1286, P287:P1286, "Y"))</f>
      </c>
    </row>
    <row x14ac:dyDescent="0.25" r="288" customHeight="1" ht="15.75">
      <c r="A288" s="45" t="s">
        <v>1381</v>
      </c>
      <c r="B288" s="45" t="s">
        <v>241</v>
      </c>
      <c r="C288" s="45" t="s">
        <v>104</v>
      </c>
      <c r="D288" s="45" t="s">
        <v>30</v>
      </c>
      <c r="E288" s="45" t="s">
        <v>1100</v>
      </c>
      <c r="F288" s="45" t="s">
        <v>7</v>
      </c>
      <c r="G288" s="45" t="s">
        <v>17</v>
      </c>
      <c r="H288" s="53">
        <v>31</v>
      </c>
      <c r="I288" s="54">
        <f>IF(H288:H1287&lt;45, "Adult", IF(H288:H1287&lt;60, "Middle Age", IF(H288:H1287&lt;70, "Old", "Very Old")))</f>
      </c>
      <c r="J288" s="55">
        <v>44297</v>
      </c>
      <c r="K288" s="56">
        <v>72235</v>
      </c>
      <c r="L288" s="54">
        <f>IF(K288:K1287&lt;50000,"0-50",IF(K288:K1287&lt;100001,"51-100",IF(K288:K1287&lt;150001,"101-150",IF(K288:K1287&lt;200001,"151-200",IF(K288:K1287&lt;250001,"201-250","above 250")))))</f>
      </c>
      <c r="M288" s="57">
        <v>0</v>
      </c>
      <c r="N288" s="45" t="s">
        <v>9</v>
      </c>
      <c r="O288" s="45" t="s">
        <v>57</v>
      </c>
      <c r="P288" s="51"/>
      <c r="Q288" s="52">
        <f>IF(ISBLANK(P288:P1287), "", DATEDIF(J288:J1287, P288:P1287, "Y"))</f>
      </c>
    </row>
    <row x14ac:dyDescent="0.25" r="289" customHeight="1" ht="15.75">
      <c r="A289" s="45" t="s">
        <v>1382</v>
      </c>
      <c r="B289" s="45" t="s">
        <v>472</v>
      </c>
      <c r="C289" s="45" t="s">
        <v>128</v>
      </c>
      <c r="D289" s="45" t="s">
        <v>24</v>
      </c>
      <c r="E289" s="45" t="s">
        <v>1100</v>
      </c>
      <c r="F289" s="45" t="s">
        <v>7</v>
      </c>
      <c r="G289" s="45" t="s">
        <v>17</v>
      </c>
      <c r="H289" s="53">
        <v>41</v>
      </c>
      <c r="I289" s="54">
        <f>IF(H289:H1288&lt;45, "Adult", IF(H289:H1288&lt;60, "Middle Age", IF(H289:H1288&lt;70, "Old", "Very Old")))</f>
      </c>
      <c r="J289" s="55">
        <v>42533</v>
      </c>
      <c r="K289" s="56">
        <v>70165</v>
      </c>
      <c r="L289" s="54">
        <f>IF(K289:K1288&lt;50000,"0-50",IF(K289:K1288&lt;100001,"51-100",IF(K289:K1288&lt;150001,"101-150",IF(K289:K1288&lt;200001,"151-200",IF(K289:K1288&lt;250001,"201-250","above 250")))))</f>
      </c>
      <c r="M289" s="57">
        <v>0</v>
      </c>
      <c r="N289" s="45" t="s">
        <v>15</v>
      </c>
      <c r="O289" s="45" t="s">
        <v>55</v>
      </c>
      <c r="P289" s="51"/>
      <c r="Q289" s="52">
        <f>IF(ISBLANK(P289:P1288), "", DATEDIF(J289:J1288, P289:P1288, "Y"))</f>
      </c>
    </row>
    <row x14ac:dyDescent="0.25" r="290" customHeight="1" ht="15.75">
      <c r="A290" s="45" t="s">
        <v>1383</v>
      </c>
      <c r="B290" s="45" t="s">
        <v>216</v>
      </c>
      <c r="C290" s="45" t="s">
        <v>132</v>
      </c>
      <c r="D290" s="45" t="s">
        <v>34</v>
      </c>
      <c r="E290" s="45" t="s">
        <v>1096</v>
      </c>
      <c r="F290" s="45" t="s">
        <v>10</v>
      </c>
      <c r="G290" s="45" t="s">
        <v>14</v>
      </c>
      <c r="H290" s="53">
        <v>30</v>
      </c>
      <c r="I290" s="54">
        <f>IF(H290:H1289&lt;45, "Adult", IF(H290:H1289&lt;60, "Middle Age", IF(H290:H1289&lt;70, "Old", "Very Old")))</f>
      </c>
      <c r="J290" s="55">
        <v>44030</v>
      </c>
      <c r="K290" s="56">
        <v>148485</v>
      </c>
      <c r="L290" s="54">
        <f>IF(K290:K1289&lt;50000,"0-50",IF(K290:K1289&lt;100001,"51-100",IF(K290:K1289&lt;150001,"101-150",IF(K290:K1289&lt;200001,"151-200",IF(K290:K1289&lt;250001,"201-250","above 250")))))</f>
      </c>
      <c r="M290" s="57">
        <v>0.15</v>
      </c>
      <c r="N290" s="45" t="s">
        <v>15</v>
      </c>
      <c r="O290" s="45" t="s">
        <v>59</v>
      </c>
      <c r="P290" s="51"/>
      <c r="Q290" s="52">
        <f>IF(ISBLANK(P290:P1289), "", DATEDIF(J290:J1289, P290:P1289, "Y"))</f>
      </c>
    </row>
    <row x14ac:dyDescent="0.25" r="291" customHeight="1" ht="15.75">
      <c r="A291" s="45" t="s">
        <v>1384</v>
      </c>
      <c r="B291" s="45" t="s">
        <v>945</v>
      </c>
      <c r="C291" s="45" t="s">
        <v>138</v>
      </c>
      <c r="D291" s="45" t="s">
        <v>32</v>
      </c>
      <c r="E291" s="45" t="s">
        <v>1094</v>
      </c>
      <c r="F291" s="45" t="s">
        <v>7</v>
      </c>
      <c r="G291" s="45" t="s">
        <v>8</v>
      </c>
      <c r="H291" s="53">
        <v>58</v>
      </c>
      <c r="I291" s="54">
        <f>IF(H291:H1290&lt;45, "Adult", IF(H291:H1290&lt;60, "Middle Age", IF(H291:H1290&lt;70, "Old", "Very Old")))</f>
      </c>
      <c r="J291" s="55">
        <v>38521</v>
      </c>
      <c r="K291" s="56">
        <v>86089</v>
      </c>
      <c r="L291" s="54">
        <f>IF(K291:K1290&lt;50000,"0-50",IF(K291:K1290&lt;100001,"51-100",IF(K291:K1290&lt;150001,"101-150",IF(K291:K1290&lt;200001,"151-200",IF(K291:K1290&lt;250001,"201-250","above 250")))))</f>
      </c>
      <c r="M291" s="57">
        <v>0</v>
      </c>
      <c r="N291" s="45" t="s">
        <v>15</v>
      </c>
      <c r="O291" s="45" t="s">
        <v>51</v>
      </c>
      <c r="P291" s="51"/>
      <c r="Q291" s="52">
        <f>IF(ISBLANK(P291:P1290), "", DATEDIF(J291:J1290, P291:P1290, "Y"))</f>
      </c>
    </row>
    <row x14ac:dyDescent="0.25" r="292" customHeight="1" ht="15.75">
      <c r="A292" s="45" t="s">
        <v>1385</v>
      </c>
      <c r="B292" s="45" t="s">
        <v>834</v>
      </c>
      <c r="C292" s="45" t="s">
        <v>98</v>
      </c>
      <c r="D292" s="45" t="s">
        <v>26</v>
      </c>
      <c r="E292" s="45" t="s">
        <v>1092</v>
      </c>
      <c r="F292" s="45" t="s">
        <v>10</v>
      </c>
      <c r="G292" s="45" t="s">
        <v>17</v>
      </c>
      <c r="H292" s="53">
        <v>54</v>
      </c>
      <c r="I292" s="54">
        <f>IF(H292:H1291&lt;45, "Adult", IF(H292:H1291&lt;60, "Middle Age", IF(H292:H1291&lt;70, "Old", "Very Old")))</f>
      </c>
      <c r="J292" s="55">
        <v>39382</v>
      </c>
      <c r="K292" s="56">
        <v>106313</v>
      </c>
      <c r="L292" s="54">
        <f>IF(K292:K1291&lt;50000,"0-50",IF(K292:K1291&lt;100001,"51-100",IF(K292:K1291&lt;150001,"101-150",IF(K292:K1291&lt;200001,"151-200",IF(K292:K1291&lt;250001,"201-250","above 250")))))</f>
      </c>
      <c r="M292" s="57">
        <v>0.15</v>
      </c>
      <c r="N292" s="45" t="s">
        <v>15</v>
      </c>
      <c r="O292" s="45" t="s">
        <v>51</v>
      </c>
      <c r="P292" s="51"/>
      <c r="Q292" s="52">
        <f>IF(ISBLANK(P292:P1291), "", DATEDIF(J292:J1291, P292:P1291, "Y"))</f>
      </c>
    </row>
    <row x14ac:dyDescent="0.25" r="293" customHeight="1" ht="15.75">
      <c r="A293" s="45" t="s">
        <v>1386</v>
      </c>
      <c r="B293" s="45" t="s">
        <v>445</v>
      </c>
      <c r="C293" s="45" t="s">
        <v>80</v>
      </c>
      <c r="D293" s="45" t="s">
        <v>34</v>
      </c>
      <c r="E293" s="45" t="s">
        <v>1092</v>
      </c>
      <c r="F293" s="45" t="s">
        <v>7</v>
      </c>
      <c r="G293" s="45" t="s">
        <v>8</v>
      </c>
      <c r="H293" s="53">
        <v>40</v>
      </c>
      <c r="I293" s="54">
        <f>IF(H293:H1292&lt;45, "Adult", IF(H293:H1292&lt;60, "Middle Age", IF(H293:H1292&lt;70, "Old", "Very Old")))</f>
      </c>
      <c r="J293" s="55">
        <v>44251</v>
      </c>
      <c r="K293" s="56">
        <v>46833</v>
      </c>
      <c r="L293" s="54">
        <f>IF(K293:K1292&lt;50000,"0-50",IF(K293:K1292&lt;100001,"51-100",IF(K293:K1292&lt;150001,"101-150",IF(K293:K1292&lt;200001,"151-200",IF(K293:K1292&lt;250001,"201-250","above 250")))))</f>
      </c>
      <c r="M293" s="57">
        <v>0</v>
      </c>
      <c r="N293" s="45" t="s">
        <v>12</v>
      </c>
      <c r="O293" s="45" t="s">
        <v>49</v>
      </c>
      <c r="P293" s="58">
        <v>44510</v>
      </c>
      <c r="Q293" s="53">
        <f>IF(ISBLANK(P293:P1292), "", DATEDIF(J293:J1292, P293:P1292, "Y"))</f>
      </c>
    </row>
    <row x14ac:dyDescent="0.25" r="294" customHeight="1" ht="15.75">
      <c r="A294" s="45" t="s">
        <v>1387</v>
      </c>
      <c r="B294" s="45" t="s">
        <v>1029</v>
      </c>
      <c r="C294" s="45" t="s">
        <v>96</v>
      </c>
      <c r="D294" s="45" t="s">
        <v>28</v>
      </c>
      <c r="E294" s="45" t="s">
        <v>1092</v>
      </c>
      <c r="F294" s="45" t="s">
        <v>7</v>
      </c>
      <c r="G294" s="45" t="s">
        <v>8</v>
      </c>
      <c r="H294" s="53">
        <v>63</v>
      </c>
      <c r="I294" s="54">
        <f>IF(H294:H1293&lt;45, "Adult", IF(H294:H1293&lt;60, "Middle Age", IF(H294:H1293&lt;70, "Old", "Very Old")))</f>
      </c>
      <c r="J294" s="55">
        <v>36826</v>
      </c>
      <c r="K294" s="56">
        <v>155320</v>
      </c>
      <c r="L294" s="54">
        <f>IF(K294:K1293&lt;50000,"0-50",IF(K294:K1293&lt;100001,"51-100",IF(K294:K1293&lt;150001,"101-150",IF(K294:K1293&lt;200001,"151-200",IF(K294:K1293&lt;250001,"201-250","above 250")))))</f>
      </c>
      <c r="M294" s="57">
        <v>0.17</v>
      </c>
      <c r="N294" s="45" t="s">
        <v>12</v>
      </c>
      <c r="O294" s="45" t="s">
        <v>53</v>
      </c>
      <c r="P294" s="51"/>
      <c r="Q294" s="52">
        <f>IF(ISBLANK(P294:P1293), "", DATEDIF(J294:J1293, P294:P1293, "Y"))</f>
      </c>
    </row>
    <row x14ac:dyDescent="0.25" r="295" customHeight="1" ht="15.75">
      <c r="A295" s="45" t="s">
        <v>1388</v>
      </c>
      <c r="B295" s="45" t="s">
        <v>448</v>
      </c>
      <c r="C295" s="45" t="s">
        <v>128</v>
      </c>
      <c r="D295" s="45" t="s">
        <v>24</v>
      </c>
      <c r="E295" s="45" t="s">
        <v>1094</v>
      </c>
      <c r="F295" s="45" t="s">
        <v>10</v>
      </c>
      <c r="G295" s="45" t="s">
        <v>8</v>
      </c>
      <c r="H295" s="53">
        <v>40</v>
      </c>
      <c r="I295" s="54">
        <f>IF(H295:H1294&lt;45, "Adult", IF(H295:H1294&lt;60, "Middle Age", IF(H295:H1294&lt;70, "Old", "Very Old")))</f>
      </c>
      <c r="J295" s="55">
        <v>42384</v>
      </c>
      <c r="K295" s="56">
        <v>89984</v>
      </c>
      <c r="L295" s="54">
        <f>IF(K295:K1294&lt;50000,"0-50",IF(K295:K1294&lt;100001,"51-100",IF(K295:K1294&lt;150001,"101-150",IF(K295:K1294&lt;200001,"151-200",IF(K295:K1294&lt;250001,"201-250","above 250")))))</f>
      </c>
      <c r="M295" s="57">
        <v>0</v>
      </c>
      <c r="N295" s="45" t="s">
        <v>12</v>
      </c>
      <c r="O295" s="45" t="s">
        <v>49</v>
      </c>
      <c r="P295" s="51"/>
      <c r="Q295" s="52">
        <f>IF(ISBLANK(P295:P1294), "", DATEDIF(J295:J1294, P295:P1294, "Y"))</f>
      </c>
    </row>
    <row x14ac:dyDescent="0.25" r="296" customHeight="1" ht="15.75">
      <c r="A296" s="45" t="s">
        <v>1389</v>
      </c>
      <c r="B296" s="45" t="s">
        <v>1074</v>
      </c>
      <c r="C296" s="45" t="s">
        <v>98</v>
      </c>
      <c r="D296" s="45" t="s">
        <v>26</v>
      </c>
      <c r="E296" s="45" t="s">
        <v>1096</v>
      </c>
      <c r="F296" s="45" t="s">
        <v>7</v>
      </c>
      <c r="G296" s="45" t="s">
        <v>8</v>
      </c>
      <c r="H296" s="53">
        <v>65</v>
      </c>
      <c r="I296" s="54">
        <f>IF(H296:H1295&lt;45, "Adult", IF(H296:H1295&lt;60, "Middle Age", IF(H296:H1295&lt;70, "Old", "Very Old")))</f>
      </c>
      <c r="J296" s="55">
        <v>38792</v>
      </c>
      <c r="K296" s="56">
        <v>83756</v>
      </c>
      <c r="L296" s="54">
        <f>IF(K296:K1295&lt;50000,"0-50",IF(K296:K1295&lt;100001,"51-100",IF(K296:K1295&lt;150001,"101-150",IF(K296:K1295&lt;200001,"151-200",IF(K296:K1295&lt;250001,"201-250","above 250")))))</f>
      </c>
      <c r="M296" s="57">
        <v>0.14</v>
      </c>
      <c r="N296" s="45" t="s">
        <v>12</v>
      </c>
      <c r="O296" s="45" t="s">
        <v>69</v>
      </c>
      <c r="P296" s="51"/>
      <c r="Q296" s="52">
        <f>IF(ISBLANK(P296:P1295), "", DATEDIF(J296:J1295, P296:P1295, "Y"))</f>
      </c>
    </row>
    <row x14ac:dyDescent="0.25" r="297" customHeight="1" ht="15.75">
      <c r="A297" s="45" t="s">
        <v>1390</v>
      </c>
      <c r="B297" s="45" t="s">
        <v>920</v>
      </c>
      <c r="C297" s="45" t="s">
        <v>96</v>
      </c>
      <c r="D297" s="45" t="s">
        <v>30</v>
      </c>
      <c r="E297" s="45" t="s">
        <v>1100</v>
      </c>
      <c r="F297" s="45" t="s">
        <v>7</v>
      </c>
      <c r="G297" s="45" t="s">
        <v>8</v>
      </c>
      <c r="H297" s="53">
        <v>57</v>
      </c>
      <c r="I297" s="54">
        <f>IF(H297:H1296&lt;45, "Adult", IF(H297:H1296&lt;60, "Middle Age", IF(H297:H1296&lt;70, "Old", "Very Old")))</f>
      </c>
      <c r="J297" s="55">
        <v>42667</v>
      </c>
      <c r="K297" s="56">
        <v>176324</v>
      </c>
      <c r="L297" s="54">
        <f>IF(K297:K1296&lt;50000,"0-50",IF(K297:K1296&lt;100001,"51-100",IF(K297:K1296&lt;150001,"101-150",IF(K297:K1296&lt;200001,"151-200",IF(K297:K1296&lt;250001,"201-250","above 250")))))</f>
      </c>
      <c r="M297" s="57">
        <v>0.23</v>
      </c>
      <c r="N297" s="45" t="s">
        <v>12</v>
      </c>
      <c r="O297" s="45" t="s">
        <v>69</v>
      </c>
      <c r="P297" s="51"/>
      <c r="Q297" s="52">
        <f>IF(ISBLANK(P297:P1296), "", DATEDIF(J297:J1296, P297:P1296, "Y"))</f>
      </c>
    </row>
    <row x14ac:dyDescent="0.25" r="298" customHeight="1" ht="15.75">
      <c r="A298" s="45" t="s">
        <v>1391</v>
      </c>
      <c r="B298" s="45" t="s">
        <v>137</v>
      </c>
      <c r="C298" s="45" t="s">
        <v>128</v>
      </c>
      <c r="D298" s="45" t="s">
        <v>24</v>
      </c>
      <c r="E298" s="45" t="s">
        <v>1096</v>
      </c>
      <c r="F298" s="45" t="s">
        <v>10</v>
      </c>
      <c r="G298" s="45" t="s">
        <v>14</v>
      </c>
      <c r="H298" s="53">
        <v>27</v>
      </c>
      <c r="I298" s="54">
        <f>IF(H298:H1297&lt;45, "Adult", IF(H298:H1297&lt;60, "Middle Age", IF(H298:H1297&lt;70, "Old", "Very Old")))</f>
      </c>
      <c r="J298" s="55">
        <v>44482</v>
      </c>
      <c r="K298" s="56">
        <v>74077</v>
      </c>
      <c r="L298" s="54">
        <f>IF(K298:K1297&lt;50000,"0-50",IF(K298:K1297&lt;100001,"51-100",IF(K298:K1297&lt;150001,"101-150",IF(K298:K1297&lt;200001,"151-200",IF(K298:K1297&lt;250001,"201-250","above 250")))))</f>
      </c>
      <c r="M298" s="57">
        <v>0</v>
      </c>
      <c r="N298" s="45" t="s">
        <v>15</v>
      </c>
      <c r="O298" s="45" t="s">
        <v>67</v>
      </c>
      <c r="P298" s="51"/>
      <c r="Q298" s="52">
        <f>IF(ISBLANK(P298:P1297), "", DATEDIF(J298:J1297, P298:P1297, "Y"))</f>
      </c>
    </row>
    <row x14ac:dyDescent="0.25" r="299" customHeight="1" ht="15.75">
      <c r="A299" s="45" t="s">
        <v>1392</v>
      </c>
      <c r="B299" s="45" t="s">
        <v>243</v>
      </c>
      <c r="C299" s="45" t="s">
        <v>110</v>
      </c>
      <c r="D299" s="45" t="s">
        <v>30</v>
      </c>
      <c r="E299" s="45" t="s">
        <v>1094</v>
      </c>
      <c r="F299" s="45" t="s">
        <v>7</v>
      </c>
      <c r="G299" s="45" t="s">
        <v>14</v>
      </c>
      <c r="H299" s="53">
        <v>31</v>
      </c>
      <c r="I299" s="54">
        <f>IF(H299:H1298&lt;45, "Adult", IF(H299:H1298&lt;60, "Middle Age", IF(H299:H1298&lt;70, "Old", "Very Old")))</f>
      </c>
      <c r="J299" s="55">
        <v>44214</v>
      </c>
      <c r="K299" s="56">
        <v>104162</v>
      </c>
      <c r="L299" s="54">
        <f>IF(K299:K1298&lt;50000,"0-50",IF(K299:K1298&lt;100001,"51-100",IF(K299:K1298&lt;150001,"101-150",IF(K299:K1298&lt;200001,"151-200",IF(K299:K1298&lt;250001,"201-250","above 250")))))</f>
      </c>
      <c r="M299" s="57">
        <v>0.07</v>
      </c>
      <c r="N299" s="45" t="s">
        <v>15</v>
      </c>
      <c r="O299" s="45" t="s">
        <v>42</v>
      </c>
      <c r="P299" s="51"/>
      <c r="Q299" s="52">
        <f>IF(ISBLANK(P299:P1298), "", DATEDIF(J299:J1298, P299:P1298, "Y"))</f>
      </c>
    </row>
    <row x14ac:dyDescent="0.25" r="300" customHeight="1" ht="15.75">
      <c r="A300" s="45" t="s">
        <v>1393</v>
      </c>
      <c r="B300" s="45" t="s">
        <v>571</v>
      </c>
      <c r="C300" s="45" t="s">
        <v>108</v>
      </c>
      <c r="D300" s="45" t="s">
        <v>32</v>
      </c>
      <c r="E300" s="45" t="s">
        <v>1100</v>
      </c>
      <c r="F300" s="45" t="s">
        <v>7</v>
      </c>
      <c r="G300" s="45" t="s">
        <v>8</v>
      </c>
      <c r="H300" s="53">
        <v>45</v>
      </c>
      <c r="I300" s="54">
        <f>IF(H300:H1299&lt;45, "Adult", IF(H300:H1299&lt;60, "Middle Age", IF(H300:H1299&lt;70, "Old", "Very Old")))</f>
      </c>
      <c r="J300" s="55">
        <v>40418</v>
      </c>
      <c r="K300" s="56">
        <v>82162</v>
      </c>
      <c r="L300" s="54">
        <f>IF(K300:K1299&lt;50000,"0-50",IF(K300:K1299&lt;100001,"51-100",IF(K300:K1299&lt;150001,"101-150",IF(K300:K1299&lt;200001,"151-200",IF(K300:K1299&lt;250001,"201-250","above 250")))))</f>
      </c>
      <c r="M300" s="57">
        <v>0</v>
      </c>
      <c r="N300" s="45" t="s">
        <v>12</v>
      </c>
      <c r="O300" s="45" t="s">
        <v>47</v>
      </c>
      <c r="P300" s="58">
        <v>44107</v>
      </c>
      <c r="Q300" s="53">
        <f>IF(ISBLANK(P300:P1299), "", DATEDIF(J300:J1299, P300:P1299, "Y"))</f>
      </c>
    </row>
    <row x14ac:dyDescent="0.25" r="301" customHeight="1" ht="15.75">
      <c r="A301" s="45" t="s">
        <v>1394</v>
      </c>
      <c r="B301" s="45" t="s">
        <v>660</v>
      </c>
      <c r="C301" s="45" t="s">
        <v>78</v>
      </c>
      <c r="D301" s="45" t="s">
        <v>36</v>
      </c>
      <c r="E301" s="45" t="s">
        <v>1096</v>
      </c>
      <c r="F301" s="45" t="s">
        <v>7</v>
      </c>
      <c r="G301" s="45" t="s">
        <v>8</v>
      </c>
      <c r="H301" s="53">
        <v>47</v>
      </c>
      <c r="I301" s="54">
        <f>IF(H301:H1300&lt;45, "Adult", IF(H301:H1300&lt;60, "Middle Age", IF(H301:H1300&lt;70, "Old", "Very Old")))</f>
      </c>
      <c r="J301" s="55">
        <v>42195</v>
      </c>
      <c r="K301" s="56">
        <v>63880</v>
      </c>
      <c r="L301" s="54">
        <f>IF(K301:K1300&lt;50000,"0-50",IF(K301:K1300&lt;100001,"51-100",IF(K301:K1300&lt;150001,"101-150",IF(K301:K1300&lt;200001,"151-200",IF(K301:K1300&lt;250001,"201-250","above 250")))))</f>
      </c>
      <c r="M301" s="57">
        <v>0</v>
      </c>
      <c r="N301" s="45" t="s">
        <v>12</v>
      </c>
      <c r="O301" s="45" t="s">
        <v>53</v>
      </c>
      <c r="P301" s="51"/>
      <c r="Q301" s="52">
        <f>IF(ISBLANK(P301:P1300), "", DATEDIF(J301:J1300, P301:P1300, "Y"))</f>
      </c>
    </row>
    <row x14ac:dyDescent="0.25" r="302" customHeight="1" ht="15.75">
      <c r="A302" s="45" t="s">
        <v>1395</v>
      </c>
      <c r="B302" s="45" t="s">
        <v>859</v>
      </c>
      <c r="C302" s="45" t="s">
        <v>140</v>
      </c>
      <c r="D302" s="45" t="s">
        <v>26</v>
      </c>
      <c r="E302" s="45" t="s">
        <v>1092</v>
      </c>
      <c r="F302" s="45" t="s">
        <v>7</v>
      </c>
      <c r="G302" s="45" t="s">
        <v>8</v>
      </c>
      <c r="H302" s="53">
        <v>55</v>
      </c>
      <c r="I302" s="54">
        <f>IF(H302:H1301&lt;45, "Adult", IF(H302:H1301&lt;60, "Middle Age", IF(H302:H1301&lt;70, "Old", "Very Old")))</f>
      </c>
      <c r="J302" s="55">
        <v>41525</v>
      </c>
      <c r="K302" s="56">
        <v>73248</v>
      </c>
      <c r="L302" s="54">
        <f>IF(K302:K1301&lt;50000,"0-50",IF(K302:K1301&lt;100001,"51-100",IF(K302:K1301&lt;150001,"101-150",IF(K302:K1301&lt;200001,"151-200",IF(K302:K1301&lt;250001,"201-250","above 250")))))</f>
      </c>
      <c r="M302" s="57">
        <v>0</v>
      </c>
      <c r="N302" s="45" t="s">
        <v>15</v>
      </c>
      <c r="O302" s="45" t="s">
        <v>55</v>
      </c>
      <c r="P302" s="51"/>
      <c r="Q302" s="52">
        <f>IF(ISBLANK(P302:P1301), "", DATEDIF(J302:J1301, P302:P1301, "Y"))</f>
      </c>
    </row>
    <row x14ac:dyDescent="0.25" r="303" customHeight="1" ht="15.75">
      <c r="A303" s="45" t="s">
        <v>1396</v>
      </c>
      <c r="B303" s="45" t="s">
        <v>761</v>
      </c>
      <c r="C303" s="45" t="s">
        <v>128</v>
      </c>
      <c r="D303" s="45" t="s">
        <v>24</v>
      </c>
      <c r="E303" s="45" t="s">
        <v>1094</v>
      </c>
      <c r="F303" s="45" t="s">
        <v>10</v>
      </c>
      <c r="G303" s="45" t="s">
        <v>11</v>
      </c>
      <c r="H303" s="53">
        <v>51</v>
      </c>
      <c r="I303" s="54">
        <f>IF(H303:H1302&lt;45, "Adult", IF(H303:H1302&lt;60, "Middle Age", IF(H303:H1302&lt;70, "Old", "Very Old")))</f>
      </c>
      <c r="J303" s="55">
        <v>44113</v>
      </c>
      <c r="K303" s="56">
        <v>91853</v>
      </c>
      <c r="L303" s="54">
        <f>IF(K303:K1302&lt;50000,"0-50",IF(K303:K1302&lt;100001,"51-100",IF(K303:K1302&lt;150001,"101-150",IF(K303:K1302&lt;200001,"151-200",IF(K303:K1302&lt;250001,"201-250","above 250")))))</f>
      </c>
      <c r="M303" s="57">
        <v>0</v>
      </c>
      <c r="N303" s="45" t="s">
        <v>15</v>
      </c>
      <c r="O303" s="45" t="s">
        <v>51</v>
      </c>
      <c r="P303" s="51"/>
      <c r="Q303" s="52">
        <f>IF(ISBLANK(P303:P1302), "", DATEDIF(J303:J1302, P303:P1302, "Y"))</f>
      </c>
    </row>
    <row x14ac:dyDescent="0.25" r="304" customHeight="1" ht="15.75">
      <c r="A304" s="45" t="s">
        <v>1397</v>
      </c>
      <c r="B304" s="45" t="s">
        <v>52</v>
      </c>
      <c r="C304" s="45" t="s">
        <v>96</v>
      </c>
      <c r="D304" s="45" t="s">
        <v>28</v>
      </c>
      <c r="E304" s="45" t="s">
        <v>1096</v>
      </c>
      <c r="F304" s="45" t="s">
        <v>10</v>
      </c>
      <c r="G304" s="45" t="s">
        <v>14</v>
      </c>
      <c r="H304" s="53">
        <v>25</v>
      </c>
      <c r="I304" s="54">
        <f>IF(H304:H1303&lt;45, "Adult", IF(H304:H1303&lt;60, "Middle Age", IF(H304:H1303&lt;70, "Old", "Very Old")))</f>
      </c>
      <c r="J304" s="55">
        <v>43844</v>
      </c>
      <c r="K304" s="56">
        <v>168014</v>
      </c>
      <c r="L304" s="54">
        <f>IF(K304:K1303&lt;50000,"0-50",IF(K304:K1303&lt;100001,"51-100",IF(K304:K1303&lt;150001,"101-150",IF(K304:K1303&lt;200001,"151-200",IF(K304:K1303&lt;250001,"201-250","above 250")))))</f>
      </c>
      <c r="M304" s="57">
        <v>0.27</v>
      </c>
      <c r="N304" s="45" t="s">
        <v>15</v>
      </c>
      <c r="O304" s="45" t="s">
        <v>51</v>
      </c>
      <c r="P304" s="58">
        <v>44404</v>
      </c>
      <c r="Q304" s="53">
        <f>IF(ISBLANK(P304:P1303), "", DATEDIF(J304:J1303, P304:P1303, "Y"))</f>
      </c>
    </row>
    <row x14ac:dyDescent="0.25" r="305" customHeight="1" ht="15.75">
      <c r="A305" s="45" t="s">
        <v>1398</v>
      </c>
      <c r="B305" s="45" t="s">
        <v>388</v>
      </c>
      <c r="C305" s="45" t="s">
        <v>94</v>
      </c>
      <c r="D305" s="45" t="s">
        <v>26</v>
      </c>
      <c r="E305" s="45" t="s">
        <v>1100</v>
      </c>
      <c r="F305" s="45" t="s">
        <v>7</v>
      </c>
      <c r="G305" s="45" t="s">
        <v>14</v>
      </c>
      <c r="H305" s="53">
        <v>37</v>
      </c>
      <c r="I305" s="54">
        <f>IF(H305:H1304&lt;45, "Adult", IF(H305:H1304&lt;60, "Middle Age", IF(H305:H1304&lt;70, "Old", "Very Old")))</f>
      </c>
      <c r="J305" s="55">
        <v>42995</v>
      </c>
      <c r="K305" s="56">
        <v>70770</v>
      </c>
      <c r="L305" s="54">
        <f>IF(K305:K1304&lt;50000,"0-50",IF(K305:K1304&lt;100001,"51-100",IF(K305:K1304&lt;150001,"101-150",IF(K305:K1304&lt;200001,"151-200",IF(K305:K1304&lt;250001,"201-250","above 250")))))</f>
      </c>
      <c r="M305" s="57">
        <v>0</v>
      </c>
      <c r="N305" s="45" t="s">
        <v>15</v>
      </c>
      <c r="O305" s="45" t="s">
        <v>59</v>
      </c>
      <c r="P305" s="51"/>
      <c r="Q305" s="52">
        <f>IF(ISBLANK(P305:P1304), "", DATEDIF(J305:J1304, P305:P1304, "Y"))</f>
      </c>
    </row>
    <row x14ac:dyDescent="0.25" r="306" customHeight="1" ht="15.75">
      <c r="A306" s="45" t="s">
        <v>1399</v>
      </c>
      <c r="B306" s="45" t="s">
        <v>1016</v>
      </c>
      <c r="C306" s="45" t="s">
        <v>104</v>
      </c>
      <c r="D306" s="45" t="s">
        <v>30</v>
      </c>
      <c r="E306" s="45" t="s">
        <v>1100</v>
      </c>
      <c r="F306" s="45" t="s">
        <v>10</v>
      </c>
      <c r="G306" s="45" t="s">
        <v>14</v>
      </c>
      <c r="H306" s="53">
        <v>62</v>
      </c>
      <c r="I306" s="54">
        <f>IF(H306:H1305&lt;45, "Adult", IF(H306:H1305&lt;60, "Middle Age", IF(H306:H1305&lt;70, "Old", "Very Old")))</f>
      </c>
      <c r="J306" s="55">
        <v>38271</v>
      </c>
      <c r="K306" s="56">
        <v>50825</v>
      </c>
      <c r="L306" s="54">
        <f>IF(K306:K1305&lt;50000,"0-50",IF(K306:K1305&lt;100001,"51-100",IF(K306:K1305&lt;150001,"101-150",IF(K306:K1305&lt;200001,"151-200",IF(K306:K1305&lt;250001,"201-250","above 250")))))</f>
      </c>
      <c r="M306" s="57">
        <v>0</v>
      </c>
      <c r="N306" s="45" t="s">
        <v>15</v>
      </c>
      <c r="O306" s="45" t="s">
        <v>67</v>
      </c>
      <c r="P306" s="51"/>
      <c r="Q306" s="52">
        <f>IF(ISBLANK(P306:P1305), "", DATEDIF(J306:J1305, P306:P1305, "Y"))</f>
      </c>
    </row>
    <row x14ac:dyDescent="0.25" r="307" customHeight="1" ht="15.75">
      <c r="A307" s="45" t="s">
        <v>1400</v>
      </c>
      <c r="B307" s="45" t="s">
        <v>245</v>
      </c>
      <c r="C307" s="45" t="s">
        <v>132</v>
      </c>
      <c r="D307" s="45" t="s">
        <v>28</v>
      </c>
      <c r="E307" s="45" t="s">
        <v>1092</v>
      </c>
      <c r="F307" s="45" t="s">
        <v>10</v>
      </c>
      <c r="G307" s="45" t="s">
        <v>17</v>
      </c>
      <c r="H307" s="53">
        <v>31</v>
      </c>
      <c r="I307" s="54">
        <f>IF(H307:H1306&lt;45, "Adult", IF(H307:H1306&lt;60, "Middle Age", IF(H307:H1306&lt;70, "Old", "Very Old")))</f>
      </c>
      <c r="J307" s="55">
        <v>42266</v>
      </c>
      <c r="K307" s="56">
        <v>145846</v>
      </c>
      <c r="L307" s="54">
        <f>IF(K307:K1306&lt;50000,"0-50",IF(K307:K1306&lt;100001,"51-100",IF(K307:K1306&lt;150001,"101-150",IF(K307:K1306&lt;200001,"151-200",IF(K307:K1306&lt;250001,"201-250","above 250")))))</f>
      </c>
      <c r="M307" s="57">
        <v>0.15</v>
      </c>
      <c r="N307" s="45" t="s">
        <v>9</v>
      </c>
      <c r="O307" s="45" t="s">
        <v>57</v>
      </c>
      <c r="P307" s="51"/>
      <c r="Q307" s="52">
        <f>IF(ISBLANK(P307:P1306), "", DATEDIF(J307:J1306, P307:P1306, "Y"))</f>
      </c>
    </row>
    <row x14ac:dyDescent="0.25" r="308" customHeight="1" ht="15.75">
      <c r="A308" s="45" t="s">
        <v>1401</v>
      </c>
      <c r="B308" s="45" t="s">
        <v>1048</v>
      </c>
      <c r="C308" s="45" t="s">
        <v>132</v>
      </c>
      <c r="D308" s="45" t="s">
        <v>30</v>
      </c>
      <c r="E308" s="45" t="s">
        <v>1092</v>
      </c>
      <c r="F308" s="45" t="s">
        <v>7</v>
      </c>
      <c r="G308" s="45" t="s">
        <v>8</v>
      </c>
      <c r="H308" s="53">
        <v>64</v>
      </c>
      <c r="I308" s="54">
        <f>IF(H308:H1307&lt;45, "Adult", IF(H308:H1307&lt;60, "Middle Age", IF(H308:H1307&lt;70, "Old", "Very Old")))</f>
      </c>
      <c r="J308" s="55">
        <v>37962</v>
      </c>
      <c r="K308" s="56">
        <v>125807</v>
      </c>
      <c r="L308" s="54">
        <f>IF(K308:K1307&lt;50000,"0-50",IF(K308:K1307&lt;100001,"51-100",IF(K308:K1307&lt;150001,"101-150",IF(K308:K1307&lt;200001,"151-200",IF(K308:K1307&lt;250001,"201-250","above 250")))))</f>
      </c>
      <c r="M308" s="57">
        <v>0.15</v>
      </c>
      <c r="N308" s="45" t="s">
        <v>15</v>
      </c>
      <c r="O308" s="45" t="s">
        <v>51</v>
      </c>
      <c r="P308" s="51"/>
      <c r="Q308" s="52">
        <f>IF(ISBLANK(P308:P1307), "", DATEDIF(J308:J1307, P308:P1307, "Y"))</f>
      </c>
    </row>
    <row x14ac:dyDescent="0.25" r="309" customHeight="1" ht="15.75">
      <c r="A309" s="45" t="s">
        <v>1402</v>
      </c>
      <c r="B309" s="45" t="s">
        <v>46</v>
      </c>
      <c r="C309" s="45" t="s">
        <v>80</v>
      </c>
      <c r="D309" s="45" t="s">
        <v>36</v>
      </c>
      <c r="E309" s="45" t="s">
        <v>1096</v>
      </c>
      <c r="F309" s="45" t="s">
        <v>10</v>
      </c>
      <c r="G309" s="45" t="s">
        <v>8</v>
      </c>
      <c r="H309" s="53">
        <v>25</v>
      </c>
      <c r="I309" s="54">
        <f>IF(H309:H1308&lt;45, "Adult", IF(H309:H1308&lt;60, "Middle Age", IF(H309:H1308&lt;70, "Old", "Very Old")))</f>
      </c>
      <c r="J309" s="55">
        <v>44405</v>
      </c>
      <c r="K309" s="56">
        <v>46845</v>
      </c>
      <c r="L309" s="54">
        <f>IF(K309:K1308&lt;50000,"0-50",IF(K309:K1308&lt;100001,"51-100",IF(K309:K1308&lt;150001,"101-150",IF(K309:K1308&lt;200001,"151-200",IF(K309:K1308&lt;250001,"201-250","above 250")))))</f>
      </c>
      <c r="M309" s="57">
        <v>0</v>
      </c>
      <c r="N309" s="45" t="s">
        <v>15</v>
      </c>
      <c r="O309" s="45" t="s">
        <v>59</v>
      </c>
      <c r="P309" s="51"/>
      <c r="Q309" s="52">
        <f>IF(ISBLANK(P309:P1308), "", DATEDIF(J309:J1308, P309:P1308, "Y"))</f>
      </c>
    </row>
    <row x14ac:dyDescent="0.25" r="310" customHeight="1" ht="15.75">
      <c r="A310" s="45" t="s">
        <v>1403</v>
      </c>
      <c r="B310" s="45" t="s">
        <v>957</v>
      </c>
      <c r="C310" s="45" t="s">
        <v>132</v>
      </c>
      <c r="D310" s="45" t="s">
        <v>34</v>
      </c>
      <c r="E310" s="45" t="s">
        <v>1100</v>
      </c>
      <c r="F310" s="45" t="s">
        <v>7</v>
      </c>
      <c r="G310" s="45" t="s">
        <v>8</v>
      </c>
      <c r="H310" s="53">
        <v>59</v>
      </c>
      <c r="I310" s="54">
        <f>IF(H310:H1309&lt;45, "Adult", IF(H310:H1309&lt;60, "Middle Age", IF(H310:H1309&lt;70, "Old", "Very Old")))</f>
      </c>
      <c r="J310" s="55">
        <v>39689</v>
      </c>
      <c r="K310" s="56">
        <v>157969</v>
      </c>
      <c r="L310" s="54">
        <f>IF(K310:K1309&lt;50000,"0-50",IF(K310:K1309&lt;100001,"51-100",IF(K310:K1309&lt;150001,"101-150",IF(K310:K1309&lt;200001,"151-200",IF(K310:K1309&lt;250001,"201-250","above 250")))))</f>
      </c>
      <c r="M310" s="57">
        <v>0.1</v>
      </c>
      <c r="N310" s="45" t="s">
        <v>12</v>
      </c>
      <c r="O310" s="45" t="s">
        <v>53</v>
      </c>
      <c r="P310" s="51"/>
      <c r="Q310" s="52">
        <f>IF(ISBLANK(P310:P1309), "", DATEDIF(J310:J1309, P310:P1309, "Y"))</f>
      </c>
    </row>
    <row x14ac:dyDescent="0.25" r="311" customHeight="1" ht="15.75">
      <c r="A311" s="45" t="s">
        <v>1404</v>
      </c>
      <c r="B311" s="45" t="s">
        <v>447</v>
      </c>
      <c r="C311" s="45" t="s">
        <v>124</v>
      </c>
      <c r="D311" s="45" t="s">
        <v>32</v>
      </c>
      <c r="E311" s="45" t="s">
        <v>1100</v>
      </c>
      <c r="F311" s="45" t="s">
        <v>7</v>
      </c>
      <c r="G311" s="45" t="s">
        <v>14</v>
      </c>
      <c r="H311" s="53">
        <v>40</v>
      </c>
      <c r="I311" s="54">
        <f>IF(H311:H1310&lt;45, "Adult", IF(H311:H1310&lt;60, "Middle Age", IF(H311:H1310&lt;70, "Old", "Very Old")))</f>
      </c>
      <c r="J311" s="55">
        <v>40522</v>
      </c>
      <c r="K311" s="56">
        <v>97807</v>
      </c>
      <c r="L311" s="54">
        <f>IF(K311:K1310&lt;50000,"0-50",IF(K311:K1310&lt;100001,"51-100",IF(K311:K1310&lt;150001,"101-150",IF(K311:K1310&lt;200001,"151-200",IF(K311:K1310&lt;250001,"201-250","above 250")))))</f>
      </c>
      <c r="M311" s="57">
        <v>0</v>
      </c>
      <c r="N311" s="45" t="s">
        <v>15</v>
      </c>
      <c r="O311" s="45" t="s">
        <v>51</v>
      </c>
      <c r="P311" s="51"/>
      <c r="Q311" s="52">
        <f>IF(ISBLANK(P311:P1310), "", DATEDIF(J311:J1310, P311:P1310, "Y"))</f>
      </c>
    </row>
    <row x14ac:dyDescent="0.25" r="312" customHeight="1" ht="15.75">
      <c r="A312" s="45" t="s">
        <v>1405</v>
      </c>
      <c r="B312" s="45" t="s">
        <v>242</v>
      </c>
      <c r="C312" s="45" t="s">
        <v>104</v>
      </c>
      <c r="D312" s="45" t="s">
        <v>30</v>
      </c>
      <c r="E312" s="45" t="s">
        <v>1094</v>
      </c>
      <c r="F312" s="45" t="s">
        <v>10</v>
      </c>
      <c r="G312" s="45" t="s">
        <v>17</v>
      </c>
      <c r="H312" s="53">
        <v>31</v>
      </c>
      <c r="I312" s="54">
        <f>IF(H312:H1311&lt;45, "Adult", IF(H312:H1311&lt;60, "Middle Age", IF(H312:H1311&lt;70, "Old", "Very Old")))</f>
      </c>
      <c r="J312" s="55">
        <v>42347</v>
      </c>
      <c r="K312" s="56">
        <v>73854</v>
      </c>
      <c r="L312" s="54">
        <f>IF(K312:K1311&lt;50000,"0-50",IF(K312:K1311&lt;100001,"51-100",IF(K312:K1311&lt;150001,"101-150",IF(K312:K1311&lt;200001,"151-200",IF(K312:K1311&lt;250001,"201-250","above 250")))))</f>
      </c>
      <c r="M312" s="57">
        <v>0</v>
      </c>
      <c r="N312" s="45" t="s">
        <v>15</v>
      </c>
      <c r="O312" s="45" t="s">
        <v>67</v>
      </c>
      <c r="P312" s="51"/>
      <c r="Q312" s="52">
        <f>IF(ISBLANK(P312:P1311), "", DATEDIF(J312:J1311, P312:P1311, "Y"))</f>
      </c>
    </row>
    <row x14ac:dyDescent="0.25" r="313" customHeight="1" ht="15.75">
      <c r="A313" s="45" t="s">
        <v>1406</v>
      </c>
      <c r="B313" s="45" t="s">
        <v>575</v>
      </c>
      <c r="C313" s="45" t="s">
        <v>132</v>
      </c>
      <c r="D313" s="45" t="s">
        <v>24</v>
      </c>
      <c r="E313" s="45" t="s">
        <v>1094</v>
      </c>
      <c r="F313" s="45" t="s">
        <v>10</v>
      </c>
      <c r="G313" s="45" t="s">
        <v>8</v>
      </c>
      <c r="H313" s="53">
        <v>45</v>
      </c>
      <c r="I313" s="54">
        <f>IF(H313:H1312&lt;45, "Adult", IF(H313:H1312&lt;60, "Middle Age", IF(H313:H1312&lt;70, "Old", "Very Old")))</f>
      </c>
      <c r="J313" s="55">
        <v>39063</v>
      </c>
      <c r="K313" s="56">
        <v>149537</v>
      </c>
      <c r="L313" s="54">
        <f>IF(K313:K1312&lt;50000,"0-50",IF(K313:K1312&lt;100001,"51-100",IF(K313:K1312&lt;150001,"101-150",IF(K313:K1312&lt;200001,"151-200",IF(K313:K1312&lt;250001,"201-250","above 250")))))</f>
      </c>
      <c r="M313" s="57">
        <v>0.14</v>
      </c>
      <c r="N313" s="45" t="s">
        <v>15</v>
      </c>
      <c r="O313" s="45" t="s">
        <v>67</v>
      </c>
      <c r="P313" s="51"/>
      <c r="Q313" s="52">
        <f>IF(ISBLANK(P313:P1312), "", DATEDIF(J313:J1312, P313:P1312, "Y"))</f>
      </c>
    </row>
    <row x14ac:dyDescent="0.25" r="314" customHeight="1" ht="15.75">
      <c r="A314" s="45" t="s">
        <v>1407</v>
      </c>
      <c r="B314" s="45" t="s">
        <v>719</v>
      </c>
      <c r="C314" s="45" t="s">
        <v>132</v>
      </c>
      <c r="D314" s="45" t="s">
        <v>36</v>
      </c>
      <c r="E314" s="45" t="s">
        <v>1094</v>
      </c>
      <c r="F314" s="45" t="s">
        <v>7</v>
      </c>
      <c r="G314" s="45" t="s">
        <v>14</v>
      </c>
      <c r="H314" s="53">
        <v>49</v>
      </c>
      <c r="I314" s="54">
        <f>IF(H314:H1313&lt;45, "Adult", IF(H314:H1313&lt;60, "Middle Age", IF(H314:H1313&lt;70, "Old", "Very Old")))</f>
      </c>
      <c r="J314" s="55">
        <v>41379</v>
      </c>
      <c r="K314" s="56">
        <v>128303</v>
      </c>
      <c r="L314" s="54">
        <f>IF(K314:K1313&lt;50000,"0-50",IF(K314:K1313&lt;100001,"51-100",IF(K314:K1313&lt;150001,"101-150",IF(K314:K1313&lt;200001,"151-200",IF(K314:K1313&lt;250001,"201-250","above 250")))))</f>
      </c>
      <c r="M314" s="57">
        <v>0.15</v>
      </c>
      <c r="N314" s="45" t="s">
        <v>15</v>
      </c>
      <c r="O314" s="45" t="s">
        <v>61</v>
      </c>
      <c r="P314" s="51"/>
      <c r="Q314" s="52">
        <f>IF(ISBLANK(P314:P1313), "", DATEDIF(J314:J1313, P314:P1313, "Y"))</f>
      </c>
    </row>
    <row x14ac:dyDescent="0.25" r="315" customHeight="1" ht="15.75">
      <c r="A315" s="45" t="s">
        <v>1408</v>
      </c>
      <c r="B315" s="45" t="s">
        <v>638</v>
      </c>
      <c r="C315" s="45" t="s">
        <v>114</v>
      </c>
      <c r="D315" s="45" t="s">
        <v>32</v>
      </c>
      <c r="E315" s="45" t="s">
        <v>1096</v>
      </c>
      <c r="F315" s="45" t="s">
        <v>10</v>
      </c>
      <c r="G315" s="45" t="s">
        <v>11</v>
      </c>
      <c r="H315" s="53">
        <v>46</v>
      </c>
      <c r="I315" s="54">
        <f>IF(H315:H1314&lt;45, "Adult", IF(H315:H1314&lt;60, "Middle Age", IF(H315:H1314&lt;70, "Old", "Very Old")))</f>
      </c>
      <c r="J315" s="55">
        <v>38513</v>
      </c>
      <c r="K315" s="56">
        <v>67374</v>
      </c>
      <c r="L315" s="54">
        <f>IF(K315:K1314&lt;50000,"0-50",IF(K315:K1314&lt;100001,"51-100",IF(K315:K1314&lt;150001,"101-150",IF(K315:K1314&lt;200001,"151-200",IF(K315:K1314&lt;250001,"201-250","above 250")))))</f>
      </c>
      <c r="M315" s="57">
        <v>0</v>
      </c>
      <c r="N315" s="45" t="s">
        <v>15</v>
      </c>
      <c r="O315" s="45" t="s">
        <v>42</v>
      </c>
      <c r="P315" s="51"/>
      <c r="Q315" s="52">
        <f>IF(ISBLANK(P315:P1314), "", DATEDIF(J315:J1314, P315:P1314, "Y"))</f>
      </c>
    </row>
    <row x14ac:dyDescent="0.25" r="316" customHeight="1" ht="15.75">
      <c r="A316" s="45" t="s">
        <v>1409</v>
      </c>
      <c r="B316" s="45" t="s">
        <v>640</v>
      </c>
      <c r="C316" s="45" t="s">
        <v>110</v>
      </c>
      <c r="D316" s="45" t="s">
        <v>30</v>
      </c>
      <c r="E316" s="45" t="s">
        <v>1100</v>
      </c>
      <c r="F316" s="45" t="s">
        <v>10</v>
      </c>
      <c r="G316" s="45" t="s">
        <v>17</v>
      </c>
      <c r="H316" s="53">
        <v>46</v>
      </c>
      <c r="I316" s="54">
        <f>IF(H316:H1315&lt;45, "Adult", IF(H316:H1315&lt;60, "Middle Age", IF(H316:H1315&lt;70, "Old", "Very Old")))</f>
      </c>
      <c r="J316" s="55">
        <v>40810</v>
      </c>
      <c r="K316" s="56">
        <v>102167</v>
      </c>
      <c r="L316" s="54">
        <f>IF(K316:K1315&lt;50000,"0-50",IF(K316:K1315&lt;100001,"51-100",IF(K316:K1315&lt;150001,"101-150",IF(K316:K1315&lt;200001,"151-200",IF(K316:K1315&lt;250001,"201-250","above 250")))))</f>
      </c>
      <c r="M316" s="57">
        <v>0.06</v>
      </c>
      <c r="N316" s="45" t="s">
        <v>9</v>
      </c>
      <c r="O316" s="45" t="s">
        <v>63</v>
      </c>
      <c r="P316" s="51"/>
      <c r="Q316" s="52">
        <f>IF(ISBLANK(P316:P1315), "", DATEDIF(J316:J1315, P316:P1315, "Y"))</f>
      </c>
    </row>
    <row x14ac:dyDescent="0.25" r="317" customHeight="1" ht="15.75">
      <c r="A317" s="45" t="s">
        <v>1410</v>
      </c>
      <c r="B317" s="45" t="s">
        <v>577</v>
      </c>
      <c r="C317" s="45" t="s">
        <v>132</v>
      </c>
      <c r="D317" s="45" t="s">
        <v>36</v>
      </c>
      <c r="E317" s="45" t="s">
        <v>1094</v>
      </c>
      <c r="F317" s="45" t="s">
        <v>10</v>
      </c>
      <c r="G317" s="45" t="s">
        <v>8</v>
      </c>
      <c r="H317" s="53">
        <v>45</v>
      </c>
      <c r="I317" s="54">
        <f>IF(H317:H1316&lt;45, "Adult", IF(H317:H1316&lt;60, "Middle Age", IF(H317:H1316&lt;70, "Old", "Very Old")))</f>
      </c>
      <c r="J317" s="55">
        <v>39332</v>
      </c>
      <c r="K317" s="56">
        <v>151027</v>
      </c>
      <c r="L317" s="54">
        <f>IF(K317:K1316&lt;50000,"0-50",IF(K317:K1316&lt;100001,"51-100",IF(K317:K1316&lt;150001,"101-150",IF(K317:K1316&lt;200001,"151-200",IF(K317:K1316&lt;250001,"201-250","above 250")))))</f>
      </c>
      <c r="M317" s="57">
        <v>0.1</v>
      </c>
      <c r="N317" s="45" t="s">
        <v>12</v>
      </c>
      <c r="O317" s="45" t="s">
        <v>69</v>
      </c>
      <c r="P317" s="51"/>
      <c r="Q317" s="52">
        <f>IF(ISBLANK(P317:P1316), "", DATEDIF(J317:J1316, P317:P1316, "Y"))</f>
      </c>
    </row>
    <row x14ac:dyDescent="0.25" r="318" customHeight="1" ht="15.75">
      <c r="A318" s="45" t="s">
        <v>1411</v>
      </c>
      <c r="B318" s="45" t="s">
        <v>449</v>
      </c>
      <c r="C318" s="45" t="s">
        <v>110</v>
      </c>
      <c r="D318" s="45" t="s">
        <v>24</v>
      </c>
      <c r="E318" s="45" t="s">
        <v>1096</v>
      </c>
      <c r="F318" s="45" t="s">
        <v>10</v>
      </c>
      <c r="G318" s="45" t="s">
        <v>8</v>
      </c>
      <c r="H318" s="53">
        <v>40</v>
      </c>
      <c r="I318" s="54">
        <f>IF(H318:H1317&lt;45, "Adult", IF(H318:H1317&lt;60, "Middle Age", IF(H318:H1317&lt;70, "Old", "Very Old")))</f>
      </c>
      <c r="J318" s="55">
        <v>43147</v>
      </c>
      <c r="K318" s="56">
        <v>120905</v>
      </c>
      <c r="L318" s="54">
        <f>IF(K318:K1317&lt;50000,"0-50",IF(K318:K1317&lt;100001,"51-100",IF(K318:K1317&lt;150001,"101-150",IF(K318:K1317&lt;200001,"151-200",IF(K318:K1317&lt;250001,"201-250","above 250")))))</f>
      </c>
      <c r="M318" s="57">
        <v>0.05</v>
      </c>
      <c r="N318" s="45" t="s">
        <v>15</v>
      </c>
      <c r="O318" s="45" t="s">
        <v>67</v>
      </c>
      <c r="P318" s="51"/>
      <c r="Q318" s="52">
        <f>IF(ISBLANK(P318:P1317), "", DATEDIF(J318:J1317, P318:P1317, "Y"))</f>
      </c>
    </row>
    <row x14ac:dyDescent="0.25" r="319" customHeight="1" ht="15.75">
      <c r="A319" s="45" t="s">
        <v>1412</v>
      </c>
      <c r="B319" s="45" t="s">
        <v>690</v>
      </c>
      <c r="C319" s="45" t="s">
        <v>142</v>
      </c>
      <c r="D319" s="45" t="s">
        <v>28</v>
      </c>
      <c r="E319" s="45" t="s">
        <v>1094</v>
      </c>
      <c r="F319" s="45" t="s">
        <v>7</v>
      </c>
      <c r="G319" s="45" t="s">
        <v>14</v>
      </c>
      <c r="H319" s="53">
        <v>48</v>
      </c>
      <c r="I319" s="54">
        <f>IF(H319:H1318&lt;45, "Adult", IF(H319:H1318&lt;60, "Middle Age", IF(H319:H1318&lt;70, "Old", "Very Old")))</f>
      </c>
      <c r="J319" s="55">
        <v>43253</v>
      </c>
      <c r="K319" s="56">
        <v>231567</v>
      </c>
      <c r="L319" s="54">
        <f>IF(K319:K1318&lt;50000,"0-50",IF(K319:K1318&lt;100001,"51-100",IF(K319:K1318&lt;150001,"101-150",IF(K319:K1318&lt;200001,"151-200",IF(K319:K1318&lt;250001,"201-250","above 250")))))</f>
      </c>
      <c r="M319" s="57">
        <v>0.36</v>
      </c>
      <c r="N319" s="45" t="s">
        <v>15</v>
      </c>
      <c r="O319" s="45" t="s">
        <v>67</v>
      </c>
      <c r="P319" s="51"/>
      <c r="Q319" s="52">
        <f>IF(ISBLANK(P319:P1318), "", DATEDIF(J319:J1318, P319:P1318, "Y"))</f>
      </c>
    </row>
    <row x14ac:dyDescent="0.25" r="320" customHeight="1" ht="15.75">
      <c r="A320" s="45" t="s">
        <v>1413</v>
      </c>
      <c r="B320" s="45" t="s">
        <v>244</v>
      </c>
      <c r="C320" s="45" t="s">
        <v>142</v>
      </c>
      <c r="D320" s="45" t="s">
        <v>32</v>
      </c>
      <c r="E320" s="45" t="s">
        <v>1092</v>
      </c>
      <c r="F320" s="45" t="s">
        <v>10</v>
      </c>
      <c r="G320" s="45" t="s">
        <v>8</v>
      </c>
      <c r="H320" s="53">
        <v>31</v>
      </c>
      <c r="I320" s="54">
        <f>IF(H320:H1319&lt;45, "Adult", IF(H320:H1319&lt;60, "Middle Age", IF(H320:H1319&lt;70, "Old", "Very Old")))</f>
      </c>
      <c r="J320" s="55">
        <v>42197</v>
      </c>
      <c r="K320" s="56">
        <v>215388</v>
      </c>
      <c r="L320" s="54">
        <f>IF(K320:K1319&lt;50000,"0-50",IF(K320:K1319&lt;100001,"51-100",IF(K320:K1319&lt;150001,"101-150",IF(K320:K1319&lt;200001,"151-200",IF(K320:K1319&lt;250001,"201-250","above 250")))))</f>
      </c>
      <c r="M320" s="57">
        <v>0.33</v>
      </c>
      <c r="N320" s="45" t="s">
        <v>15</v>
      </c>
      <c r="O320" s="45" t="s">
        <v>59</v>
      </c>
      <c r="P320" s="51"/>
      <c r="Q320" s="52">
        <f>IF(ISBLANK(P320:P1319), "", DATEDIF(J320:J1319, P320:P1319, "Y"))</f>
      </c>
    </row>
    <row x14ac:dyDescent="0.25" r="321" customHeight="1" ht="15.75">
      <c r="A321" s="45" t="s">
        <v>1414</v>
      </c>
      <c r="B321" s="45" t="s">
        <v>224</v>
      </c>
      <c r="C321" s="45" t="s">
        <v>132</v>
      </c>
      <c r="D321" s="45" t="s">
        <v>36</v>
      </c>
      <c r="E321" s="45" t="s">
        <v>1096</v>
      </c>
      <c r="F321" s="45" t="s">
        <v>7</v>
      </c>
      <c r="G321" s="45" t="s">
        <v>8</v>
      </c>
      <c r="H321" s="53">
        <v>30</v>
      </c>
      <c r="I321" s="54">
        <f>IF(H321:H1320&lt;45, "Adult", IF(H321:H1320&lt;60, "Middle Age", IF(H321:H1320&lt;70, "Old", "Very Old")))</f>
      </c>
      <c r="J321" s="55">
        <v>42168</v>
      </c>
      <c r="K321" s="56">
        <v>127972</v>
      </c>
      <c r="L321" s="54">
        <f>IF(K321:K1320&lt;50000,"0-50",IF(K321:K1320&lt;100001,"51-100",IF(K321:K1320&lt;150001,"101-150",IF(K321:K1320&lt;200001,"151-200",IF(K321:K1320&lt;250001,"201-250","above 250")))))</f>
      </c>
      <c r="M321" s="57">
        <v>0.11</v>
      </c>
      <c r="N321" s="45" t="s">
        <v>15</v>
      </c>
      <c r="O321" s="45" t="s">
        <v>67</v>
      </c>
      <c r="P321" s="51"/>
      <c r="Q321" s="52">
        <f>IF(ISBLANK(P321:P1320), "", DATEDIF(J321:J1320, P321:P1320, "Y"))</f>
      </c>
    </row>
    <row x14ac:dyDescent="0.25" r="322" customHeight="1" ht="15.75">
      <c r="A322" s="45" t="s">
        <v>1415</v>
      </c>
      <c r="B322" s="45" t="s">
        <v>871</v>
      </c>
      <c r="C322" s="45" t="s">
        <v>118</v>
      </c>
      <c r="D322" s="45" t="s">
        <v>26</v>
      </c>
      <c r="E322" s="45" t="s">
        <v>1100</v>
      </c>
      <c r="F322" s="45" t="s">
        <v>7</v>
      </c>
      <c r="G322" s="45" t="s">
        <v>8</v>
      </c>
      <c r="H322" s="53">
        <v>55</v>
      </c>
      <c r="I322" s="54">
        <f>IF(H322:H1321&lt;45, "Adult", IF(H322:H1321&lt;60, "Middle Age", IF(H322:H1321&lt;70, "Old", "Very Old")))</f>
      </c>
      <c r="J322" s="55">
        <v>34915</v>
      </c>
      <c r="K322" s="56">
        <v>80701</v>
      </c>
      <c r="L322" s="54">
        <f>IF(K322:K1321&lt;50000,"0-50",IF(K322:K1321&lt;100001,"51-100",IF(K322:K1321&lt;150001,"101-150",IF(K322:K1321&lt;200001,"151-200",IF(K322:K1321&lt;250001,"201-250","above 250")))))</f>
      </c>
      <c r="M322" s="57">
        <v>0</v>
      </c>
      <c r="N322" s="45" t="s">
        <v>15</v>
      </c>
      <c r="O322" s="45" t="s">
        <v>51</v>
      </c>
      <c r="P322" s="58">
        <v>38456</v>
      </c>
      <c r="Q322" s="53">
        <f>IF(ISBLANK(P322:P1321), "", DATEDIF(J322:J1321, P322:P1321, "Y"))</f>
      </c>
    </row>
    <row x14ac:dyDescent="0.25" r="323" customHeight="1" ht="15.75">
      <c r="A323" s="45" t="s">
        <v>1416</v>
      </c>
      <c r="B323" s="45" t="s">
        <v>166</v>
      </c>
      <c r="C323" s="45" t="s">
        <v>110</v>
      </c>
      <c r="D323" s="45" t="s">
        <v>34</v>
      </c>
      <c r="E323" s="45" t="s">
        <v>1100</v>
      </c>
      <c r="F323" s="45" t="s">
        <v>10</v>
      </c>
      <c r="G323" s="45" t="s">
        <v>8</v>
      </c>
      <c r="H323" s="53">
        <v>28</v>
      </c>
      <c r="I323" s="54">
        <f>IF(H323:H1322&lt;45, "Adult", IF(H323:H1322&lt;60, "Middle Age", IF(H323:H1322&lt;70, "Old", "Very Old")))</f>
      </c>
      <c r="J323" s="55">
        <v>43863</v>
      </c>
      <c r="K323" s="56">
        <v>115417</v>
      </c>
      <c r="L323" s="54">
        <f>IF(K323:K1322&lt;50000,"0-50",IF(K323:K1322&lt;100001,"51-100",IF(K323:K1322&lt;150001,"101-150",IF(K323:K1322&lt;200001,"151-200",IF(K323:K1322&lt;250001,"201-250","above 250")))))</f>
      </c>
      <c r="M323" s="57">
        <v>0.06</v>
      </c>
      <c r="N323" s="45" t="s">
        <v>12</v>
      </c>
      <c r="O323" s="45" t="s">
        <v>69</v>
      </c>
      <c r="P323" s="51"/>
      <c r="Q323" s="52">
        <f>IF(ISBLANK(P323:P1322), "", DATEDIF(J323:J1322, P323:P1322, "Y"))</f>
      </c>
    </row>
    <row x14ac:dyDescent="0.25" r="324" customHeight="1" ht="15.75">
      <c r="A324" s="45" t="s">
        <v>1417</v>
      </c>
      <c r="B324" s="45" t="s">
        <v>581</v>
      </c>
      <c r="C324" s="45" t="s">
        <v>120</v>
      </c>
      <c r="D324" s="45" t="s">
        <v>26</v>
      </c>
      <c r="E324" s="45" t="s">
        <v>1100</v>
      </c>
      <c r="F324" s="45" t="s">
        <v>7</v>
      </c>
      <c r="G324" s="45" t="s">
        <v>14</v>
      </c>
      <c r="H324" s="53">
        <v>45</v>
      </c>
      <c r="I324" s="54">
        <f>IF(H324:H1323&lt;45, "Adult", IF(H324:H1323&lt;60, "Middle Age", IF(H324:H1323&lt;70, "Old", "Very Old")))</f>
      </c>
      <c r="J324" s="55">
        <v>43635</v>
      </c>
      <c r="K324" s="56">
        <v>88045</v>
      </c>
      <c r="L324" s="54">
        <f>IF(K324:K1323&lt;50000,"0-50",IF(K324:K1323&lt;100001,"51-100",IF(K324:K1323&lt;150001,"101-150",IF(K324:K1323&lt;200001,"151-200",IF(K324:K1323&lt;250001,"201-250","above 250")))))</f>
      </c>
      <c r="M324" s="57">
        <v>0</v>
      </c>
      <c r="N324" s="45" t="s">
        <v>15</v>
      </c>
      <c r="O324" s="45" t="s">
        <v>51</v>
      </c>
      <c r="P324" s="51"/>
      <c r="Q324" s="52">
        <f>IF(ISBLANK(P324:P1323), "", DATEDIF(J324:J1323, P324:P1323, "Y"))</f>
      </c>
    </row>
    <row x14ac:dyDescent="0.25" r="325" customHeight="1" ht="15.75">
      <c r="A325" s="45" t="s">
        <v>1418</v>
      </c>
      <c r="B325" s="45" t="s">
        <v>562</v>
      </c>
      <c r="C325" s="45" t="s">
        <v>90</v>
      </c>
      <c r="D325" s="45" t="s">
        <v>32</v>
      </c>
      <c r="E325" s="45" t="s">
        <v>1096</v>
      </c>
      <c r="F325" s="45" t="s">
        <v>7</v>
      </c>
      <c r="G325" s="45" t="s">
        <v>11</v>
      </c>
      <c r="H325" s="53">
        <v>45</v>
      </c>
      <c r="I325" s="54">
        <f>IF(H325:H1324&lt;45, "Adult", IF(H325:H1324&lt;60, "Middle Age", IF(H325:H1324&lt;70, "Old", "Very Old")))</f>
      </c>
      <c r="J325" s="55">
        <v>43185</v>
      </c>
      <c r="K325" s="56">
        <v>86478</v>
      </c>
      <c r="L325" s="54">
        <f>IF(K325:K1324&lt;50000,"0-50",IF(K325:K1324&lt;100001,"51-100",IF(K325:K1324&lt;150001,"101-150",IF(K325:K1324&lt;200001,"151-200",IF(K325:K1324&lt;250001,"201-250","above 250")))))</f>
      </c>
      <c r="M325" s="57">
        <v>0.06</v>
      </c>
      <c r="N325" s="45" t="s">
        <v>15</v>
      </c>
      <c r="O325" s="45" t="s">
        <v>42</v>
      </c>
      <c r="P325" s="51"/>
      <c r="Q325" s="52">
        <f>IF(ISBLANK(P325:P1324), "", DATEDIF(J325:J1324, P325:P1324, "Y"))</f>
      </c>
    </row>
    <row x14ac:dyDescent="0.25" r="326" customHeight="1" ht="15.75">
      <c r="A326" s="45" t="s">
        <v>1419</v>
      </c>
      <c r="B326" s="45" t="s">
        <v>1032</v>
      </c>
      <c r="C326" s="45" t="s">
        <v>142</v>
      </c>
      <c r="D326" s="45" t="s">
        <v>26</v>
      </c>
      <c r="E326" s="45" t="s">
        <v>1094</v>
      </c>
      <c r="F326" s="45" t="s">
        <v>10</v>
      </c>
      <c r="G326" s="45" t="s">
        <v>14</v>
      </c>
      <c r="H326" s="53">
        <v>63</v>
      </c>
      <c r="I326" s="54">
        <f>IF(H326:H1325&lt;45, "Adult", IF(H326:H1325&lt;60, "Middle Age", IF(H326:H1325&lt;70, "Old", "Very Old")))</f>
      </c>
      <c r="J326" s="55">
        <v>42387</v>
      </c>
      <c r="K326" s="56">
        <v>180994</v>
      </c>
      <c r="L326" s="54">
        <f>IF(K326:K1325&lt;50000,"0-50",IF(K326:K1325&lt;100001,"51-100",IF(K326:K1325&lt;150001,"101-150",IF(K326:K1325&lt;200001,"151-200",IF(K326:K1325&lt;250001,"201-250","above 250")))))</f>
      </c>
      <c r="M326" s="57">
        <v>0.39</v>
      </c>
      <c r="N326" s="45" t="s">
        <v>15</v>
      </c>
      <c r="O326" s="45" t="s">
        <v>67</v>
      </c>
      <c r="P326" s="51"/>
      <c r="Q326" s="52">
        <f>IF(ISBLANK(P326:P1325), "", DATEDIF(J326:J1325, P326:P1325, "Y"))</f>
      </c>
    </row>
    <row x14ac:dyDescent="0.25" r="327" customHeight="1" ht="15.75">
      <c r="A327" s="45" t="s">
        <v>1420</v>
      </c>
      <c r="B327" s="45" t="s">
        <v>873</v>
      </c>
      <c r="C327" s="45" t="s">
        <v>82</v>
      </c>
      <c r="D327" s="45" t="s">
        <v>28</v>
      </c>
      <c r="E327" s="45" t="s">
        <v>1092</v>
      </c>
      <c r="F327" s="45" t="s">
        <v>7</v>
      </c>
      <c r="G327" s="45" t="s">
        <v>8</v>
      </c>
      <c r="H327" s="53">
        <v>55</v>
      </c>
      <c r="I327" s="54">
        <f>IF(H327:H1326&lt;45, "Adult", IF(H327:H1326&lt;60, "Middle Age", IF(H327:H1326&lt;70, "Old", "Very Old")))</f>
      </c>
      <c r="J327" s="55">
        <v>39418</v>
      </c>
      <c r="K327" s="56">
        <v>64494</v>
      </c>
      <c r="L327" s="54">
        <f>IF(K327:K1326&lt;50000,"0-50",IF(K327:K1326&lt;100001,"51-100",IF(K327:K1326&lt;150001,"101-150",IF(K327:K1326&lt;200001,"151-200",IF(K327:K1326&lt;250001,"201-250","above 250")))))</f>
      </c>
      <c r="M327" s="57">
        <v>0</v>
      </c>
      <c r="N327" s="45" t="s">
        <v>15</v>
      </c>
      <c r="O327" s="45" t="s">
        <v>55</v>
      </c>
      <c r="P327" s="51"/>
      <c r="Q327" s="52">
        <f>IF(ISBLANK(P327:P1326), "", DATEDIF(J327:J1326, P327:P1326, "Y"))</f>
      </c>
    </row>
    <row x14ac:dyDescent="0.25" r="328" customHeight="1" ht="15.75">
      <c r="A328" s="45" t="s">
        <v>1421</v>
      </c>
      <c r="B328" s="45" t="s">
        <v>661</v>
      </c>
      <c r="C328" s="45" t="s">
        <v>78</v>
      </c>
      <c r="D328" s="45" t="s">
        <v>36</v>
      </c>
      <c r="E328" s="45" t="s">
        <v>1094</v>
      </c>
      <c r="F328" s="45" t="s">
        <v>10</v>
      </c>
      <c r="G328" s="45" t="s">
        <v>11</v>
      </c>
      <c r="H328" s="53">
        <v>47</v>
      </c>
      <c r="I328" s="54">
        <f>IF(H328:H1327&lt;45, "Adult", IF(H328:H1327&lt;60, "Middle Age", IF(H328:H1327&lt;70, "Old", "Very Old")))</f>
      </c>
      <c r="J328" s="55">
        <v>37550</v>
      </c>
      <c r="K328" s="56">
        <v>70122</v>
      </c>
      <c r="L328" s="54">
        <f>IF(K328:K1327&lt;50000,"0-50",IF(K328:K1327&lt;100001,"51-100",IF(K328:K1327&lt;150001,"101-150",IF(K328:K1327&lt;200001,"151-200",IF(K328:K1327&lt;250001,"201-250","above 250")))))</f>
      </c>
      <c r="M328" s="57">
        <v>0</v>
      </c>
      <c r="N328" s="45" t="s">
        <v>15</v>
      </c>
      <c r="O328" s="45" t="s">
        <v>55</v>
      </c>
      <c r="P328" s="51"/>
      <c r="Q328" s="52">
        <f>IF(ISBLANK(P328:P1327), "", DATEDIF(J328:J1327, P328:P1327, "Y"))</f>
      </c>
    </row>
    <row x14ac:dyDescent="0.25" r="329" customHeight="1" ht="15.75">
      <c r="A329" s="45" t="s">
        <v>1422</v>
      </c>
      <c r="B329" s="45" t="s">
        <v>189</v>
      </c>
      <c r="C329" s="45" t="s">
        <v>96</v>
      </c>
      <c r="D329" s="45" t="s">
        <v>24</v>
      </c>
      <c r="E329" s="45" t="s">
        <v>1094</v>
      </c>
      <c r="F329" s="45" t="s">
        <v>10</v>
      </c>
      <c r="G329" s="45" t="s">
        <v>14</v>
      </c>
      <c r="H329" s="53">
        <v>29</v>
      </c>
      <c r="I329" s="54">
        <f>IF(H329:H1328&lt;45, "Adult", IF(H329:H1328&lt;60, "Middle Age", IF(H329:H1328&lt;70, "Old", "Very Old")))</f>
      </c>
      <c r="J329" s="55">
        <v>42785</v>
      </c>
      <c r="K329" s="56">
        <v>181854</v>
      </c>
      <c r="L329" s="54">
        <f>IF(K329:K1328&lt;50000,"0-50",IF(K329:K1328&lt;100001,"51-100",IF(K329:K1328&lt;150001,"101-150",IF(K329:K1328&lt;200001,"151-200",IF(K329:K1328&lt;250001,"201-250","above 250")))))</f>
      </c>
      <c r="M329" s="57">
        <v>0.29</v>
      </c>
      <c r="N329" s="45" t="s">
        <v>15</v>
      </c>
      <c r="O329" s="45" t="s">
        <v>67</v>
      </c>
      <c r="P329" s="58">
        <v>43945</v>
      </c>
      <c r="Q329" s="53">
        <f>IF(ISBLANK(P329:P1328), "", DATEDIF(J329:J1328, P329:P1328, "Y"))</f>
      </c>
    </row>
    <row x14ac:dyDescent="0.25" r="330" customHeight="1" ht="15.75">
      <c r="A330" s="45" t="s">
        <v>1423</v>
      </c>
      <c r="B330" s="45" t="s">
        <v>314</v>
      </c>
      <c r="C330" s="45" t="s">
        <v>86</v>
      </c>
      <c r="D330" s="45" t="s">
        <v>30</v>
      </c>
      <c r="E330" s="45" t="s">
        <v>1096</v>
      </c>
      <c r="F330" s="45" t="s">
        <v>7</v>
      </c>
      <c r="G330" s="45" t="s">
        <v>17</v>
      </c>
      <c r="H330" s="53">
        <v>34</v>
      </c>
      <c r="I330" s="54">
        <f>IF(H330:H1329&lt;45, "Adult", IF(H330:H1329&lt;60, "Middle Age", IF(H330:H1329&lt;70, "Old", "Very Old")))</f>
      </c>
      <c r="J330" s="55">
        <v>42664</v>
      </c>
      <c r="K330" s="56">
        <v>52811</v>
      </c>
      <c r="L330" s="54">
        <f>IF(K330:K1329&lt;50000,"0-50",IF(K330:K1329&lt;100001,"51-100",IF(K330:K1329&lt;150001,"101-150",IF(K330:K1329&lt;200001,"151-200",IF(K330:K1329&lt;250001,"201-250","above 250")))))</f>
      </c>
      <c r="M330" s="57">
        <v>0</v>
      </c>
      <c r="N330" s="45" t="s">
        <v>15</v>
      </c>
      <c r="O330" s="45" t="s">
        <v>59</v>
      </c>
      <c r="P330" s="51"/>
      <c r="Q330" s="52">
        <f>IF(ISBLANK(P330:P1329), "", DATEDIF(J330:J1329, P330:P1329, "Y"))</f>
      </c>
    </row>
    <row x14ac:dyDescent="0.25" r="331" customHeight="1" ht="15.75">
      <c r="A331" s="45" t="s">
        <v>1424</v>
      </c>
      <c r="B331" s="45" t="s">
        <v>159</v>
      </c>
      <c r="C331" s="45" t="s">
        <v>136</v>
      </c>
      <c r="D331" s="45" t="s">
        <v>32</v>
      </c>
      <c r="E331" s="45" t="s">
        <v>1092</v>
      </c>
      <c r="F331" s="45" t="s">
        <v>7</v>
      </c>
      <c r="G331" s="45" t="s">
        <v>8</v>
      </c>
      <c r="H331" s="53">
        <v>28</v>
      </c>
      <c r="I331" s="54">
        <f>IF(H331:H1330&lt;45, "Adult", IF(H331:H1330&lt;60, "Middle Age", IF(H331:H1330&lt;70, "Old", "Very Old")))</f>
      </c>
      <c r="J331" s="55">
        <v>43763</v>
      </c>
      <c r="K331" s="56">
        <v>50111</v>
      </c>
      <c r="L331" s="54">
        <f>IF(K331:K1330&lt;50000,"0-50",IF(K331:K1330&lt;100001,"51-100",IF(K331:K1330&lt;150001,"101-150",IF(K331:K1330&lt;200001,"151-200",IF(K331:K1330&lt;250001,"201-250","above 250")))))</f>
      </c>
      <c r="M331" s="57">
        <v>0</v>
      </c>
      <c r="N331" s="45" t="s">
        <v>12</v>
      </c>
      <c r="O331" s="45" t="s">
        <v>49</v>
      </c>
      <c r="P331" s="51"/>
      <c r="Q331" s="52">
        <f>IF(ISBLANK(P331:P1330), "", DATEDIF(J331:J1330, P331:P1330, "Y"))</f>
      </c>
    </row>
    <row x14ac:dyDescent="0.25" r="332" customHeight="1" ht="15.75">
      <c r="A332" s="45" t="s">
        <v>1425</v>
      </c>
      <c r="B332" s="45" t="s">
        <v>334</v>
      </c>
      <c r="C332" s="45" t="s">
        <v>112</v>
      </c>
      <c r="D332" s="45" t="s">
        <v>32</v>
      </c>
      <c r="E332" s="45" t="s">
        <v>1094</v>
      </c>
      <c r="F332" s="45" t="s">
        <v>10</v>
      </c>
      <c r="G332" s="45" t="s">
        <v>11</v>
      </c>
      <c r="H332" s="53">
        <v>31</v>
      </c>
      <c r="I332" s="54">
        <f>IF(H332:H1331&lt;45, "Adult", IF(H332:H1331&lt;60, "Middle Age", IF(H332:H1331&lt;70, "Old", "Very Old")))</f>
      </c>
      <c r="J332" s="55">
        <v>42497</v>
      </c>
      <c r="K332" s="56">
        <v>71192</v>
      </c>
      <c r="L332" s="54">
        <f>IF(K332:K1331&lt;50000,"0-50",IF(K332:K1331&lt;100001,"51-100",IF(K332:K1331&lt;150001,"101-150",IF(K332:K1331&lt;200001,"151-200",IF(K332:K1331&lt;250001,"201-250","above 250")))))</f>
      </c>
      <c r="M332" s="57">
        <v>0</v>
      </c>
      <c r="N332" s="45" t="s">
        <v>15</v>
      </c>
      <c r="O332" s="45" t="s">
        <v>42</v>
      </c>
      <c r="P332" s="51"/>
      <c r="Q332" s="52">
        <f>IF(ISBLANK(P332:P1331), "", DATEDIF(J332:J1331, P332:P1331, "Y"))</f>
      </c>
    </row>
    <row x14ac:dyDescent="0.25" r="333" customHeight="1" ht="15.75">
      <c r="A333" s="45" t="s">
        <v>1426</v>
      </c>
      <c r="B333" s="45" t="s">
        <v>740</v>
      </c>
      <c r="C333" s="45" t="s">
        <v>96</v>
      </c>
      <c r="D333" s="45" t="s">
        <v>36</v>
      </c>
      <c r="E333" s="45" t="s">
        <v>1094</v>
      </c>
      <c r="F333" s="45" t="s">
        <v>7</v>
      </c>
      <c r="G333" s="45" t="s">
        <v>17</v>
      </c>
      <c r="H333" s="53">
        <v>50</v>
      </c>
      <c r="I333" s="54">
        <f>IF(H333:H1332&lt;45, "Adult", IF(H333:H1332&lt;60, "Middle Age", IF(H333:H1332&lt;70, "Old", "Very Old")))</f>
      </c>
      <c r="J333" s="55">
        <v>43452</v>
      </c>
      <c r="K333" s="56">
        <v>155351</v>
      </c>
      <c r="L333" s="54">
        <f>IF(K333:K1332&lt;50000,"0-50",IF(K333:K1332&lt;100001,"51-100",IF(K333:K1332&lt;150001,"101-150",IF(K333:K1332&lt;200001,"151-200",IF(K333:K1332&lt;250001,"201-250","above 250")))))</f>
      </c>
      <c r="M333" s="57">
        <v>0.2</v>
      </c>
      <c r="N333" s="45" t="s">
        <v>15</v>
      </c>
      <c r="O333" s="45" t="s">
        <v>67</v>
      </c>
      <c r="P333" s="51"/>
      <c r="Q333" s="52">
        <f>IF(ISBLANK(P333:P1332), "", DATEDIF(J333:J1332, P333:P1332, "Y"))</f>
      </c>
    </row>
    <row x14ac:dyDescent="0.25" r="334" customHeight="1" ht="15.75">
      <c r="A334" s="45" t="s">
        <v>1427</v>
      </c>
      <c r="B334" s="45" t="s">
        <v>431</v>
      </c>
      <c r="C334" s="45" t="s">
        <v>96</v>
      </c>
      <c r="D334" s="45" t="s">
        <v>30</v>
      </c>
      <c r="E334" s="45" t="s">
        <v>1096</v>
      </c>
      <c r="F334" s="45" t="s">
        <v>10</v>
      </c>
      <c r="G334" s="45" t="s">
        <v>8</v>
      </c>
      <c r="H334" s="53">
        <v>39</v>
      </c>
      <c r="I334" s="54">
        <f>IF(H334:H1333&lt;45, "Adult", IF(H334:H1333&lt;60, "Middle Age", IF(H334:H1333&lt;70, "Old", "Very Old")))</f>
      </c>
      <c r="J334" s="55">
        <v>39049</v>
      </c>
      <c r="K334" s="56">
        <v>161690</v>
      </c>
      <c r="L334" s="54">
        <f>IF(K334:K1333&lt;50000,"0-50",IF(K334:K1333&lt;100001,"51-100",IF(K334:K1333&lt;150001,"101-150",IF(K334:K1333&lt;200001,"151-200",IF(K334:K1333&lt;250001,"201-250","above 250")))))</f>
      </c>
      <c r="M334" s="57">
        <v>0.29</v>
      </c>
      <c r="N334" s="45" t="s">
        <v>12</v>
      </c>
      <c r="O334" s="45" t="s">
        <v>47</v>
      </c>
      <c r="P334" s="51"/>
      <c r="Q334" s="52">
        <f>IF(ISBLANK(P334:P1333), "", DATEDIF(J334:J1333, P334:P1333, "Y"))</f>
      </c>
    </row>
    <row x14ac:dyDescent="0.25" r="335" customHeight="1" ht="15.75">
      <c r="A335" s="45" t="s">
        <v>1428</v>
      </c>
      <c r="B335" s="45" t="s">
        <v>339</v>
      </c>
      <c r="C335" s="45" t="s">
        <v>94</v>
      </c>
      <c r="D335" s="45" t="s">
        <v>26</v>
      </c>
      <c r="E335" s="45" t="s">
        <v>1096</v>
      </c>
      <c r="F335" s="45" t="s">
        <v>7</v>
      </c>
      <c r="G335" s="45" t="s">
        <v>8</v>
      </c>
      <c r="H335" s="53">
        <v>35</v>
      </c>
      <c r="I335" s="54">
        <f>IF(H335:H1334&lt;45, "Adult", IF(H335:H1334&lt;60, "Middle Age", IF(H335:H1334&lt;70, "Old", "Very Old")))</f>
      </c>
      <c r="J335" s="55">
        <v>42776</v>
      </c>
      <c r="K335" s="56">
        <v>60132</v>
      </c>
      <c r="L335" s="54">
        <f>IF(K335:K1334&lt;50000,"0-50",IF(K335:K1334&lt;100001,"51-100",IF(K335:K1334&lt;150001,"101-150",IF(K335:K1334&lt;200001,"151-200",IF(K335:K1334&lt;250001,"201-250","above 250")))))</f>
      </c>
      <c r="M335" s="57">
        <v>0</v>
      </c>
      <c r="N335" s="45" t="s">
        <v>12</v>
      </c>
      <c r="O335" s="45" t="s">
        <v>53</v>
      </c>
      <c r="P335" s="51"/>
      <c r="Q335" s="52">
        <f>IF(ISBLANK(P335:P1334), "", DATEDIF(J335:J1334, P335:P1334, "Y"))</f>
      </c>
    </row>
    <row x14ac:dyDescent="0.25" r="336" customHeight="1" ht="15.75">
      <c r="A336" s="45" t="s">
        <v>1429</v>
      </c>
      <c r="B336" s="45" t="s">
        <v>838</v>
      </c>
      <c r="C336" s="45" t="s">
        <v>114</v>
      </c>
      <c r="D336" s="45" t="s">
        <v>32</v>
      </c>
      <c r="E336" s="45" t="s">
        <v>1094</v>
      </c>
      <c r="F336" s="45" t="s">
        <v>10</v>
      </c>
      <c r="G336" s="45" t="s">
        <v>14</v>
      </c>
      <c r="H336" s="53">
        <v>54</v>
      </c>
      <c r="I336" s="54">
        <f>IF(H336:H1335&lt;45, "Adult", IF(H336:H1335&lt;60, "Middle Age", IF(H336:H1335&lt;70, "Old", "Very Old")))</f>
      </c>
      <c r="J336" s="55">
        <v>34631</v>
      </c>
      <c r="K336" s="56">
        <v>87216</v>
      </c>
      <c r="L336" s="54">
        <f>IF(K336:K1335&lt;50000,"0-50",IF(K336:K1335&lt;100001,"51-100",IF(K336:K1335&lt;150001,"101-150",IF(K336:K1335&lt;200001,"151-200",IF(K336:K1335&lt;250001,"201-250","above 250")))))</f>
      </c>
      <c r="M336" s="57">
        <v>0</v>
      </c>
      <c r="N336" s="45" t="s">
        <v>15</v>
      </c>
      <c r="O336" s="45" t="s">
        <v>59</v>
      </c>
      <c r="P336" s="51"/>
      <c r="Q336" s="52">
        <f>IF(ISBLANK(P336:P1335), "", DATEDIF(J336:J1335, P336:P1335, "Y"))</f>
      </c>
    </row>
    <row x14ac:dyDescent="0.25" r="337" customHeight="1" ht="15.75">
      <c r="A337" s="45" t="s">
        <v>1430</v>
      </c>
      <c r="B337" s="45" t="s">
        <v>676</v>
      </c>
      <c r="C337" s="45" t="s">
        <v>136</v>
      </c>
      <c r="D337" s="45" t="s">
        <v>32</v>
      </c>
      <c r="E337" s="45" t="s">
        <v>1100</v>
      </c>
      <c r="F337" s="45" t="s">
        <v>10</v>
      </c>
      <c r="G337" s="45" t="s">
        <v>14</v>
      </c>
      <c r="H337" s="53">
        <v>47</v>
      </c>
      <c r="I337" s="54">
        <f>IF(H337:H1336&lt;45, "Adult", IF(H337:H1336&lt;60, "Middle Age", IF(H337:H1336&lt;70, "Old", "Very Old")))</f>
      </c>
      <c r="J337" s="55">
        <v>43944</v>
      </c>
      <c r="K337" s="56">
        <v>50069</v>
      </c>
      <c r="L337" s="54">
        <f>IF(K337:K1336&lt;50000,"0-50",IF(K337:K1336&lt;100001,"51-100",IF(K337:K1336&lt;150001,"101-150",IF(K337:K1336&lt;200001,"151-200",IF(K337:K1336&lt;250001,"201-250","above 250")))))</f>
      </c>
      <c r="M337" s="57">
        <v>0</v>
      </c>
      <c r="N337" s="45" t="s">
        <v>15</v>
      </c>
      <c r="O337" s="45" t="s">
        <v>67</v>
      </c>
      <c r="P337" s="51"/>
      <c r="Q337" s="52">
        <f>IF(ISBLANK(P337:P1336), "", DATEDIF(J337:J1336, P337:P1336, "Y"))</f>
      </c>
    </row>
    <row x14ac:dyDescent="0.25" r="338" customHeight="1" ht="15.75">
      <c r="A338" s="45" t="s">
        <v>1431</v>
      </c>
      <c r="B338" s="45" t="s">
        <v>101</v>
      </c>
      <c r="C338" s="45" t="s">
        <v>96</v>
      </c>
      <c r="D338" s="45" t="s">
        <v>32</v>
      </c>
      <c r="E338" s="45" t="s">
        <v>1096</v>
      </c>
      <c r="F338" s="45" t="s">
        <v>7</v>
      </c>
      <c r="G338" s="45" t="s">
        <v>14</v>
      </c>
      <c r="H338" s="53">
        <v>26</v>
      </c>
      <c r="I338" s="54">
        <f>IF(H338:H1337&lt;45, "Adult", IF(H338:H1337&lt;60, "Middle Age", IF(H338:H1337&lt;70, "Old", "Very Old")))</f>
      </c>
      <c r="J338" s="55">
        <v>44403</v>
      </c>
      <c r="K338" s="56">
        <v>151108</v>
      </c>
      <c r="L338" s="54">
        <f>IF(K338:K1337&lt;50000,"0-50",IF(K338:K1337&lt;100001,"51-100",IF(K338:K1337&lt;150001,"101-150",IF(K338:K1337&lt;200001,"151-200",IF(K338:K1337&lt;250001,"201-250","above 250")))))</f>
      </c>
      <c r="M338" s="57">
        <v>0.22</v>
      </c>
      <c r="N338" s="45" t="s">
        <v>15</v>
      </c>
      <c r="O338" s="45" t="s">
        <v>61</v>
      </c>
      <c r="P338" s="51"/>
      <c r="Q338" s="52">
        <f>IF(ISBLANK(P338:P1337), "", DATEDIF(J338:J1337, P338:P1337, "Y"))</f>
      </c>
    </row>
    <row x14ac:dyDescent="0.25" r="339" customHeight="1" ht="15.75">
      <c r="A339" s="45" t="s">
        <v>1432</v>
      </c>
      <c r="B339" s="45" t="s">
        <v>505</v>
      </c>
      <c r="C339" s="45" t="s">
        <v>90</v>
      </c>
      <c r="D339" s="45" t="s">
        <v>32</v>
      </c>
      <c r="E339" s="45" t="s">
        <v>1094</v>
      </c>
      <c r="F339" s="45" t="s">
        <v>7</v>
      </c>
      <c r="G339" s="45" t="s">
        <v>8</v>
      </c>
      <c r="H339" s="53">
        <v>42</v>
      </c>
      <c r="I339" s="54">
        <f>IF(H339:H1338&lt;45, "Adult", IF(H339:H1338&lt;60, "Middle Age", IF(H339:H1338&lt;70, "Old", "Very Old")))</f>
      </c>
      <c r="J339" s="55">
        <v>38640</v>
      </c>
      <c r="K339" s="56">
        <v>67398</v>
      </c>
      <c r="L339" s="54">
        <f>IF(K339:K1338&lt;50000,"0-50",IF(K339:K1338&lt;100001,"51-100",IF(K339:K1338&lt;150001,"101-150",IF(K339:K1338&lt;200001,"151-200",IF(K339:K1338&lt;250001,"201-250","above 250")))))</f>
      </c>
      <c r="M339" s="57">
        <v>0.07</v>
      </c>
      <c r="N339" s="45" t="s">
        <v>15</v>
      </c>
      <c r="O339" s="45" t="s">
        <v>61</v>
      </c>
      <c r="P339" s="51"/>
      <c r="Q339" s="52">
        <f>IF(ISBLANK(P339:P1338), "", DATEDIF(J339:J1338, P339:P1338, "Y"))</f>
      </c>
    </row>
    <row x14ac:dyDescent="0.25" r="340" customHeight="1" ht="15.75">
      <c r="A340" s="45" t="s">
        <v>1433</v>
      </c>
      <c r="B340" s="45" t="s">
        <v>671</v>
      </c>
      <c r="C340" s="45" t="s">
        <v>94</v>
      </c>
      <c r="D340" s="45" t="s">
        <v>26</v>
      </c>
      <c r="E340" s="45" t="s">
        <v>1092</v>
      </c>
      <c r="F340" s="45" t="s">
        <v>7</v>
      </c>
      <c r="G340" s="45" t="s">
        <v>17</v>
      </c>
      <c r="H340" s="53">
        <v>47</v>
      </c>
      <c r="I340" s="54">
        <f>IF(H340:H1339&lt;45, "Adult", IF(H340:H1339&lt;60, "Middle Age", IF(H340:H1339&lt;70, "Old", "Very Old")))</f>
      </c>
      <c r="J340" s="55">
        <v>42245</v>
      </c>
      <c r="K340" s="56">
        <v>68488</v>
      </c>
      <c r="L340" s="54">
        <f>IF(K340:K1339&lt;50000,"0-50",IF(K340:K1339&lt;100001,"51-100",IF(K340:K1339&lt;150001,"101-150",IF(K340:K1339&lt;200001,"151-200",IF(K340:K1339&lt;250001,"201-250","above 250")))))</f>
      </c>
      <c r="M340" s="57">
        <v>0</v>
      </c>
      <c r="N340" s="45" t="s">
        <v>15</v>
      </c>
      <c r="O340" s="45" t="s">
        <v>67</v>
      </c>
      <c r="P340" s="51"/>
      <c r="Q340" s="52">
        <f>IF(ISBLANK(P340:P1339), "", DATEDIF(J340:J1339, P340:P1339, "Y"))</f>
      </c>
    </row>
    <row x14ac:dyDescent="0.25" r="341" customHeight="1" ht="15.75">
      <c r="A341" s="45" t="s">
        <v>1434</v>
      </c>
      <c r="B341" s="45" t="s">
        <v>978</v>
      </c>
      <c r="C341" s="45" t="s">
        <v>120</v>
      </c>
      <c r="D341" s="45" t="s">
        <v>26</v>
      </c>
      <c r="E341" s="45" t="s">
        <v>1094</v>
      </c>
      <c r="F341" s="45" t="s">
        <v>7</v>
      </c>
      <c r="G341" s="45" t="s">
        <v>17</v>
      </c>
      <c r="H341" s="53">
        <v>60</v>
      </c>
      <c r="I341" s="54">
        <f>IF(H341:H1340&lt;45, "Adult", IF(H341:H1340&lt;60, "Middle Age", IF(H341:H1340&lt;70, "Old", "Very Old")))</f>
      </c>
      <c r="J341" s="55">
        <v>35992</v>
      </c>
      <c r="K341" s="56">
        <v>92932</v>
      </c>
      <c r="L341" s="54">
        <f>IF(K341:K1340&lt;50000,"0-50",IF(K341:K1340&lt;100001,"51-100",IF(K341:K1340&lt;150001,"101-150",IF(K341:K1340&lt;200001,"151-200",IF(K341:K1340&lt;250001,"201-250","above 250")))))</f>
      </c>
      <c r="M341" s="57">
        <v>0</v>
      </c>
      <c r="N341" s="45" t="s">
        <v>15</v>
      </c>
      <c r="O341" s="45" t="s">
        <v>55</v>
      </c>
      <c r="P341" s="51"/>
      <c r="Q341" s="52">
        <f>IF(ISBLANK(P341:P1340), "", DATEDIF(J341:J1340, P341:P1340, "Y"))</f>
      </c>
    </row>
    <row x14ac:dyDescent="0.25" r="342" customHeight="1" ht="15.75">
      <c r="A342" s="45" t="s">
        <v>1435</v>
      </c>
      <c r="B342" s="45" t="s">
        <v>367</v>
      </c>
      <c r="C342" s="45" t="s">
        <v>80</v>
      </c>
      <c r="D342" s="45" t="s">
        <v>28</v>
      </c>
      <c r="E342" s="45" t="s">
        <v>1100</v>
      </c>
      <c r="F342" s="45" t="s">
        <v>7</v>
      </c>
      <c r="G342" s="45" t="s">
        <v>17</v>
      </c>
      <c r="H342" s="53">
        <v>36</v>
      </c>
      <c r="I342" s="54">
        <f>IF(H342:H1341&lt;45, "Adult", IF(H342:H1341&lt;60, "Middle Age", IF(H342:H1341&lt;70, "Old", "Very Old")))</f>
      </c>
      <c r="J342" s="55">
        <v>39994</v>
      </c>
      <c r="K342" s="56">
        <v>43363</v>
      </c>
      <c r="L342" s="54">
        <f>IF(K342:K1341&lt;50000,"0-50",IF(K342:K1341&lt;100001,"51-100",IF(K342:K1341&lt;150001,"101-150",IF(K342:K1341&lt;200001,"151-200",IF(K342:K1341&lt;250001,"201-250","above 250")))))</f>
      </c>
      <c r="M342" s="57">
        <v>0</v>
      </c>
      <c r="N342" s="45" t="s">
        <v>15</v>
      </c>
      <c r="O342" s="45" t="s">
        <v>42</v>
      </c>
      <c r="P342" s="51"/>
      <c r="Q342" s="52">
        <f>IF(ISBLANK(P342:P1341), "", DATEDIF(J342:J1341, P342:P1341, "Y"))</f>
      </c>
    </row>
    <row x14ac:dyDescent="0.25" r="343" customHeight="1" ht="15.75">
      <c r="A343" s="45" t="s">
        <v>1436</v>
      </c>
      <c r="B343" s="45" t="s">
        <v>252</v>
      </c>
      <c r="C343" s="45" t="s">
        <v>122</v>
      </c>
      <c r="D343" s="45" t="s">
        <v>32</v>
      </c>
      <c r="E343" s="45" t="s">
        <v>1096</v>
      </c>
      <c r="F343" s="45" t="s">
        <v>10</v>
      </c>
      <c r="G343" s="45" t="s">
        <v>8</v>
      </c>
      <c r="H343" s="53">
        <v>31</v>
      </c>
      <c r="I343" s="54">
        <f>IF(H343:H1342&lt;45, "Adult", IF(H343:H1342&lt;60, "Middle Age", IF(H343:H1342&lt;70, "Old", "Very Old")))</f>
      </c>
      <c r="J343" s="55">
        <v>42780</v>
      </c>
      <c r="K343" s="56">
        <v>95963</v>
      </c>
      <c r="L343" s="54">
        <f>IF(K343:K1342&lt;50000,"0-50",IF(K343:K1342&lt;100001,"51-100",IF(K343:K1342&lt;150001,"101-150",IF(K343:K1342&lt;200001,"151-200",IF(K343:K1342&lt;250001,"201-250","above 250")))))</f>
      </c>
      <c r="M343" s="57">
        <v>0</v>
      </c>
      <c r="N343" s="45" t="s">
        <v>12</v>
      </c>
      <c r="O343" s="45" t="s">
        <v>49</v>
      </c>
      <c r="P343" s="51"/>
      <c r="Q343" s="52">
        <f>IF(ISBLANK(P343:P1342), "", DATEDIF(J343:J1342, P343:P1342, "Y"))</f>
      </c>
    </row>
    <row x14ac:dyDescent="0.25" r="344" customHeight="1" ht="15.75">
      <c r="A344" s="45" t="s">
        <v>1437</v>
      </c>
      <c r="B344" s="45" t="s">
        <v>891</v>
      </c>
      <c r="C344" s="45" t="s">
        <v>110</v>
      </c>
      <c r="D344" s="45" t="s">
        <v>28</v>
      </c>
      <c r="E344" s="45" t="s">
        <v>1096</v>
      </c>
      <c r="F344" s="45" t="s">
        <v>7</v>
      </c>
      <c r="G344" s="45" t="s">
        <v>17</v>
      </c>
      <c r="H344" s="53">
        <v>55</v>
      </c>
      <c r="I344" s="54">
        <f>IF(H344:H1343&lt;45, "Adult", IF(H344:H1343&lt;60, "Middle Age", IF(H344:H1343&lt;70, "Old", "Very Old")))</f>
      </c>
      <c r="J344" s="55">
        <v>40297</v>
      </c>
      <c r="K344" s="56">
        <v>111038</v>
      </c>
      <c r="L344" s="54">
        <f>IF(K344:K1343&lt;50000,"0-50",IF(K344:K1343&lt;100001,"51-100",IF(K344:K1343&lt;150001,"101-150",IF(K344:K1343&lt;200001,"151-200",IF(K344:K1343&lt;250001,"201-250","above 250")))))</f>
      </c>
      <c r="M344" s="57">
        <v>0.05</v>
      </c>
      <c r="N344" s="45" t="s">
        <v>9</v>
      </c>
      <c r="O344" s="45" t="s">
        <v>65</v>
      </c>
      <c r="P344" s="51"/>
      <c r="Q344" s="52">
        <f>IF(ISBLANK(P344:P1343), "", DATEDIF(J344:J1343, P344:P1343, "Y"))</f>
      </c>
    </row>
    <row x14ac:dyDescent="0.25" r="345" customHeight="1" ht="15.75">
      <c r="A345" s="45" t="s">
        <v>1438</v>
      </c>
      <c r="B345" s="45" t="s">
        <v>766</v>
      </c>
      <c r="C345" s="45" t="s">
        <v>142</v>
      </c>
      <c r="D345" s="45" t="s">
        <v>26</v>
      </c>
      <c r="E345" s="45" t="s">
        <v>1092</v>
      </c>
      <c r="F345" s="45" t="s">
        <v>7</v>
      </c>
      <c r="G345" s="45" t="s">
        <v>14</v>
      </c>
      <c r="H345" s="53">
        <v>51</v>
      </c>
      <c r="I345" s="54">
        <f>IF(H345:H1344&lt;45, "Adult", IF(H345:H1344&lt;60, "Middle Age", IF(H345:H1344&lt;70, "Old", "Very Old")))</f>
      </c>
      <c r="J345" s="55">
        <v>35230</v>
      </c>
      <c r="K345" s="56">
        <v>200246</v>
      </c>
      <c r="L345" s="54">
        <f>IF(K345:K1344&lt;50000,"0-50",IF(K345:K1344&lt;100001,"51-100",IF(K345:K1344&lt;150001,"101-150",IF(K345:K1344&lt;200001,"151-200",IF(K345:K1344&lt;250001,"201-250","above 250")))))</f>
      </c>
      <c r="M345" s="57">
        <v>0.34</v>
      </c>
      <c r="N345" s="45" t="s">
        <v>15</v>
      </c>
      <c r="O345" s="45" t="s">
        <v>55</v>
      </c>
      <c r="P345" s="51"/>
      <c r="Q345" s="52">
        <f>IF(ISBLANK(P345:P1344), "", DATEDIF(J345:J1344, P345:P1344, "Y"))</f>
      </c>
    </row>
    <row x14ac:dyDescent="0.25" r="346" customHeight="1" ht="15.75">
      <c r="A346" s="45" t="s">
        <v>1439</v>
      </c>
      <c r="B346" s="45" t="s">
        <v>691</v>
      </c>
      <c r="C346" s="45" t="s">
        <v>142</v>
      </c>
      <c r="D346" s="45" t="s">
        <v>32</v>
      </c>
      <c r="E346" s="45" t="s">
        <v>1100</v>
      </c>
      <c r="F346" s="45" t="s">
        <v>7</v>
      </c>
      <c r="G346" s="45" t="s">
        <v>14</v>
      </c>
      <c r="H346" s="53">
        <v>48</v>
      </c>
      <c r="I346" s="54">
        <f>IF(H346:H1345&lt;45, "Adult", IF(H346:H1345&lt;60, "Middle Age", IF(H346:H1345&lt;70, "Old", "Very Old")))</f>
      </c>
      <c r="J346" s="55">
        <v>42053</v>
      </c>
      <c r="K346" s="56">
        <v>194871</v>
      </c>
      <c r="L346" s="54">
        <f>IF(K346:K1345&lt;50000,"0-50",IF(K346:K1345&lt;100001,"51-100",IF(K346:K1345&lt;150001,"101-150",IF(K346:K1345&lt;200001,"151-200",IF(K346:K1345&lt;250001,"201-250","above 250")))))</f>
      </c>
      <c r="M346" s="57">
        <v>0.35</v>
      </c>
      <c r="N346" s="45" t="s">
        <v>15</v>
      </c>
      <c r="O346" s="45" t="s">
        <v>55</v>
      </c>
      <c r="P346" s="51"/>
      <c r="Q346" s="52">
        <f>IF(ISBLANK(P346:P1345), "", DATEDIF(J346:J1345, P346:P1345, "Y"))</f>
      </c>
    </row>
    <row x14ac:dyDescent="0.25" r="347" customHeight="1" ht="15.75">
      <c r="A347" s="45" t="s">
        <v>1440</v>
      </c>
      <c r="B347" s="45" t="s">
        <v>949</v>
      </c>
      <c r="C347" s="45" t="s">
        <v>128</v>
      </c>
      <c r="D347" s="45" t="s">
        <v>24</v>
      </c>
      <c r="E347" s="45" t="s">
        <v>1092</v>
      </c>
      <c r="F347" s="45" t="s">
        <v>10</v>
      </c>
      <c r="G347" s="45" t="s">
        <v>17</v>
      </c>
      <c r="H347" s="53">
        <v>58</v>
      </c>
      <c r="I347" s="54">
        <f>IF(H347:H1346&lt;45, "Adult", IF(H347:H1346&lt;60, "Middle Age", IF(H347:H1346&lt;70, "Old", "Very Old")))</f>
      </c>
      <c r="J347" s="55">
        <v>34592</v>
      </c>
      <c r="K347" s="56">
        <v>98769</v>
      </c>
      <c r="L347" s="54">
        <f>IF(K347:K1346&lt;50000,"0-50",IF(K347:K1346&lt;100001,"51-100",IF(K347:K1346&lt;150001,"101-150",IF(K347:K1346&lt;200001,"151-200",IF(K347:K1346&lt;250001,"201-250","above 250")))))</f>
      </c>
      <c r="M347" s="57">
        <v>0</v>
      </c>
      <c r="N347" s="45" t="s">
        <v>9</v>
      </c>
      <c r="O347" s="45" t="s">
        <v>63</v>
      </c>
      <c r="P347" s="58">
        <v>42646</v>
      </c>
      <c r="Q347" s="53">
        <f>IF(ISBLANK(P347:P1346), "", DATEDIF(J347:J1346, P347:P1346, "Y"))</f>
      </c>
    </row>
    <row x14ac:dyDescent="0.25" r="348" customHeight="1" ht="15.75">
      <c r="A348" s="45" t="s">
        <v>1441</v>
      </c>
      <c r="B348" s="45" t="s">
        <v>197</v>
      </c>
      <c r="C348" s="45" t="s">
        <v>78</v>
      </c>
      <c r="D348" s="45" t="s">
        <v>36</v>
      </c>
      <c r="E348" s="45" t="s">
        <v>1092</v>
      </c>
      <c r="F348" s="45" t="s">
        <v>7</v>
      </c>
      <c r="G348" s="45" t="s">
        <v>17</v>
      </c>
      <c r="H348" s="53">
        <v>29</v>
      </c>
      <c r="I348" s="54">
        <f>IF(H348:H1347&lt;45, "Adult", IF(H348:H1347&lt;60, "Middle Age", IF(H348:H1347&lt;70, "Old", "Very Old")))</f>
      </c>
      <c r="J348" s="55">
        <v>43239</v>
      </c>
      <c r="K348" s="56">
        <v>65334</v>
      </c>
      <c r="L348" s="54">
        <f>IF(K348:K1347&lt;50000,"0-50",IF(K348:K1347&lt;100001,"51-100",IF(K348:K1347&lt;150001,"101-150",IF(K348:K1347&lt;200001,"151-200",IF(K348:K1347&lt;250001,"201-250","above 250")))))</f>
      </c>
      <c r="M348" s="57">
        <v>0</v>
      </c>
      <c r="N348" s="45" t="s">
        <v>9</v>
      </c>
      <c r="O348" s="45" t="s">
        <v>63</v>
      </c>
      <c r="P348" s="51"/>
      <c r="Q348" s="52">
        <f>IF(ISBLANK(P348:P1347), "", DATEDIF(J348:J1347, P348:P1347, "Y"))</f>
      </c>
    </row>
    <row x14ac:dyDescent="0.25" r="349" customHeight="1" ht="15.75">
      <c r="A349" s="45" t="s">
        <v>1442</v>
      </c>
      <c r="B349" s="45" t="s">
        <v>56</v>
      </c>
      <c r="C349" s="45" t="s">
        <v>138</v>
      </c>
      <c r="D349" s="45" t="s">
        <v>32</v>
      </c>
      <c r="E349" s="45" t="s">
        <v>1094</v>
      </c>
      <c r="F349" s="45" t="s">
        <v>7</v>
      </c>
      <c r="G349" s="45" t="s">
        <v>17</v>
      </c>
      <c r="H349" s="53">
        <v>25</v>
      </c>
      <c r="I349" s="54">
        <f>IF(H349:H1348&lt;45, "Adult", IF(H349:H1348&lt;60, "Middle Age", IF(H349:H1348&lt;70, "Old", "Very Old")))</f>
      </c>
      <c r="J349" s="55">
        <v>44327</v>
      </c>
      <c r="K349" s="56">
        <v>83934</v>
      </c>
      <c r="L349" s="54">
        <f>IF(K349:K1348&lt;50000,"0-50",IF(K349:K1348&lt;100001,"51-100",IF(K349:K1348&lt;150001,"101-150",IF(K349:K1348&lt;200001,"151-200",IF(K349:K1348&lt;250001,"201-250","above 250")))))</f>
      </c>
      <c r="M349" s="57">
        <v>0</v>
      </c>
      <c r="N349" s="45" t="s">
        <v>15</v>
      </c>
      <c r="O349" s="45" t="s">
        <v>59</v>
      </c>
      <c r="P349" s="51"/>
      <c r="Q349" s="52">
        <f>IF(ISBLANK(P349:P1348), "", DATEDIF(J349:J1348, P349:P1348, "Y"))</f>
      </c>
    </row>
    <row x14ac:dyDescent="0.25" r="350" customHeight="1" ht="15.75">
      <c r="A350" s="45" t="s">
        <v>1443</v>
      </c>
      <c r="B350" s="45" t="s">
        <v>366</v>
      </c>
      <c r="C350" s="45" t="s">
        <v>96</v>
      </c>
      <c r="D350" s="45" t="s">
        <v>24</v>
      </c>
      <c r="E350" s="45" t="s">
        <v>1092</v>
      </c>
      <c r="F350" s="45" t="s">
        <v>10</v>
      </c>
      <c r="G350" s="45" t="s">
        <v>14</v>
      </c>
      <c r="H350" s="53">
        <v>36</v>
      </c>
      <c r="I350" s="54">
        <f>IF(H350:H1349&lt;45, "Adult", IF(H350:H1349&lt;60, "Middle Age", IF(H350:H1349&lt;70, "Old", "Very Old")))</f>
      </c>
      <c r="J350" s="55">
        <v>42616</v>
      </c>
      <c r="K350" s="56">
        <v>150399</v>
      </c>
      <c r="L350" s="54">
        <f>IF(K350:K1349&lt;50000,"0-50",IF(K350:K1349&lt;100001,"51-100",IF(K350:K1349&lt;150001,"101-150",IF(K350:K1349&lt;200001,"151-200",IF(K350:K1349&lt;250001,"201-250","above 250")))))</f>
      </c>
      <c r="M350" s="57">
        <v>0.28</v>
      </c>
      <c r="N350" s="45" t="s">
        <v>15</v>
      </c>
      <c r="O350" s="45" t="s">
        <v>51</v>
      </c>
      <c r="P350" s="51"/>
      <c r="Q350" s="52">
        <f>IF(ISBLANK(P350:P1349), "", DATEDIF(J350:J1349, P350:P1349, "Y"))</f>
      </c>
    </row>
    <row x14ac:dyDescent="0.25" r="351" customHeight="1" ht="15.75">
      <c r="A351" s="45" t="s">
        <v>1444</v>
      </c>
      <c r="B351" s="45" t="s">
        <v>392</v>
      </c>
      <c r="C351" s="45" t="s">
        <v>96</v>
      </c>
      <c r="D351" s="45" t="s">
        <v>30</v>
      </c>
      <c r="E351" s="45" t="s">
        <v>1092</v>
      </c>
      <c r="F351" s="45" t="s">
        <v>10</v>
      </c>
      <c r="G351" s="45" t="s">
        <v>8</v>
      </c>
      <c r="H351" s="53">
        <v>37</v>
      </c>
      <c r="I351" s="54">
        <f>IF(H351:H1350&lt;45, "Adult", IF(H351:H1350&lt;60, "Middle Age", IF(H351:H1350&lt;70, "Old", "Very Old")))</f>
      </c>
      <c r="J351" s="55">
        <v>41048</v>
      </c>
      <c r="K351" s="56">
        <v>160280</v>
      </c>
      <c r="L351" s="54">
        <f>IF(K351:K1350&lt;50000,"0-50",IF(K351:K1350&lt;100001,"51-100",IF(K351:K1350&lt;150001,"101-150",IF(K351:K1350&lt;200001,"151-200",IF(K351:K1350&lt;250001,"201-250","above 250")))))</f>
      </c>
      <c r="M351" s="57">
        <v>0.19</v>
      </c>
      <c r="N351" s="45" t="s">
        <v>12</v>
      </c>
      <c r="O351" s="45" t="s">
        <v>47</v>
      </c>
      <c r="P351" s="51"/>
      <c r="Q351" s="52">
        <f>IF(ISBLANK(P351:P1350), "", DATEDIF(J351:J1350, P351:P1350, "Y"))</f>
      </c>
    </row>
    <row x14ac:dyDescent="0.25" r="352" customHeight="1" ht="15.75">
      <c r="A352" s="45" t="s">
        <v>1445</v>
      </c>
      <c r="B352" s="45" t="s">
        <v>933</v>
      </c>
      <c r="C352" s="45" t="s">
        <v>86</v>
      </c>
      <c r="D352" s="45" t="s">
        <v>30</v>
      </c>
      <c r="E352" s="45" t="s">
        <v>1096</v>
      </c>
      <c r="F352" s="45" t="s">
        <v>10</v>
      </c>
      <c r="G352" s="45" t="s">
        <v>8</v>
      </c>
      <c r="H352" s="53">
        <v>57</v>
      </c>
      <c r="I352" s="54">
        <f>IF(H352:H1351&lt;45, "Adult", IF(H352:H1351&lt;60, "Middle Age", IF(H352:H1351&lt;70, "Old", "Very Old")))</f>
      </c>
      <c r="J352" s="55">
        <v>35548</v>
      </c>
      <c r="K352" s="56">
        <v>54051</v>
      </c>
      <c r="L352" s="54">
        <f>IF(K352:K1351&lt;50000,"0-50",IF(K352:K1351&lt;100001,"51-100",IF(K352:K1351&lt;150001,"101-150",IF(K352:K1351&lt;200001,"151-200",IF(K352:K1351&lt;250001,"201-250","above 250")))))</f>
      </c>
      <c r="M352" s="57">
        <v>0</v>
      </c>
      <c r="N352" s="45" t="s">
        <v>15</v>
      </c>
      <c r="O352" s="45" t="s">
        <v>59</v>
      </c>
      <c r="P352" s="58">
        <v>36079</v>
      </c>
      <c r="Q352" s="53">
        <f>IF(ISBLANK(P352:P1351), "", DATEDIF(J352:J1351, P352:P1351, "Y"))</f>
      </c>
    </row>
    <row x14ac:dyDescent="0.25" r="353" customHeight="1" ht="15.75">
      <c r="A353" s="45" t="s">
        <v>1446</v>
      </c>
      <c r="B353" s="45" t="s">
        <v>964</v>
      </c>
      <c r="C353" s="45" t="s">
        <v>96</v>
      </c>
      <c r="D353" s="45" t="s">
        <v>26</v>
      </c>
      <c r="E353" s="45" t="s">
        <v>1092</v>
      </c>
      <c r="F353" s="45" t="s">
        <v>7</v>
      </c>
      <c r="G353" s="45" t="s">
        <v>17</v>
      </c>
      <c r="H353" s="53">
        <v>59</v>
      </c>
      <c r="I353" s="54">
        <f>IF(H353:H1352&lt;45, "Adult", IF(H353:H1352&lt;60, "Middle Age", IF(H353:H1352&lt;70, "Old", "Very Old")))</f>
      </c>
      <c r="J353" s="55">
        <v>37726</v>
      </c>
      <c r="K353" s="56">
        <v>150699</v>
      </c>
      <c r="L353" s="54">
        <f>IF(K353:K1352&lt;50000,"0-50",IF(K353:K1352&lt;100001,"51-100",IF(K353:K1352&lt;150001,"101-150",IF(K353:K1352&lt;200001,"151-200",IF(K353:K1352&lt;250001,"201-250","above 250")))))</f>
      </c>
      <c r="M353" s="57">
        <v>0.29</v>
      </c>
      <c r="N353" s="45" t="s">
        <v>9</v>
      </c>
      <c r="O353" s="45" t="s">
        <v>65</v>
      </c>
      <c r="P353" s="51"/>
      <c r="Q353" s="52">
        <f>IF(ISBLANK(P353:P1352), "", DATEDIF(J353:J1352, P353:P1352, "Y"))</f>
      </c>
    </row>
    <row x14ac:dyDescent="0.25" r="354" customHeight="1" ht="15.75">
      <c r="A354" s="45" t="s">
        <v>1447</v>
      </c>
      <c r="B354" s="45" t="s">
        <v>390</v>
      </c>
      <c r="C354" s="45" t="s">
        <v>82</v>
      </c>
      <c r="D354" s="45" t="s">
        <v>34</v>
      </c>
      <c r="E354" s="45" t="s">
        <v>1096</v>
      </c>
      <c r="F354" s="45" t="s">
        <v>10</v>
      </c>
      <c r="G354" s="45" t="s">
        <v>17</v>
      </c>
      <c r="H354" s="53">
        <v>37</v>
      </c>
      <c r="I354" s="54">
        <f>IF(H354:H1353&lt;45, "Adult", IF(H354:H1353&lt;60, "Middle Age", IF(H354:H1353&lt;70, "Old", "Very Old")))</f>
      </c>
      <c r="J354" s="55">
        <v>41363</v>
      </c>
      <c r="K354" s="56">
        <v>69570</v>
      </c>
      <c r="L354" s="54">
        <f>IF(K354:K1353&lt;50000,"0-50",IF(K354:K1353&lt;100001,"51-100",IF(K354:K1353&lt;150001,"101-150",IF(K354:K1353&lt;200001,"151-200",IF(K354:K1353&lt;250001,"201-250","above 250")))))</f>
      </c>
      <c r="M354" s="57">
        <v>0</v>
      </c>
      <c r="N354" s="45" t="s">
        <v>15</v>
      </c>
      <c r="O354" s="45" t="s">
        <v>59</v>
      </c>
      <c r="P354" s="51"/>
      <c r="Q354" s="52">
        <f>IF(ISBLANK(P354:P1353), "", DATEDIF(J354:J1353, P354:P1353, "Y"))</f>
      </c>
    </row>
    <row x14ac:dyDescent="0.25" r="355" customHeight="1" ht="15.75">
      <c r="A355" s="45" t="s">
        <v>1448</v>
      </c>
      <c r="B355" s="45" t="s">
        <v>233</v>
      </c>
      <c r="C355" s="45" t="s">
        <v>122</v>
      </c>
      <c r="D355" s="45" t="s">
        <v>32</v>
      </c>
      <c r="E355" s="45" t="s">
        <v>1094</v>
      </c>
      <c r="F355" s="45" t="s">
        <v>7</v>
      </c>
      <c r="G355" s="45" t="s">
        <v>8</v>
      </c>
      <c r="H355" s="53">
        <v>30</v>
      </c>
      <c r="I355" s="54">
        <f>IF(H355:H1354&lt;45, "Adult", IF(H355:H1354&lt;60, "Middle Age", IF(H355:H1354&lt;70, "Old", "Very Old")))</f>
      </c>
      <c r="J355" s="55">
        <v>43553</v>
      </c>
      <c r="K355" s="56">
        <v>86774</v>
      </c>
      <c r="L355" s="54">
        <f>IF(K355:K1354&lt;50000,"0-50",IF(K355:K1354&lt;100001,"51-100",IF(K355:K1354&lt;150001,"101-150",IF(K355:K1354&lt;200001,"151-200",IF(K355:K1354&lt;250001,"201-250","above 250")))))</f>
      </c>
      <c r="M355" s="57">
        <v>0</v>
      </c>
      <c r="N355" s="45" t="s">
        <v>12</v>
      </c>
      <c r="O355" s="45" t="s">
        <v>49</v>
      </c>
      <c r="P355" s="51"/>
      <c r="Q355" s="52">
        <f>IF(ISBLANK(P355:P1354), "", DATEDIF(J355:J1354, P355:P1354, "Y"))</f>
      </c>
    </row>
    <row x14ac:dyDescent="0.25" r="356" customHeight="1" ht="15.75">
      <c r="A356" s="45" t="s">
        <v>1449</v>
      </c>
      <c r="B356" s="45" t="s">
        <v>725</v>
      </c>
      <c r="C356" s="45" t="s">
        <v>104</v>
      </c>
      <c r="D356" s="45" t="s">
        <v>30</v>
      </c>
      <c r="E356" s="45" t="s">
        <v>1094</v>
      </c>
      <c r="F356" s="45" t="s">
        <v>10</v>
      </c>
      <c r="G356" s="45" t="s">
        <v>14</v>
      </c>
      <c r="H356" s="53">
        <v>49</v>
      </c>
      <c r="I356" s="54">
        <f>IF(H356:H1355&lt;45, "Adult", IF(H356:H1355&lt;60, "Middle Age", IF(H356:H1355&lt;70, "Old", "Very Old")))</f>
      </c>
      <c r="J356" s="55">
        <v>36979</v>
      </c>
      <c r="K356" s="56">
        <v>57606</v>
      </c>
      <c r="L356" s="54">
        <f>IF(K356:K1355&lt;50000,"0-50",IF(K356:K1355&lt;100001,"51-100",IF(K356:K1355&lt;150001,"101-150",IF(K356:K1355&lt;200001,"151-200",IF(K356:K1355&lt;250001,"201-250","above 250")))))</f>
      </c>
      <c r="M356" s="57">
        <v>0</v>
      </c>
      <c r="N356" s="45" t="s">
        <v>15</v>
      </c>
      <c r="O356" s="45" t="s">
        <v>59</v>
      </c>
      <c r="P356" s="51"/>
      <c r="Q356" s="52">
        <f>IF(ISBLANK(P356:P1355), "", DATEDIF(J356:J1355, P356:P1355, "Y"))</f>
      </c>
    </row>
    <row x14ac:dyDescent="0.25" r="357" customHeight="1" ht="15.75">
      <c r="A357" s="45" t="s">
        <v>1450</v>
      </c>
      <c r="B357" s="45" t="s">
        <v>695</v>
      </c>
      <c r="C357" s="45" t="s">
        <v>132</v>
      </c>
      <c r="D357" s="45" t="s">
        <v>28</v>
      </c>
      <c r="E357" s="45" t="s">
        <v>1100</v>
      </c>
      <c r="F357" s="45" t="s">
        <v>7</v>
      </c>
      <c r="G357" s="45" t="s">
        <v>8</v>
      </c>
      <c r="H357" s="53">
        <v>48</v>
      </c>
      <c r="I357" s="54">
        <f>IF(H357:H1356&lt;45, "Adult", IF(H357:H1356&lt;60, "Middle Age", IF(H357:H1356&lt;70, "Old", "Very Old")))</f>
      </c>
      <c r="J357" s="55">
        <v>37144</v>
      </c>
      <c r="K357" s="56">
        <v>125730</v>
      </c>
      <c r="L357" s="54">
        <f>IF(K357:K1356&lt;50000,"0-50",IF(K357:K1356&lt;100001,"51-100",IF(K357:K1356&lt;150001,"101-150",IF(K357:K1356&lt;200001,"151-200",IF(K357:K1356&lt;250001,"201-250","above 250")))))</f>
      </c>
      <c r="M357" s="57">
        <v>0.11</v>
      </c>
      <c r="N357" s="45" t="s">
        <v>12</v>
      </c>
      <c r="O357" s="45" t="s">
        <v>53</v>
      </c>
      <c r="P357" s="51"/>
      <c r="Q357" s="52">
        <f>IF(ISBLANK(P357:P1356), "", DATEDIF(J357:J1356, P357:P1356, "Y"))</f>
      </c>
    </row>
    <row x14ac:dyDescent="0.25" r="358" customHeight="1" ht="15.75">
      <c r="A358" s="45" t="s">
        <v>1451</v>
      </c>
      <c r="B358" s="45" t="s">
        <v>768</v>
      </c>
      <c r="C358" s="45" t="s">
        <v>134</v>
      </c>
      <c r="D358" s="45" t="s">
        <v>32</v>
      </c>
      <c r="E358" s="45" t="s">
        <v>1092</v>
      </c>
      <c r="F358" s="45" t="s">
        <v>7</v>
      </c>
      <c r="G358" s="45" t="s">
        <v>8</v>
      </c>
      <c r="H358" s="53">
        <v>51</v>
      </c>
      <c r="I358" s="54">
        <f>IF(H358:H1357&lt;45, "Adult", IF(H358:H1357&lt;60, "Middle Age", IF(H358:H1357&lt;70, "Old", "Very Old")))</f>
      </c>
      <c r="J358" s="55">
        <v>40964</v>
      </c>
      <c r="K358" s="56">
        <v>64170</v>
      </c>
      <c r="L358" s="54">
        <f>IF(K358:K1357&lt;50000,"0-50",IF(K358:K1357&lt;100001,"51-100",IF(K358:K1357&lt;150001,"101-150",IF(K358:K1357&lt;200001,"151-200",IF(K358:K1357&lt;250001,"201-250","above 250")))))</f>
      </c>
      <c r="M358" s="57">
        <v>0</v>
      </c>
      <c r="N358" s="45" t="s">
        <v>15</v>
      </c>
      <c r="O358" s="45" t="s">
        <v>55</v>
      </c>
      <c r="P358" s="51"/>
      <c r="Q358" s="52">
        <f>IF(ISBLANK(P358:P1357), "", DATEDIF(J358:J1357, P358:P1357, "Y"))</f>
      </c>
    </row>
    <row x14ac:dyDescent="0.25" r="359" customHeight="1" ht="15.75">
      <c r="A359" s="45" t="s">
        <v>1452</v>
      </c>
      <c r="B359" s="45" t="s">
        <v>914</v>
      </c>
      <c r="C359" s="45" t="s">
        <v>130</v>
      </c>
      <c r="D359" s="45" t="s">
        <v>30</v>
      </c>
      <c r="E359" s="45" t="s">
        <v>1096</v>
      </c>
      <c r="F359" s="45" t="s">
        <v>10</v>
      </c>
      <c r="G359" s="45" t="s">
        <v>17</v>
      </c>
      <c r="H359" s="53">
        <v>56</v>
      </c>
      <c r="I359" s="54">
        <f>IF(H359:H1358&lt;45, "Adult", IF(H359:H1358&lt;60, "Middle Age", IF(H359:H1358&lt;70, "Old", "Very Old")))</f>
      </c>
      <c r="J359" s="55">
        <v>35816</v>
      </c>
      <c r="K359" s="56">
        <v>72303</v>
      </c>
      <c r="L359" s="54">
        <f>IF(K359:K1358&lt;50000,"0-50",IF(K359:K1358&lt;100001,"51-100",IF(K359:K1358&lt;150001,"101-150",IF(K359:K1358&lt;200001,"151-200",IF(K359:K1358&lt;250001,"201-250","above 250")))))</f>
      </c>
      <c r="M359" s="57">
        <v>0</v>
      </c>
      <c r="N359" s="45" t="s">
        <v>15</v>
      </c>
      <c r="O359" s="45" t="s">
        <v>61</v>
      </c>
      <c r="P359" s="51"/>
      <c r="Q359" s="52">
        <f>IF(ISBLANK(P359:P1358), "", DATEDIF(J359:J1358, P359:P1358, "Y"))</f>
      </c>
    </row>
    <row x14ac:dyDescent="0.25" r="360" customHeight="1" ht="15.75">
      <c r="A360" s="45" t="s">
        <v>1453</v>
      </c>
      <c r="B360" s="45" t="s">
        <v>364</v>
      </c>
      <c r="C360" s="45" t="s">
        <v>110</v>
      </c>
      <c r="D360" s="45" t="s">
        <v>36</v>
      </c>
      <c r="E360" s="45" t="s">
        <v>1092</v>
      </c>
      <c r="F360" s="45" t="s">
        <v>10</v>
      </c>
      <c r="G360" s="45" t="s">
        <v>17</v>
      </c>
      <c r="H360" s="53">
        <v>36</v>
      </c>
      <c r="I360" s="54">
        <f>IF(H360:H1359&lt;45, "Adult", IF(H360:H1359&lt;60, "Middle Age", IF(H360:H1359&lt;70, "Old", "Very Old")))</f>
      </c>
      <c r="J360" s="55">
        <v>41116</v>
      </c>
      <c r="K360" s="56">
        <v>105891</v>
      </c>
      <c r="L360" s="54">
        <f>IF(K360:K1359&lt;50000,"0-50",IF(K360:K1359&lt;100001,"51-100",IF(K360:K1359&lt;150001,"101-150",IF(K360:K1359&lt;200001,"151-200",IF(K360:K1359&lt;250001,"201-250","above 250")))))</f>
      </c>
      <c r="M360" s="57">
        <v>0.07</v>
      </c>
      <c r="N360" s="45" t="s">
        <v>15</v>
      </c>
      <c r="O360" s="45" t="s">
        <v>67</v>
      </c>
      <c r="P360" s="51"/>
      <c r="Q360" s="52">
        <f>IF(ISBLANK(P360:P1359), "", DATEDIF(J360:J1359, P360:P1359, "Y"))</f>
      </c>
    </row>
    <row x14ac:dyDescent="0.25" r="361" customHeight="1" ht="15.75">
      <c r="A361" s="45" t="s">
        <v>1454</v>
      </c>
      <c r="B361" s="45" t="s">
        <v>418</v>
      </c>
      <c r="C361" s="45" t="s">
        <v>142</v>
      </c>
      <c r="D361" s="45" t="s">
        <v>34</v>
      </c>
      <c r="E361" s="45" t="s">
        <v>1096</v>
      </c>
      <c r="F361" s="45" t="s">
        <v>10</v>
      </c>
      <c r="G361" s="45" t="s">
        <v>8</v>
      </c>
      <c r="H361" s="53">
        <v>38</v>
      </c>
      <c r="I361" s="54">
        <f>IF(H361:H1360&lt;45, "Adult", IF(H361:H1360&lt;60, "Middle Age", IF(H361:H1360&lt;70, "Old", "Very Old")))</f>
      </c>
      <c r="J361" s="55">
        <v>44433</v>
      </c>
      <c r="K361" s="56">
        <v>255230</v>
      </c>
      <c r="L361" s="54">
        <f>IF(K361:K1360&lt;50000,"0-50",IF(K361:K1360&lt;100001,"51-100",IF(K361:K1360&lt;150001,"101-150",IF(K361:K1360&lt;200001,"151-200",IF(K361:K1360&lt;250001,"201-250","above 250")))))</f>
      </c>
      <c r="M361" s="57">
        <v>0.36</v>
      </c>
      <c r="N361" s="45" t="s">
        <v>15</v>
      </c>
      <c r="O361" s="45" t="s">
        <v>42</v>
      </c>
      <c r="P361" s="51"/>
      <c r="Q361" s="52">
        <f>IF(ISBLANK(P361:P1360), "", DATEDIF(J361:J1360, P361:P1360, "Y"))</f>
      </c>
    </row>
    <row x14ac:dyDescent="0.25" r="362" customHeight="1" ht="15.75">
      <c r="A362" s="45" t="s">
        <v>1455</v>
      </c>
      <c r="B362" s="45" t="s">
        <v>911</v>
      </c>
      <c r="C362" s="45" t="s">
        <v>82</v>
      </c>
      <c r="D362" s="45" t="s">
        <v>36</v>
      </c>
      <c r="E362" s="45" t="s">
        <v>1094</v>
      </c>
      <c r="F362" s="45" t="s">
        <v>7</v>
      </c>
      <c r="G362" s="45" t="s">
        <v>17</v>
      </c>
      <c r="H362" s="53">
        <v>56</v>
      </c>
      <c r="I362" s="54">
        <f>IF(H362:H1361&lt;45, "Adult", IF(H362:H1361&lt;60, "Middle Age", IF(H362:H1361&lt;70, "Old", "Very Old")))</f>
      </c>
      <c r="J362" s="55">
        <v>33770</v>
      </c>
      <c r="K362" s="56">
        <v>59591</v>
      </c>
      <c r="L362" s="54">
        <f>IF(K362:K1361&lt;50000,"0-50",IF(K362:K1361&lt;100001,"51-100",IF(K362:K1361&lt;150001,"101-150",IF(K362:K1361&lt;200001,"151-200",IF(K362:K1361&lt;250001,"201-250","above 250")))))</f>
      </c>
      <c r="M362" s="57">
        <v>0</v>
      </c>
      <c r="N362" s="45" t="s">
        <v>9</v>
      </c>
      <c r="O362" s="45" t="s">
        <v>65</v>
      </c>
      <c r="P362" s="51"/>
      <c r="Q362" s="52">
        <f>IF(ISBLANK(P362:P1361), "", DATEDIF(J362:J1361, P362:P1361, "Y"))</f>
      </c>
    </row>
    <row x14ac:dyDescent="0.25" r="363" customHeight="1" ht="15.75">
      <c r="A363" s="45" t="s">
        <v>1456</v>
      </c>
      <c r="B363" s="45" t="s">
        <v>674</v>
      </c>
      <c r="C363" s="45" t="s">
        <v>142</v>
      </c>
      <c r="D363" s="45" t="s">
        <v>30</v>
      </c>
      <c r="E363" s="45" t="s">
        <v>1094</v>
      </c>
      <c r="F363" s="45" t="s">
        <v>7</v>
      </c>
      <c r="G363" s="45" t="s">
        <v>8</v>
      </c>
      <c r="H363" s="53">
        <v>52</v>
      </c>
      <c r="I363" s="54">
        <f>IF(H363:H1362&lt;45, "Adult", IF(H363:H1362&lt;60, "Middle Age", IF(H363:H1362&lt;70, "Old", "Very Old")))</f>
      </c>
      <c r="J363" s="55">
        <v>41113</v>
      </c>
      <c r="K363" s="56">
        <v>187048</v>
      </c>
      <c r="L363" s="54">
        <f>IF(K363:K1362&lt;50000,"0-50",IF(K363:K1362&lt;100001,"51-100",IF(K363:K1362&lt;150001,"101-150",IF(K363:K1362&lt;200001,"151-200",IF(K363:K1362&lt;250001,"201-250","above 250")))))</f>
      </c>
      <c r="M363" s="57">
        <v>0.32</v>
      </c>
      <c r="N363" s="45" t="s">
        <v>12</v>
      </c>
      <c r="O363" s="45" t="s">
        <v>49</v>
      </c>
      <c r="P363" s="51"/>
      <c r="Q363" s="52">
        <f>IF(ISBLANK(P363:P1362), "", DATEDIF(J363:J1362, P363:P1362, "Y"))</f>
      </c>
    </row>
    <row x14ac:dyDescent="0.25" r="364" customHeight="1" ht="15.75">
      <c r="A364" s="45" t="s">
        <v>1457</v>
      </c>
      <c r="B364" s="45" t="s">
        <v>821</v>
      </c>
      <c r="C364" s="45" t="s">
        <v>82</v>
      </c>
      <c r="D364" s="45" t="s">
        <v>28</v>
      </c>
      <c r="E364" s="45" t="s">
        <v>1096</v>
      </c>
      <c r="F364" s="45" t="s">
        <v>7</v>
      </c>
      <c r="G364" s="45" t="s">
        <v>17</v>
      </c>
      <c r="H364" s="53">
        <v>53</v>
      </c>
      <c r="I364" s="54">
        <f>IF(H364:H1363&lt;45, "Adult", IF(H364:H1363&lt;60, "Middle Age", IF(H364:H1363&lt;70, "Old", "Very Old")))</f>
      </c>
      <c r="J364" s="55">
        <v>37296</v>
      </c>
      <c r="K364" s="56">
        <v>58605</v>
      </c>
      <c r="L364" s="54">
        <f>IF(K364:K1363&lt;50000,"0-50",IF(K364:K1363&lt;100001,"51-100",IF(K364:K1363&lt;150001,"101-150",IF(K364:K1363&lt;200001,"151-200",IF(K364:K1363&lt;250001,"201-250","above 250")))))</f>
      </c>
      <c r="M364" s="57">
        <v>0</v>
      </c>
      <c r="N364" s="45" t="s">
        <v>15</v>
      </c>
      <c r="O364" s="45" t="s">
        <v>61</v>
      </c>
      <c r="P364" s="51"/>
      <c r="Q364" s="52">
        <f>IF(ISBLANK(P364:P1363), "", DATEDIF(J364:J1363, P364:P1363, "Y"))</f>
      </c>
    </row>
    <row x14ac:dyDescent="0.25" r="365" customHeight="1" ht="15.75">
      <c r="A365" s="45" t="s">
        <v>1458</v>
      </c>
      <c r="B365" s="45" t="s">
        <v>988</v>
      </c>
      <c r="C365" s="45" t="s">
        <v>96</v>
      </c>
      <c r="D365" s="45" t="s">
        <v>26</v>
      </c>
      <c r="E365" s="45" t="s">
        <v>1100</v>
      </c>
      <c r="F365" s="45" t="s">
        <v>7</v>
      </c>
      <c r="G365" s="45" t="s">
        <v>17</v>
      </c>
      <c r="H365" s="53">
        <v>60</v>
      </c>
      <c r="I365" s="54">
        <f>IF(H365:H1364&lt;45, "Adult", IF(H365:H1364&lt;60, "Middle Age", IF(H365:H1364&lt;70, "Old", "Very Old")))</f>
      </c>
      <c r="J365" s="55">
        <v>42739</v>
      </c>
      <c r="K365" s="56">
        <v>178502</v>
      </c>
      <c r="L365" s="54">
        <f>IF(K365:K1364&lt;50000,"0-50",IF(K365:K1364&lt;100001,"51-100",IF(K365:K1364&lt;150001,"101-150",IF(K365:K1364&lt;200001,"151-200",IF(K365:K1364&lt;250001,"201-250","above 250")))))</f>
      </c>
      <c r="M365" s="57">
        <v>0.2</v>
      </c>
      <c r="N365" s="45" t="s">
        <v>15</v>
      </c>
      <c r="O365" s="45" t="s">
        <v>42</v>
      </c>
      <c r="P365" s="51"/>
      <c r="Q365" s="52">
        <f>IF(ISBLANK(P365:P1364), "", DATEDIF(J365:J1364, P365:P1364, "Y"))</f>
      </c>
    </row>
    <row x14ac:dyDescent="0.25" r="366" customHeight="1" ht="15.75">
      <c r="A366" s="45" t="s">
        <v>1459</v>
      </c>
      <c r="B366" s="45" t="s">
        <v>1037</v>
      </c>
      <c r="C366" s="45" t="s">
        <v>110</v>
      </c>
      <c r="D366" s="45" t="s">
        <v>24</v>
      </c>
      <c r="E366" s="45" t="s">
        <v>1096</v>
      </c>
      <c r="F366" s="45" t="s">
        <v>10</v>
      </c>
      <c r="G366" s="45" t="s">
        <v>8</v>
      </c>
      <c r="H366" s="53">
        <v>63</v>
      </c>
      <c r="I366" s="54">
        <f>IF(H366:H1365&lt;45, "Adult", IF(H366:H1365&lt;60, "Middle Age", IF(H366:H1365&lt;70, "Old", "Very Old")))</f>
      </c>
      <c r="J366" s="55">
        <v>42214</v>
      </c>
      <c r="K366" s="56">
        <v>103724</v>
      </c>
      <c r="L366" s="54">
        <f>IF(K366:K1365&lt;50000,"0-50",IF(K366:K1365&lt;100001,"51-100",IF(K366:K1365&lt;150001,"101-150",IF(K366:K1365&lt;200001,"151-200",IF(K366:K1365&lt;250001,"201-250","above 250")))))</f>
      </c>
      <c r="M366" s="57">
        <v>0.05</v>
      </c>
      <c r="N366" s="45" t="s">
        <v>12</v>
      </c>
      <c r="O366" s="45" t="s">
        <v>69</v>
      </c>
      <c r="P366" s="51"/>
      <c r="Q366" s="52">
        <f>IF(ISBLANK(P366:P1365), "", DATEDIF(J366:J1365, P366:P1365, "Y"))</f>
      </c>
    </row>
    <row x14ac:dyDescent="0.25" r="367" customHeight="1" ht="15.75">
      <c r="A367" s="45" t="s">
        <v>1460</v>
      </c>
      <c r="B367" s="45" t="s">
        <v>396</v>
      </c>
      <c r="C367" s="45" t="s">
        <v>96</v>
      </c>
      <c r="D367" s="45" t="s">
        <v>26</v>
      </c>
      <c r="E367" s="45" t="s">
        <v>1092</v>
      </c>
      <c r="F367" s="45" t="s">
        <v>7</v>
      </c>
      <c r="G367" s="45" t="s">
        <v>17</v>
      </c>
      <c r="H367" s="53">
        <v>37</v>
      </c>
      <c r="I367" s="54">
        <f>IF(H367:H1366&lt;45, "Adult", IF(H367:H1366&lt;60, "Middle Age", IF(H367:H1366&lt;70, "Old", "Very Old")))</f>
      </c>
      <c r="J367" s="55">
        <v>39528</v>
      </c>
      <c r="K367" s="56">
        <v>156277</v>
      </c>
      <c r="L367" s="54">
        <f>IF(K367:K1366&lt;50000,"0-50",IF(K367:K1366&lt;100001,"51-100",IF(K367:K1366&lt;150001,"101-150",IF(K367:K1366&lt;200001,"151-200",IF(K367:K1366&lt;250001,"201-250","above 250")))))</f>
      </c>
      <c r="M367" s="57">
        <v>0.22</v>
      </c>
      <c r="N367" s="45" t="s">
        <v>9</v>
      </c>
      <c r="O367" s="45" t="s">
        <v>57</v>
      </c>
      <c r="P367" s="51"/>
      <c r="Q367" s="52">
        <f>IF(ISBLANK(P367:P1366), "", DATEDIF(J367:J1366, P367:P1366, "Y"))</f>
      </c>
    </row>
    <row x14ac:dyDescent="0.25" r="368" customHeight="1" ht="15.75">
      <c r="A368" s="45" t="s">
        <v>1461</v>
      </c>
      <c r="B368" s="45" t="s">
        <v>232</v>
      </c>
      <c r="C368" s="45" t="s">
        <v>102</v>
      </c>
      <c r="D368" s="45" t="s">
        <v>26</v>
      </c>
      <c r="E368" s="45" t="s">
        <v>1092</v>
      </c>
      <c r="F368" s="45" t="s">
        <v>7</v>
      </c>
      <c r="G368" s="45" t="s">
        <v>17</v>
      </c>
      <c r="H368" s="53">
        <v>30</v>
      </c>
      <c r="I368" s="54">
        <f>IF(H368:H1367&lt;45, "Adult", IF(H368:H1367&lt;60, "Middle Age", IF(H368:H1367&lt;70, "Old", "Very Old")))</f>
      </c>
      <c r="J368" s="55">
        <v>43086</v>
      </c>
      <c r="K368" s="56">
        <v>87744</v>
      </c>
      <c r="L368" s="54">
        <f>IF(K368:K1367&lt;50000,"0-50",IF(K368:K1367&lt;100001,"51-100",IF(K368:K1367&lt;150001,"101-150",IF(K368:K1367&lt;200001,"151-200",IF(K368:K1367&lt;250001,"201-250","above 250")))))</f>
      </c>
      <c r="M368" s="57">
        <v>0</v>
      </c>
      <c r="N368" s="45" t="s">
        <v>9</v>
      </c>
      <c r="O368" s="45" t="s">
        <v>65</v>
      </c>
      <c r="P368" s="51"/>
      <c r="Q368" s="52">
        <f>IF(ISBLANK(P368:P1367), "", DATEDIF(J368:J1367, P368:P1367, "Y"))</f>
      </c>
    </row>
    <row x14ac:dyDescent="0.25" r="369" customHeight="1" ht="15.75">
      <c r="A369" s="45" t="s">
        <v>1462</v>
      </c>
      <c r="B369" s="45" t="s">
        <v>227</v>
      </c>
      <c r="C369" s="45" t="s">
        <v>82</v>
      </c>
      <c r="D369" s="45" t="s">
        <v>28</v>
      </c>
      <c r="E369" s="45" t="s">
        <v>1094</v>
      </c>
      <c r="F369" s="45" t="s">
        <v>10</v>
      </c>
      <c r="G369" s="45" t="s">
        <v>14</v>
      </c>
      <c r="H369" s="53">
        <v>30</v>
      </c>
      <c r="I369" s="54">
        <f>IF(H369:H1368&lt;45, "Adult", IF(H369:H1368&lt;60, "Middle Age", IF(H369:H1368&lt;70, "Old", "Very Old")))</f>
      </c>
      <c r="J369" s="55">
        <v>43542</v>
      </c>
      <c r="K369" s="56">
        <v>54714</v>
      </c>
      <c r="L369" s="54">
        <f>IF(K369:K1368&lt;50000,"0-50",IF(K369:K1368&lt;100001,"51-100",IF(K369:K1368&lt;150001,"101-150",IF(K369:K1368&lt;200001,"151-200",IF(K369:K1368&lt;250001,"201-250","above 250")))))</f>
      </c>
      <c r="M369" s="57">
        <v>0</v>
      </c>
      <c r="N369" s="45" t="s">
        <v>15</v>
      </c>
      <c r="O369" s="45" t="s">
        <v>55</v>
      </c>
      <c r="P369" s="51"/>
      <c r="Q369" s="52">
        <f>IF(ISBLANK(P369:P1368), "", DATEDIF(J369:J1368, P369:P1368, "Y"))</f>
      </c>
    </row>
    <row x14ac:dyDescent="0.25" r="370" customHeight="1" ht="15.75">
      <c r="A370" s="45" t="s">
        <v>1463</v>
      </c>
      <c r="B370" s="45" t="s">
        <v>596</v>
      </c>
      <c r="C370" s="45" t="s">
        <v>100</v>
      </c>
      <c r="D370" s="45" t="s">
        <v>32</v>
      </c>
      <c r="E370" s="45" t="s">
        <v>1100</v>
      </c>
      <c r="F370" s="45" t="s">
        <v>7</v>
      </c>
      <c r="G370" s="45" t="s">
        <v>8</v>
      </c>
      <c r="H370" s="53">
        <v>45</v>
      </c>
      <c r="I370" s="54">
        <f>IF(H370:H1369&lt;45, "Adult", IF(H370:H1369&lt;60, "Middle Age", IF(H370:H1369&lt;70, "Old", "Very Old")))</f>
      </c>
      <c r="J370" s="55">
        <v>41511</v>
      </c>
      <c r="K370" s="56">
        <v>99169</v>
      </c>
      <c r="L370" s="54">
        <f>IF(K370:K1369&lt;50000,"0-50",IF(K370:K1369&lt;100001,"51-100",IF(K370:K1369&lt;150001,"101-150",IF(K370:K1369&lt;200001,"151-200",IF(K370:K1369&lt;250001,"201-250","above 250")))))</f>
      </c>
      <c r="M370" s="57">
        <v>0</v>
      </c>
      <c r="N370" s="45" t="s">
        <v>12</v>
      </c>
      <c r="O370" s="45" t="s">
        <v>47</v>
      </c>
      <c r="P370" s="51"/>
      <c r="Q370" s="52">
        <f>IF(ISBLANK(P370:P1369), "", DATEDIF(J370:J1369, P370:P1369, "Y"))</f>
      </c>
    </row>
    <row x14ac:dyDescent="0.25" r="371" customHeight="1" ht="15.75">
      <c r="A371" s="45" t="s">
        <v>1464</v>
      </c>
      <c r="B371" s="45" t="s">
        <v>885</v>
      </c>
      <c r="C371" s="45" t="s">
        <v>132</v>
      </c>
      <c r="D371" s="45" t="s">
        <v>24</v>
      </c>
      <c r="E371" s="45" t="s">
        <v>1092</v>
      </c>
      <c r="F371" s="45" t="s">
        <v>7</v>
      </c>
      <c r="G371" s="45" t="s">
        <v>8</v>
      </c>
      <c r="H371" s="53">
        <v>55</v>
      </c>
      <c r="I371" s="54">
        <f>IF(H371:H1370&lt;45, "Adult", IF(H371:H1370&lt;60, "Middle Age", IF(H371:H1370&lt;70, "Old", "Very Old")))</f>
      </c>
      <c r="J371" s="55">
        <v>38888</v>
      </c>
      <c r="K371" s="56">
        <v>142628</v>
      </c>
      <c r="L371" s="54">
        <f>IF(K371:K1370&lt;50000,"0-50",IF(K371:K1370&lt;100001,"51-100",IF(K371:K1370&lt;150001,"101-150",IF(K371:K1370&lt;200001,"151-200",IF(K371:K1370&lt;250001,"201-250","above 250")))))</f>
      </c>
      <c r="M371" s="57">
        <v>0.12</v>
      </c>
      <c r="N371" s="45" t="s">
        <v>12</v>
      </c>
      <c r="O371" s="45" t="s">
        <v>53</v>
      </c>
      <c r="P371" s="51"/>
      <c r="Q371" s="52">
        <f>IF(ISBLANK(P371:P1370), "", DATEDIF(J371:J1370, P371:P1370, "Y"))</f>
      </c>
    </row>
    <row x14ac:dyDescent="0.25" r="372" customHeight="1" ht="15.75">
      <c r="A372" s="45" t="s">
        <v>1465</v>
      </c>
      <c r="B372" s="45" t="s">
        <v>301</v>
      </c>
      <c r="C372" s="45" t="s">
        <v>128</v>
      </c>
      <c r="D372" s="45" t="s">
        <v>34</v>
      </c>
      <c r="E372" s="45" t="s">
        <v>1094</v>
      </c>
      <c r="F372" s="45" t="s">
        <v>7</v>
      </c>
      <c r="G372" s="45" t="s">
        <v>17</v>
      </c>
      <c r="H372" s="53">
        <v>33</v>
      </c>
      <c r="I372" s="54">
        <f>IF(H372:H1371&lt;45, "Adult", IF(H372:H1371&lt;60, "Middle Age", IF(H372:H1371&lt;70, "Old", "Very Old")))</f>
      </c>
      <c r="J372" s="55">
        <v>41756</v>
      </c>
      <c r="K372" s="56">
        <v>75869</v>
      </c>
      <c r="L372" s="54">
        <f>IF(K372:K1371&lt;50000,"0-50",IF(K372:K1371&lt;100001,"51-100",IF(K372:K1371&lt;150001,"101-150",IF(K372:K1371&lt;200001,"151-200",IF(K372:K1371&lt;250001,"201-250","above 250")))))</f>
      </c>
      <c r="M372" s="57">
        <v>0</v>
      </c>
      <c r="N372" s="45" t="s">
        <v>9</v>
      </c>
      <c r="O372" s="45" t="s">
        <v>65</v>
      </c>
      <c r="P372" s="51"/>
      <c r="Q372" s="52">
        <f>IF(ISBLANK(P372:P1371), "", DATEDIF(J372:J1371, P372:P1371, "Y"))</f>
      </c>
    </row>
    <row x14ac:dyDescent="0.25" r="373" customHeight="1" ht="15.75">
      <c r="A373" s="45" t="s">
        <v>1466</v>
      </c>
      <c r="B373" s="45" t="s">
        <v>1077</v>
      </c>
      <c r="C373" s="45" t="s">
        <v>114</v>
      </c>
      <c r="D373" s="45" t="s">
        <v>32</v>
      </c>
      <c r="E373" s="45" t="s">
        <v>1094</v>
      </c>
      <c r="F373" s="45" t="s">
        <v>7</v>
      </c>
      <c r="G373" s="45" t="s">
        <v>14</v>
      </c>
      <c r="H373" s="53">
        <v>65</v>
      </c>
      <c r="I373" s="54">
        <f>IF(H373:H1372&lt;45, "Adult", IF(H373:H1372&lt;60, "Middle Age", IF(H373:H1372&lt;70, "Old", "Very Old")))</f>
      </c>
      <c r="J373" s="55">
        <v>43234</v>
      </c>
      <c r="K373" s="56">
        <v>60985</v>
      </c>
      <c r="L373" s="54">
        <f>IF(K373:K1372&lt;50000,"0-50",IF(K373:K1372&lt;100001,"51-100",IF(K373:K1372&lt;150001,"101-150",IF(K373:K1372&lt;200001,"151-200",IF(K373:K1372&lt;250001,"201-250","above 250")))))</f>
      </c>
      <c r="M373" s="57">
        <v>0</v>
      </c>
      <c r="N373" s="45" t="s">
        <v>15</v>
      </c>
      <c r="O373" s="45" t="s">
        <v>67</v>
      </c>
      <c r="P373" s="51"/>
      <c r="Q373" s="52">
        <f>IF(ISBLANK(P373:P1372), "", DATEDIF(J373:J1372, P373:P1372, "Y"))</f>
      </c>
    </row>
    <row x14ac:dyDescent="0.25" r="374" customHeight="1" ht="15.75">
      <c r="A374" s="45" t="s">
        <v>1467</v>
      </c>
      <c r="B374" s="45" t="s">
        <v>987</v>
      </c>
      <c r="C374" s="45" t="s">
        <v>132</v>
      </c>
      <c r="D374" s="45" t="s">
        <v>32</v>
      </c>
      <c r="E374" s="45" t="s">
        <v>1092</v>
      </c>
      <c r="F374" s="45" t="s">
        <v>7</v>
      </c>
      <c r="G374" s="45" t="s">
        <v>8</v>
      </c>
      <c r="H374" s="53">
        <v>60</v>
      </c>
      <c r="I374" s="54">
        <f>IF(H374:H1373&lt;45, "Adult", IF(H374:H1373&lt;60, "Middle Age", IF(H374:H1373&lt;70, "Old", "Very Old")))</f>
      </c>
      <c r="J374" s="55">
        <v>40383</v>
      </c>
      <c r="K374" s="56">
        <v>126911</v>
      </c>
      <c r="L374" s="54">
        <f>IF(K374:K1373&lt;50000,"0-50",IF(K374:K1373&lt;100001,"51-100",IF(K374:K1373&lt;150001,"101-150",IF(K374:K1373&lt;200001,"151-200",IF(K374:K1373&lt;250001,"201-250","above 250")))))</f>
      </c>
      <c r="M374" s="57">
        <v>0.1</v>
      </c>
      <c r="N374" s="45" t="s">
        <v>12</v>
      </c>
      <c r="O374" s="45" t="s">
        <v>69</v>
      </c>
      <c r="P374" s="51"/>
      <c r="Q374" s="52">
        <f>IF(ISBLANK(P374:P1373), "", DATEDIF(J374:J1373, P374:P1373, "Y"))</f>
      </c>
    </row>
    <row x14ac:dyDescent="0.25" r="375" customHeight="1" ht="15.75">
      <c r="A375" s="45" t="s">
        <v>1468</v>
      </c>
      <c r="B375" s="45" t="s">
        <v>910</v>
      </c>
      <c r="C375" s="45" t="s">
        <v>142</v>
      </c>
      <c r="D375" s="45" t="s">
        <v>36</v>
      </c>
      <c r="E375" s="45" t="s">
        <v>1092</v>
      </c>
      <c r="F375" s="45" t="s">
        <v>10</v>
      </c>
      <c r="G375" s="45" t="s">
        <v>8</v>
      </c>
      <c r="H375" s="53">
        <v>56</v>
      </c>
      <c r="I375" s="54">
        <f>IF(H375:H1374&lt;45, "Adult", IF(H375:H1374&lt;60, "Middle Age", IF(H375:H1374&lt;70, "Old", "Very Old")))</f>
      </c>
      <c r="J375" s="55">
        <v>38042</v>
      </c>
      <c r="K375" s="56">
        <v>216949</v>
      </c>
      <c r="L375" s="54">
        <f>IF(K375:K1374&lt;50000,"0-50",IF(K375:K1374&lt;100001,"51-100",IF(K375:K1374&lt;150001,"101-150",IF(K375:K1374&lt;200001,"151-200",IF(K375:K1374&lt;250001,"201-250","above 250")))))</f>
      </c>
      <c r="M375" s="57">
        <v>0.32</v>
      </c>
      <c r="N375" s="45" t="s">
        <v>12</v>
      </c>
      <c r="O375" s="45" t="s">
        <v>69</v>
      </c>
      <c r="P375" s="51"/>
      <c r="Q375" s="52">
        <f>IF(ISBLANK(P375:P1374), "", DATEDIF(J375:J1374, P375:P1374, "Y"))</f>
      </c>
    </row>
    <row x14ac:dyDescent="0.25" r="376" customHeight="1" ht="15.75">
      <c r="A376" s="45" t="s">
        <v>1469</v>
      </c>
      <c r="B376" s="45" t="s">
        <v>818</v>
      </c>
      <c r="C376" s="45" t="s">
        <v>96</v>
      </c>
      <c r="D376" s="45" t="s">
        <v>26</v>
      </c>
      <c r="E376" s="45" t="s">
        <v>1094</v>
      </c>
      <c r="F376" s="45" t="s">
        <v>10</v>
      </c>
      <c r="G376" s="45" t="s">
        <v>8</v>
      </c>
      <c r="H376" s="53">
        <v>53</v>
      </c>
      <c r="I376" s="54">
        <f>IF(H376:H1375&lt;45, "Adult", IF(H376:H1375&lt;60, "Middle Age", IF(H376:H1375&lt;70, "Old", "Very Old")))</f>
      </c>
      <c r="J376" s="55">
        <v>41204</v>
      </c>
      <c r="K376" s="56">
        <v>168510</v>
      </c>
      <c r="L376" s="54">
        <f>IF(K376:K1375&lt;50000,"0-50",IF(K376:K1375&lt;100001,"51-100",IF(K376:K1375&lt;150001,"101-150",IF(K376:K1375&lt;200001,"151-200",IF(K376:K1375&lt;250001,"201-250","above 250")))))</f>
      </c>
      <c r="M376" s="57">
        <v>0.29</v>
      </c>
      <c r="N376" s="45" t="s">
        <v>15</v>
      </c>
      <c r="O376" s="45" t="s">
        <v>67</v>
      </c>
      <c r="P376" s="51"/>
      <c r="Q376" s="52">
        <f>IF(ISBLANK(P376:P1375), "", DATEDIF(J376:J1375, P376:P1375, "Y"))</f>
      </c>
    </row>
    <row x14ac:dyDescent="0.25" r="377" customHeight="1" ht="15.75">
      <c r="A377" s="45" t="s">
        <v>1470</v>
      </c>
      <c r="B377" s="45" t="s">
        <v>365</v>
      </c>
      <c r="C377" s="45" t="s">
        <v>102</v>
      </c>
      <c r="D377" s="45" t="s">
        <v>26</v>
      </c>
      <c r="E377" s="45" t="s">
        <v>1096</v>
      </c>
      <c r="F377" s="45" t="s">
        <v>7</v>
      </c>
      <c r="G377" s="45" t="s">
        <v>17</v>
      </c>
      <c r="H377" s="53">
        <v>36</v>
      </c>
      <c r="I377" s="54">
        <f>IF(H377:H1376&lt;45, "Adult", IF(H377:H1376&lt;60, "Middle Age", IF(H377:H1376&lt;70, "Old", "Very Old")))</f>
      </c>
      <c r="J377" s="55">
        <v>42443</v>
      </c>
      <c r="K377" s="56">
        <v>85870</v>
      </c>
      <c r="L377" s="54">
        <f>IF(K377:K1376&lt;50000,"0-50",IF(K377:K1376&lt;100001,"51-100",IF(K377:K1376&lt;150001,"101-150",IF(K377:K1376&lt;200001,"151-200",IF(K377:K1376&lt;250001,"201-250","above 250")))))</f>
      </c>
      <c r="M377" s="57">
        <v>0</v>
      </c>
      <c r="N377" s="45" t="s">
        <v>9</v>
      </c>
      <c r="O377" s="45" t="s">
        <v>65</v>
      </c>
      <c r="P377" s="51"/>
      <c r="Q377" s="52">
        <f>IF(ISBLANK(P377:P1376), "", DATEDIF(J377:J1376, P377:P1376, "Y"))</f>
      </c>
    </row>
    <row x14ac:dyDescent="0.25" r="378" customHeight="1" ht="15.75">
      <c r="A378" s="45" t="s">
        <v>1471</v>
      </c>
      <c r="B378" s="45" t="s">
        <v>646</v>
      </c>
      <c r="C378" s="45" t="s">
        <v>128</v>
      </c>
      <c r="D378" s="45" t="s">
        <v>34</v>
      </c>
      <c r="E378" s="45" t="s">
        <v>1100</v>
      </c>
      <c r="F378" s="45" t="s">
        <v>7</v>
      </c>
      <c r="G378" s="45" t="s">
        <v>8</v>
      </c>
      <c r="H378" s="53">
        <v>46</v>
      </c>
      <c r="I378" s="54">
        <f>IF(H378:H1377&lt;45, "Adult", IF(H378:H1377&lt;60, "Middle Age", IF(H378:H1377&lt;70, "Old", "Very Old")))</f>
      </c>
      <c r="J378" s="55">
        <v>37271</v>
      </c>
      <c r="K378" s="56">
        <v>86510</v>
      </c>
      <c r="L378" s="54">
        <f>IF(K378:K1377&lt;50000,"0-50",IF(K378:K1377&lt;100001,"51-100",IF(K378:K1377&lt;150001,"101-150",IF(K378:K1377&lt;200001,"151-200",IF(K378:K1377&lt;250001,"201-250","above 250")))))</f>
      </c>
      <c r="M378" s="57">
        <v>0</v>
      </c>
      <c r="N378" s="45" t="s">
        <v>12</v>
      </c>
      <c r="O378" s="45" t="s">
        <v>47</v>
      </c>
      <c r="P378" s="58">
        <v>37623</v>
      </c>
      <c r="Q378" s="53">
        <f>IF(ISBLANK(P378:P1377), "", DATEDIF(J378:J1377, P378:P1377, "Y"))</f>
      </c>
    </row>
    <row x14ac:dyDescent="0.25" r="379" customHeight="1" ht="15.75">
      <c r="A379" s="45" t="s">
        <v>1472</v>
      </c>
      <c r="B379" s="45" t="s">
        <v>419</v>
      </c>
      <c r="C379" s="45" t="s">
        <v>110</v>
      </c>
      <c r="D379" s="45" t="s">
        <v>36</v>
      </c>
      <c r="E379" s="45" t="s">
        <v>1096</v>
      </c>
      <c r="F379" s="45" t="s">
        <v>7</v>
      </c>
      <c r="G379" s="45" t="s">
        <v>17</v>
      </c>
      <c r="H379" s="53">
        <v>38</v>
      </c>
      <c r="I379" s="54">
        <f>IF(H379:H1378&lt;45, "Adult", IF(H379:H1378&lt;60, "Middle Age", IF(H379:H1378&lt;70, "Old", "Very Old")))</f>
      </c>
      <c r="J379" s="55">
        <v>42999</v>
      </c>
      <c r="K379" s="56">
        <v>119647</v>
      </c>
      <c r="L379" s="54">
        <f>IF(K379:K1378&lt;50000,"0-50",IF(K379:K1378&lt;100001,"51-100",IF(K379:K1378&lt;150001,"101-150",IF(K379:K1378&lt;200001,"151-200",IF(K379:K1378&lt;250001,"201-250","above 250")))))</f>
      </c>
      <c r="M379" s="57">
        <v>0.09</v>
      </c>
      <c r="N379" s="45" t="s">
        <v>9</v>
      </c>
      <c r="O379" s="45" t="s">
        <v>65</v>
      </c>
      <c r="P379" s="51"/>
      <c r="Q379" s="52">
        <f>IF(ISBLANK(P379:P1378), "", DATEDIF(J379:J1378, P379:P1378, "Y"))</f>
      </c>
    </row>
    <row x14ac:dyDescent="0.25" r="380" customHeight="1" ht="15.75">
      <c r="A380" s="45" t="s">
        <v>1473</v>
      </c>
      <c r="B380" s="45" t="s">
        <v>1020</v>
      </c>
      <c r="C380" s="45" t="s">
        <v>100</v>
      </c>
      <c r="D380" s="45" t="s">
        <v>32</v>
      </c>
      <c r="E380" s="45" t="s">
        <v>1092</v>
      </c>
      <c r="F380" s="45" t="s">
        <v>10</v>
      </c>
      <c r="G380" s="45" t="s">
        <v>14</v>
      </c>
      <c r="H380" s="53">
        <v>62</v>
      </c>
      <c r="I380" s="54">
        <f>IF(H380:H1379&lt;45, "Adult", IF(H380:H1379&lt;60, "Middle Age", IF(H380:H1379&lt;70, "Old", "Very Old")))</f>
      </c>
      <c r="J380" s="55">
        <v>36996</v>
      </c>
      <c r="K380" s="56">
        <v>80921</v>
      </c>
      <c r="L380" s="54">
        <f>IF(K380:K1379&lt;50000,"0-50",IF(K380:K1379&lt;100001,"51-100",IF(K380:K1379&lt;150001,"101-150",IF(K380:K1379&lt;200001,"151-200",IF(K380:K1379&lt;250001,"201-250","above 250")))))</f>
      </c>
      <c r="M380" s="57">
        <v>0</v>
      </c>
      <c r="N380" s="45" t="s">
        <v>15</v>
      </c>
      <c r="O380" s="45" t="s">
        <v>55</v>
      </c>
      <c r="P380" s="51"/>
      <c r="Q380" s="52">
        <f>IF(ISBLANK(P380:P1379), "", DATEDIF(J380:J1379, P380:P1379, "Y"))</f>
      </c>
    </row>
    <row x14ac:dyDescent="0.25" r="381" customHeight="1" ht="15.75">
      <c r="A381" s="45" t="s">
        <v>1474</v>
      </c>
      <c r="B381" s="45" t="s">
        <v>1004</v>
      </c>
      <c r="C381" s="45" t="s">
        <v>98</v>
      </c>
      <c r="D381" s="45" t="s">
        <v>26</v>
      </c>
      <c r="E381" s="45" t="s">
        <v>1092</v>
      </c>
      <c r="F381" s="45" t="s">
        <v>7</v>
      </c>
      <c r="G381" s="45" t="s">
        <v>14</v>
      </c>
      <c r="H381" s="53">
        <v>61</v>
      </c>
      <c r="I381" s="54">
        <f>IF(H381:H1380&lt;45, "Adult", IF(H381:H1380&lt;60, "Middle Age", IF(H381:H1380&lt;70, "Old", "Very Old")))</f>
      </c>
      <c r="J381" s="55">
        <v>40193</v>
      </c>
      <c r="K381" s="56">
        <v>98110</v>
      </c>
      <c r="L381" s="54">
        <f>IF(K381:K1380&lt;50000,"0-50",IF(K381:K1380&lt;100001,"51-100",IF(K381:K1380&lt;150001,"101-150",IF(K381:K1380&lt;200001,"151-200",IF(K381:K1380&lt;250001,"201-250","above 250")))))</f>
      </c>
      <c r="M381" s="57">
        <v>0.13</v>
      </c>
      <c r="N381" s="45" t="s">
        <v>15</v>
      </c>
      <c r="O381" s="45" t="s">
        <v>51</v>
      </c>
      <c r="P381" s="51"/>
      <c r="Q381" s="52">
        <f>IF(ISBLANK(P381:P1380), "", DATEDIF(J381:J1380, P381:P1380, "Y"))</f>
      </c>
    </row>
    <row x14ac:dyDescent="0.25" r="382" customHeight="1" ht="15.75">
      <c r="A382" s="45" t="s">
        <v>1475</v>
      </c>
      <c r="B382" s="45" t="s">
        <v>962</v>
      </c>
      <c r="C382" s="45" t="s">
        <v>114</v>
      </c>
      <c r="D382" s="45" t="s">
        <v>32</v>
      </c>
      <c r="E382" s="45" t="s">
        <v>1096</v>
      </c>
      <c r="F382" s="45" t="s">
        <v>7</v>
      </c>
      <c r="G382" s="45" t="s">
        <v>14</v>
      </c>
      <c r="H382" s="53">
        <v>59</v>
      </c>
      <c r="I382" s="54">
        <f>IF(H382:H1381&lt;45, "Adult", IF(H382:H1381&lt;60, "Middle Age", IF(H382:H1381&lt;70, "Old", "Very Old")))</f>
      </c>
      <c r="J382" s="55">
        <v>43028</v>
      </c>
      <c r="K382" s="56">
        <v>86831</v>
      </c>
      <c r="L382" s="54">
        <f>IF(K382:K1381&lt;50000,"0-50",IF(K382:K1381&lt;100001,"51-100",IF(K382:K1381&lt;150001,"101-150",IF(K382:K1381&lt;200001,"151-200",IF(K382:K1381&lt;250001,"201-250","above 250")))))</f>
      </c>
      <c r="M382" s="57">
        <v>0</v>
      </c>
      <c r="N382" s="45" t="s">
        <v>15</v>
      </c>
      <c r="O382" s="45" t="s">
        <v>61</v>
      </c>
      <c r="P382" s="51"/>
      <c r="Q382" s="52">
        <f>IF(ISBLANK(P382:P1381), "", DATEDIF(J382:J1381, P382:P1381, "Y"))</f>
      </c>
    </row>
    <row x14ac:dyDescent="0.25" r="383" customHeight="1" ht="15.75">
      <c r="A383" s="45" t="s">
        <v>1476</v>
      </c>
      <c r="B383" s="45" t="s">
        <v>724</v>
      </c>
      <c r="C383" s="45" t="s">
        <v>138</v>
      </c>
      <c r="D383" s="45" t="s">
        <v>32</v>
      </c>
      <c r="E383" s="45" t="s">
        <v>1096</v>
      </c>
      <c r="F383" s="45" t="s">
        <v>7</v>
      </c>
      <c r="G383" s="45" t="s">
        <v>8</v>
      </c>
      <c r="H383" s="53">
        <v>49</v>
      </c>
      <c r="I383" s="54">
        <f>IF(H383:H1382&lt;45, "Adult", IF(H383:H1382&lt;60, "Middle Age", IF(H383:H1382&lt;70, "Old", "Very Old")))</f>
      </c>
      <c r="J383" s="55">
        <v>40431</v>
      </c>
      <c r="K383" s="56">
        <v>72826</v>
      </c>
      <c r="L383" s="54">
        <f>IF(K383:K1382&lt;50000,"0-50",IF(K383:K1382&lt;100001,"51-100",IF(K383:K1382&lt;150001,"101-150",IF(K383:K1382&lt;200001,"151-200",IF(K383:K1382&lt;250001,"201-250","above 250")))))</f>
      </c>
      <c r="M383" s="57">
        <v>0</v>
      </c>
      <c r="N383" s="45" t="s">
        <v>12</v>
      </c>
      <c r="O383" s="45" t="s">
        <v>47</v>
      </c>
      <c r="P383" s="51"/>
      <c r="Q383" s="52">
        <f>IF(ISBLANK(P383:P1382), "", DATEDIF(J383:J1382, P383:P1382, "Y"))</f>
      </c>
    </row>
    <row x14ac:dyDescent="0.25" r="384" customHeight="1" ht="15.75">
      <c r="A384" s="45" t="s">
        <v>1477</v>
      </c>
      <c r="B384" s="45" t="s">
        <v>1061</v>
      </c>
      <c r="C384" s="45" t="s">
        <v>96</v>
      </c>
      <c r="D384" s="45" t="s">
        <v>34</v>
      </c>
      <c r="E384" s="45" t="s">
        <v>1094</v>
      </c>
      <c r="F384" s="45" t="s">
        <v>7</v>
      </c>
      <c r="G384" s="45" t="s">
        <v>8</v>
      </c>
      <c r="H384" s="53">
        <v>64</v>
      </c>
      <c r="I384" s="54">
        <f>IF(H384:H1383&lt;45, "Adult", IF(H384:H1383&lt;60, "Middle Age", IF(H384:H1383&lt;70, "Old", "Very Old")))</f>
      </c>
      <c r="J384" s="55">
        <v>40588</v>
      </c>
      <c r="K384" s="56">
        <v>171217</v>
      </c>
      <c r="L384" s="54">
        <f>IF(K384:K1383&lt;50000,"0-50",IF(K384:K1383&lt;100001,"51-100",IF(K384:K1383&lt;150001,"101-150",IF(K384:K1383&lt;200001,"151-200",IF(K384:K1383&lt;250001,"201-250","above 250")))))</f>
      </c>
      <c r="M384" s="57">
        <v>0.19</v>
      </c>
      <c r="N384" s="45" t="s">
        <v>15</v>
      </c>
      <c r="O384" s="45" t="s">
        <v>67</v>
      </c>
      <c r="P384" s="51"/>
      <c r="Q384" s="52">
        <f>IF(ISBLANK(P384:P1383), "", DATEDIF(J384:J1383, P384:P1383, "Y"))</f>
      </c>
    </row>
    <row x14ac:dyDescent="0.25" r="385" customHeight="1" ht="15.75">
      <c r="A385" s="45" t="s">
        <v>1478</v>
      </c>
      <c r="B385" s="45" t="s">
        <v>928</v>
      </c>
      <c r="C385" s="45" t="s">
        <v>110</v>
      </c>
      <c r="D385" s="45" t="s">
        <v>32</v>
      </c>
      <c r="E385" s="45" t="s">
        <v>1092</v>
      </c>
      <c r="F385" s="45" t="s">
        <v>7</v>
      </c>
      <c r="G385" s="45" t="s">
        <v>14</v>
      </c>
      <c r="H385" s="53">
        <v>57</v>
      </c>
      <c r="I385" s="54">
        <f>IF(H385:H1384&lt;45, "Adult", IF(H385:H1384&lt;60, "Middle Age", IF(H385:H1384&lt;70, "Old", "Very Old")))</f>
      </c>
      <c r="J385" s="55">
        <v>43948</v>
      </c>
      <c r="K385" s="56">
        <v>103058</v>
      </c>
      <c r="L385" s="54">
        <f>IF(K385:K1384&lt;50000,"0-50",IF(K385:K1384&lt;100001,"51-100",IF(K385:K1384&lt;150001,"101-150",IF(K385:K1384&lt;200001,"151-200",IF(K385:K1384&lt;250001,"201-250","above 250")))))</f>
      </c>
      <c r="M385" s="57">
        <v>0.07</v>
      </c>
      <c r="N385" s="45" t="s">
        <v>15</v>
      </c>
      <c r="O385" s="45" t="s">
        <v>55</v>
      </c>
      <c r="P385" s="51"/>
      <c r="Q385" s="52">
        <f>IF(ISBLANK(P385:P1384), "", DATEDIF(J385:J1384, P385:P1384, "Y"))</f>
      </c>
    </row>
    <row x14ac:dyDescent="0.25" r="386" customHeight="1" ht="15.75">
      <c r="A386" s="45" t="s">
        <v>1479</v>
      </c>
      <c r="B386" s="45" t="s">
        <v>792</v>
      </c>
      <c r="C386" s="45" t="s">
        <v>110</v>
      </c>
      <c r="D386" s="45" t="s">
        <v>36</v>
      </c>
      <c r="E386" s="45" t="s">
        <v>1096</v>
      </c>
      <c r="F386" s="45" t="s">
        <v>10</v>
      </c>
      <c r="G386" s="45" t="s">
        <v>8</v>
      </c>
      <c r="H386" s="53">
        <v>52</v>
      </c>
      <c r="I386" s="54">
        <f>IF(H386:H1385&lt;45, "Adult", IF(H386:H1385&lt;60, "Middle Age", IF(H386:H1385&lt;70, "Old", "Very Old")))</f>
      </c>
      <c r="J386" s="55">
        <v>41858</v>
      </c>
      <c r="K386" s="56">
        <v>117062</v>
      </c>
      <c r="L386" s="54">
        <f>IF(K386:K1385&lt;50000,"0-50",IF(K386:K1385&lt;100001,"51-100",IF(K386:K1385&lt;150001,"101-150",IF(K386:K1385&lt;200001,"151-200",IF(K386:K1385&lt;250001,"201-250","above 250")))))</f>
      </c>
      <c r="M386" s="57">
        <v>0.07</v>
      </c>
      <c r="N386" s="45" t="s">
        <v>15</v>
      </c>
      <c r="O386" s="45" t="s">
        <v>61</v>
      </c>
      <c r="P386" s="51"/>
      <c r="Q386" s="52">
        <f>IF(ISBLANK(P386:P1385), "", DATEDIF(J386:J1385, P386:P1385, "Y"))</f>
      </c>
    </row>
    <row x14ac:dyDescent="0.25" r="387" customHeight="1" ht="15.75">
      <c r="A387" s="45" t="s">
        <v>1480</v>
      </c>
      <c r="B387" s="45" t="s">
        <v>458</v>
      </c>
      <c r="C387" s="45" t="s">
        <v>132</v>
      </c>
      <c r="D387" s="45" t="s">
        <v>24</v>
      </c>
      <c r="E387" s="45" t="s">
        <v>1096</v>
      </c>
      <c r="F387" s="45" t="s">
        <v>10</v>
      </c>
      <c r="G387" s="45" t="s">
        <v>17</v>
      </c>
      <c r="H387" s="53">
        <v>40</v>
      </c>
      <c r="I387" s="54">
        <f>IF(H387:H1386&lt;45, "Adult", IF(H387:H1386&lt;60, "Middle Age", IF(H387:H1386&lt;70, "Old", "Very Old")))</f>
      </c>
      <c r="J387" s="55">
        <v>43488</v>
      </c>
      <c r="K387" s="56">
        <v>159031</v>
      </c>
      <c r="L387" s="54">
        <f>IF(K387:K1386&lt;50000,"0-50",IF(K387:K1386&lt;100001,"51-100",IF(K387:K1386&lt;150001,"101-150",IF(K387:K1386&lt;200001,"151-200",IF(K387:K1386&lt;250001,"201-250","above 250")))))</f>
      </c>
      <c r="M387" s="57">
        <v>0.1</v>
      </c>
      <c r="N387" s="45" t="s">
        <v>15</v>
      </c>
      <c r="O387" s="45" t="s">
        <v>59</v>
      </c>
      <c r="P387" s="51"/>
      <c r="Q387" s="52">
        <f>IF(ISBLANK(P387:P1386), "", DATEDIF(J387:J1386, P387:P1386, "Y"))</f>
      </c>
    </row>
    <row x14ac:dyDescent="0.25" r="388" customHeight="1" ht="15.75">
      <c r="A388" s="45" t="s">
        <v>1481</v>
      </c>
      <c r="B388" s="45" t="s">
        <v>721</v>
      </c>
      <c r="C388" s="45" t="s">
        <v>132</v>
      </c>
      <c r="D388" s="45" t="s">
        <v>32</v>
      </c>
      <c r="E388" s="45" t="s">
        <v>1092</v>
      </c>
      <c r="F388" s="45" t="s">
        <v>7</v>
      </c>
      <c r="G388" s="45" t="s">
        <v>17</v>
      </c>
      <c r="H388" s="53">
        <v>49</v>
      </c>
      <c r="I388" s="54">
        <f>IF(H388:H1387&lt;45, "Adult", IF(H388:H1387&lt;60, "Middle Age", IF(H388:H1387&lt;70, "Old", "Very Old")))</f>
      </c>
      <c r="J388" s="55">
        <v>38000</v>
      </c>
      <c r="K388" s="56">
        <v>125086</v>
      </c>
      <c r="L388" s="54">
        <f>IF(K388:K1387&lt;50000,"0-50",IF(K388:K1387&lt;100001,"51-100",IF(K388:K1387&lt;150001,"101-150",IF(K388:K1387&lt;200001,"151-200",IF(K388:K1387&lt;250001,"201-250","above 250")))))</f>
      </c>
      <c r="M388" s="57">
        <v>0.1</v>
      </c>
      <c r="N388" s="45" t="s">
        <v>9</v>
      </c>
      <c r="O388" s="45" t="s">
        <v>65</v>
      </c>
      <c r="P388" s="51"/>
      <c r="Q388" s="52">
        <f>IF(ISBLANK(P388:P1387), "", DATEDIF(J388:J1387, P388:P1387, "Y"))</f>
      </c>
    </row>
    <row x14ac:dyDescent="0.25" r="389" customHeight="1" ht="15.75">
      <c r="A389" s="45" t="s">
        <v>1482</v>
      </c>
      <c r="B389" s="45" t="s">
        <v>527</v>
      </c>
      <c r="C389" s="45" t="s">
        <v>134</v>
      </c>
      <c r="D389" s="45" t="s">
        <v>32</v>
      </c>
      <c r="E389" s="45" t="s">
        <v>1096</v>
      </c>
      <c r="F389" s="45" t="s">
        <v>10</v>
      </c>
      <c r="G389" s="45" t="s">
        <v>14</v>
      </c>
      <c r="H389" s="53">
        <v>43</v>
      </c>
      <c r="I389" s="54">
        <f>IF(H389:H1388&lt;45, "Adult", IF(H389:H1388&lt;60, "Middle Age", IF(H389:H1388&lt;70, "Old", "Very Old")))</f>
      </c>
      <c r="J389" s="55">
        <v>42467</v>
      </c>
      <c r="K389" s="56">
        <v>67976</v>
      </c>
      <c r="L389" s="54">
        <f>IF(K389:K1388&lt;50000,"0-50",IF(K389:K1388&lt;100001,"51-100",IF(K389:K1388&lt;150001,"101-150",IF(K389:K1388&lt;200001,"151-200",IF(K389:K1388&lt;250001,"201-250","above 250")))))</f>
      </c>
      <c r="M389" s="57">
        <v>0</v>
      </c>
      <c r="N389" s="45" t="s">
        <v>15</v>
      </c>
      <c r="O389" s="45" t="s">
        <v>67</v>
      </c>
      <c r="P389" s="51"/>
      <c r="Q389" s="52">
        <f>IF(ISBLANK(P389:P1388), "", DATEDIF(J389:J1388, P389:P1388, "Y"))</f>
      </c>
    </row>
    <row x14ac:dyDescent="0.25" r="390" customHeight="1" ht="15.75">
      <c r="A390" s="45" t="s">
        <v>1483</v>
      </c>
      <c r="B390" s="45" t="s">
        <v>255</v>
      </c>
      <c r="C390" s="45" t="s">
        <v>82</v>
      </c>
      <c r="D390" s="45" t="s">
        <v>28</v>
      </c>
      <c r="E390" s="45" t="s">
        <v>1096</v>
      </c>
      <c r="F390" s="45" t="s">
        <v>10</v>
      </c>
      <c r="G390" s="45" t="s">
        <v>14</v>
      </c>
      <c r="H390" s="53">
        <v>31</v>
      </c>
      <c r="I390" s="54">
        <f>IF(H390:H1389&lt;45, "Adult", IF(H390:H1389&lt;60, "Middle Age", IF(H390:H1389&lt;70, "Old", "Very Old")))</f>
      </c>
      <c r="J390" s="55">
        <v>44308</v>
      </c>
      <c r="K390" s="56">
        <v>74215</v>
      </c>
      <c r="L390" s="54">
        <f>IF(K390:K1389&lt;50000,"0-50",IF(K390:K1389&lt;100001,"51-100",IF(K390:K1389&lt;150001,"101-150",IF(K390:K1389&lt;200001,"151-200",IF(K390:K1389&lt;250001,"201-250","above 250")))))</f>
      </c>
      <c r="M390" s="57">
        <v>0</v>
      </c>
      <c r="N390" s="45" t="s">
        <v>15</v>
      </c>
      <c r="O390" s="45" t="s">
        <v>61</v>
      </c>
      <c r="P390" s="51"/>
      <c r="Q390" s="52">
        <f>IF(ISBLANK(P390:P1389), "", DATEDIF(J390:J1389, P390:P1389, "Y"))</f>
      </c>
    </row>
    <row x14ac:dyDescent="0.25" r="391" customHeight="1" ht="15.75">
      <c r="A391" s="45" t="s">
        <v>1484</v>
      </c>
      <c r="B391" s="45" t="s">
        <v>879</v>
      </c>
      <c r="C391" s="45" t="s">
        <v>96</v>
      </c>
      <c r="D391" s="45" t="s">
        <v>24</v>
      </c>
      <c r="E391" s="45" t="s">
        <v>1094</v>
      </c>
      <c r="F391" s="45" t="s">
        <v>10</v>
      </c>
      <c r="G391" s="45" t="s">
        <v>8</v>
      </c>
      <c r="H391" s="53">
        <v>55</v>
      </c>
      <c r="I391" s="54">
        <f>IF(H391:H1390&lt;45, "Adult", IF(H391:H1390&lt;60, "Middle Age", IF(H391:H1390&lt;70, "Old", "Very Old")))</f>
      </c>
      <c r="J391" s="55">
        <v>40340</v>
      </c>
      <c r="K391" s="56">
        <v>187389</v>
      </c>
      <c r="L391" s="54">
        <f>IF(K391:K1390&lt;50000,"0-50",IF(K391:K1390&lt;100001,"51-100",IF(K391:K1390&lt;150001,"101-150",IF(K391:K1390&lt;200001,"151-200",IF(K391:K1390&lt;250001,"201-250","above 250")))))</f>
      </c>
      <c r="M391" s="57">
        <v>0.25</v>
      </c>
      <c r="N391" s="45" t="s">
        <v>12</v>
      </c>
      <c r="O391" s="45" t="s">
        <v>49</v>
      </c>
      <c r="P391" s="51"/>
      <c r="Q391" s="52">
        <f>IF(ISBLANK(P391:P1390), "", DATEDIF(J391:J1390, P391:P1390, "Y"))</f>
      </c>
    </row>
    <row x14ac:dyDescent="0.25" r="392" customHeight="1" ht="15.75">
      <c r="A392" s="45" t="s">
        <v>1485</v>
      </c>
      <c r="B392" s="45" t="s">
        <v>481</v>
      </c>
      <c r="C392" s="45" t="s">
        <v>132</v>
      </c>
      <c r="D392" s="45" t="s">
        <v>30</v>
      </c>
      <c r="E392" s="45" t="s">
        <v>1096</v>
      </c>
      <c r="F392" s="45" t="s">
        <v>7</v>
      </c>
      <c r="G392" s="45" t="s">
        <v>14</v>
      </c>
      <c r="H392" s="53">
        <v>41</v>
      </c>
      <c r="I392" s="54">
        <f>IF(H392:H1391&lt;45, "Adult", IF(H392:H1391&lt;60, "Middle Age", IF(H392:H1391&lt;70, "Old", "Very Old")))</f>
      </c>
      <c r="J392" s="55">
        <v>39747</v>
      </c>
      <c r="K392" s="56">
        <v>131841</v>
      </c>
      <c r="L392" s="54">
        <f>IF(K392:K1391&lt;50000,"0-50",IF(K392:K1391&lt;100001,"51-100",IF(K392:K1391&lt;150001,"101-150",IF(K392:K1391&lt;200001,"151-200",IF(K392:K1391&lt;250001,"201-250","above 250")))))</f>
      </c>
      <c r="M392" s="57">
        <v>0.13</v>
      </c>
      <c r="N392" s="45" t="s">
        <v>15</v>
      </c>
      <c r="O392" s="45" t="s">
        <v>55</v>
      </c>
      <c r="P392" s="51"/>
      <c r="Q392" s="52">
        <f>IF(ISBLANK(P392:P1391), "", DATEDIF(J392:J1391, P392:P1391, "Y"))</f>
      </c>
    </row>
    <row x14ac:dyDescent="0.25" r="393" customHeight="1" ht="15.75">
      <c r="A393" s="45" t="s">
        <v>1486</v>
      </c>
      <c r="B393" s="45" t="s">
        <v>329</v>
      </c>
      <c r="C393" s="45" t="s">
        <v>128</v>
      </c>
      <c r="D393" s="45" t="s">
        <v>24</v>
      </c>
      <c r="E393" s="45" t="s">
        <v>1092</v>
      </c>
      <c r="F393" s="45" t="s">
        <v>10</v>
      </c>
      <c r="G393" s="45" t="s">
        <v>8</v>
      </c>
      <c r="H393" s="53">
        <v>34</v>
      </c>
      <c r="I393" s="54">
        <f>IF(H393:H1392&lt;45, "Adult", IF(H393:H1392&lt;60, "Middle Age", IF(H393:H1392&lt;70, "Old", "Very Old")))</f>
      </c>
      <c r="J393" s="55">
        <v>40750</v>
      </c>
      <c r="K393" s="56">
        <v>97231</v>
      </c>
      <c r="L393" s="54">
        <f>IF(K393:K1392&lt;50000,"0-50",IF(K393:K1392&lt;100001,"51-100",IF(K393:K1392&lt;150001,"101-150",IF(K393:K1392&lt;200001,"151-200",IF(K393:K1392&lt;250001,"201-250","above 250")))))</f>
      </c>
      <c r="M393" s="57">
        <v>0</v>
      </c>
      <c r="N393" s="45" t="s">
        <v>12</v>
      </c>
      <c r="O393" s="45" t="s">
        <v>47</v>
      </c>
      <c r="P393" s="51"/>
      <c r="Q393" s="52">
        <f>IF(ISBLANK(P393:P1392), "", DATEDIF(J393:J1392, P393:P1392, "Y"))</f>
      </c>
    </row>
    <row x14ac:dyDescent="0.25" r="394" customHeight="1" ht="15.75">
      <c r="A394" s="45" t="s">
        <v>1487</v>
      </c>
      <c r="B394" s="45" t="s">
        <v>483</v>
      </c>
      <c r="C394" s="45" t="s">
        <v>132</v>
      </c>
      <c r="D394" s="45" t="s">
        <v>28</v>
      </c>
      <c r="E394" s="45" t="s">
        <v>1100</v>
      </c>
      <c r="F394" s="45" t="s">
        <v>7</v>
      </c>
      <c r="G394" s="45" t="s">
        <v>8</v>
      </c>
      <c r="H394" s="53">
        <v>41</v>
      </c>
      <c r="I394" s="54">
        <f>IF(H394:H1393&lt;45, "Adult", IF(H394:H1393&lt;60, "Middle Age", IF(H394:H1393&lt;70, "Old", "Very Old")))</f>
      </c>
      <c r="J394" s="55">
        <v>38060</v>
      </c>
      <c r="K394" s="56">
        <v>155004</v>
      </c>
      <c r="L394" s="54">
        <f>IF(K394:K1393&lt;50000,"0-50",IF(K394:K1393&lt;100001,"51-100",IF(K394:K1393&lt;150001,"101-150",IF(K394:K1393&lt;200001,"151-200",IF(K394:K1393&lt;250001,"201-250","above 250")))))</f>
      </c>
      <c r="M394" s="57">
        <v>0.12</v>
      </c>
      <c r="N394" s="45" t="s">
        <v>15</v>
      </c>
      <c r="O394" s="45" t="s">
        <v>42</v>
      </c>
      <c r="P394" s="51"/>
      <c r="Q394" s="52">
        <f>IF(ISBLANK(P394:P1393), "", DATEDIF(J394:J1393, P394:P1393, "Y"))</f>
      </c>
    </row>
    <row x14ac:dyDescent="0.25" r="395" customHeight="1" ht="15.75">
      <c r="A395" s="45" t="s">
        <v>1488</v>
      </c>
      <c r="B395" s="45" t="s">
        <v>464</v>
      </c>
      <c r="C395" s="45" t="s">
        <v>136</v>
      </c>
      <c r="D395" s="45" t="s">
        <v>32</v>
      </c>
      <c r="E395" s="45" t="s">
        <v>1094</v>
      </c>
      <c r="F395" s="45" t="s">
        <v>10</v>
      </c>
      <c r="G395" s="45" t="s">
        <v>8</v>
      </c>
      <c r="H395" s="53">
        <v>40</v>
      </c>
      <c r="I395" s="54">
        <f>IF(H395:H1394&lt;45, "Adult", IF(H395:H1394&lt;60, "Middle Age", IF(H395:H1394&lt;70, "Old", "Very Old")))</f>
      </c>
      <c r="J395" s="55">
        <v>39293</v>
      </c>
      <c r="K395" s="56">
        <v>41859</v>
      </c>
      <c r="L395" s="54">
        <f>IF(K395:K1394&lt;50000,"0-50",IF(K395:K1394&lt;100001,"51-100",IF(K395:K1394&lt;150001,"101-150",IF(K395:K1394&lt;200001,"151-200",IF(K395:K1394&lt;250001,"201-250","above 250")))))</f>
      </c>
      <c r="M395" s="57">
        <v>0</v>
      </c>
      <c r="N395" s="45" t="s">
        <v>15</v>
      </c>
      <c r="O395" s="45" t="s">
        <v>67</v>
      </c>
      <c r="P395" s="51"/>
      <c r="Q395" s="52">
        <f>IF(ISBLANK(P395:P1394), "", DATEDIF(J395:J1394, P395:P1394, "Y"))</f>
      </c>
    </row>
    <row x14ac:dyDescent="0.25" r="396" customHeight="1" ht="15.75">
      <c r="A396" s="45" t="s">
        <v>1489</v>
      </c>
      <c r="B396" s="45" t="s">
        <v>509</v>
      </c>
      <c r="C396" s="45" t="s">
        <v>106</v>
      </c>
      <c r="D396" s="45" t="s">
        <v>32</v>
      </c>
      <c r="E396" s="45" t="s">
        <v>1094</v>
      </c>
      <c r="F396" s="45" t="s">
        <v>10</v>
      </c>
      <c r="G396" s="45" t="s">
        <v>11</v>
      </c>
      <c r="H396" s="53">
        <v>42</v>
      </c>
      <c r="I396" s="54">
        <f>IF(H396:H1395&lt;45, "Adult", IF(H396:H1395&lt;60, "Middle Age", IF(H396:H1395&lt;70, "Old", "Very Old")))</f>
      </c>
      <c r="J396" s="55">
        <v>38984</v>
      </c>
      <c r="K396" s="56">
        <v>52733</v>
      </c>
      <c r="L396" s="54">
        <f>IF(K396:K1395&lt;50000,"0-50",IF(K396:K1395&lt;100001,"51-100",IF(K396:K1395&lt;150001,"101-150",IF(K396:K1395&lt;200001,"151-200",IF(K396:K1395&lt;250001,"201-250","above 250")))))</f>
      </c>
      <c r="M396" s="57">
        <v>0</v>
      </c>
      <c r="N396" s="45" t="s">
        <v>15</v>
      </c>
      <c r="O396" s="45" t="s">
        <v>51</v>
      </c>
      <c r="P396" s="51"/>
      <c r="Q396" s="52">
        <f>IF(ISBLANK(P396:P1395), "", DATEDIF(J396:J1395, P396:P1395, "Y"))</f>
      </c>
    </row>
    <row x14ac:dyDescent="0.25" r="397" customHeight="1" ht="15.75">
      <c r="A397" s="45" t="s">
        <v>1490</v>
      </c>
      <c r="B397" s="45" t="s">
        <v>253</v>
      </c>
      <c r="C397" s="45" t="s">
        <v>142</v>
      </c>
      <c r="D397" s="45" t="s">
        <v>30</v>
      </c>
      <c r="E397" s="45" t="s">
        <v>1100</v>
      </c>
      <c r="F397" s="45" t="s">
        <v>10</v>
      </c>
      <c r="G397" s="45" t="s">
        <v>8</v>
      </c>
      <c r="H397" s="53">
        <v>31</v>
      </c>
      <c r="I397" s="54">
        <f>IF(H397:H1396&lt;45, "Adult", IF(H397:H1396&lt;60, "Middle Age", IF(H397:H1396&lt;70, "Old", "Very Old")))</f>
      </c>
      <c r="J397" s="55">
        <v>42250</v>
      </c>
      <c r="K397" s="56">
        <v>250953</v>
      </c>
      <c r="L397" s="54">
        <f>IF(K397:K1396&lt;50000,"0-50",IF(K397:K1396&lt;100001,"51-100",IF(K397:K1396&lt;150001,"101-150",IF(K397:K1396&lt;200001,"151-200",IF(K397:K1396&lt;250001,"201-250","above 250")))))</f>
      </c>
      <c r="M397" s="57">
        <v>0.34</v>
      </c>
      <c r="N397" s="45" t="s">
        <v>15</v>
      </c>
      <c r="O397" s="45" t="s">
        <v>55</v>
      </c>
      <c r="P397" s="51"/>
      <c r="Q397" s="52">
        <f>IF(ISBLANK(P397:P1396), "", DATEDIF(J397:J1396, P397:P1396, "Y"))</f>
      </c>
    </row>
    <row x14ac:dyDescent="0.25" r="398" customHeight="1" ht="15.75">
      <c r="A398" s="45" t="s">
        <v>1491</v>
      </c>
      <c r="B398" s="45" t="s">
        <v>723</v>
      </c>
      <c r="C398" s="45" t="s">
        <v>96</v>
      </c>
      <c r="D398" s="45" t="s">
        <v>34</v>
      </c>
      <c r="E398" s="45" t="s">
        <v>1092</v>
      </c>
      <c r="F398" s="45" t="s">
        <v>10</v>
      </c>
      <c r="G398" s="45" t="s">
        <v>8</v>
      </c>
      <c r="H398" s="53">
        <v>49</v>
      </c>
      <c r="I398" s="54">
        <f>IF(H398:H1397&lt;45, "Adult", IF(H398:H1397&lt;60, "Middle Age", IF(H398:H1397&lt;70, "Old", "Very Old")))</f>
      </c>
      <c r="J398" s="55">
        <v>36210</v>
      </c>
      <c r="K398" s="56">
        <v>191807</v>
      </c>
      <c r="L398" s="54">
        <f>IF(K398:K1397&lt;50000,"0-50",IF(K398:K1397&lt;100001,"51-100",IF(K398:K1397&lt;150001,"101-150",IF(K398:K1397&lt;200001,"151-200",IF(K398:K1397&lt;250001,"201-250","above 250")))))</f>
      </c>
      <c r="M398" s="57">
        <v>0.21</v>
      </c>
      <c r="N398" s="45" t="s">
        <v>12</v>
      </c>
      <c r="O398" s="45" t="s">
        <v>53</v>
      </c>
      <c r="P398" s="51"/>
      <c r="Q398" s="52">
        <f>IF(ISBLANK(P398:P1397), "", DATEDIF(J398:J1397, P398:P1397, "Y"))</f>
      </c>
    </row>
    <row x14ac:dyDescent="0.25" r="399" customHeight="1" ht="15.75">
      <c r="A399" s="45" t="s">
        <v>1492</v>
      </c>
      <c r="B399" s="45" t="s">
        <v>502</v>
      </c>
      <c r="C399" s="45" t="s">
        <v>138</v>
      </c>
      <c r="D399" s="45" t="s">
        <v>32</v>
      </c>
      <c r="E399" s="45" t="s">
        <v>1096</v>
      </c>
      <c r="F399" s="45" t="s">
        <v>10</v>
      </c>
      <c r="G399" s="45" t="s">
        <v>8</v>
      </c>
      <c r="H399" s="53">
        <v>42</v>
      </c>
      <c r="I399" s="54">
        <f>IF(H399:H1398&lt;45, "Adult", IF(H399:H1398&lt;60, "Middle Age", IF(H399:H1398&lt;70, "Old", "Very Old")))</f>
      </c>
      <c r="J399" s="55">
        <v>41813</v>
      </c>
      <c r="K399" s="56">
        <v>64677</v>
      </c>
      <c r="L399" s="54">
        <f>IF(K399:K1398&lt;50000,"0-50",IF(K399:K1398&lt;100001,"51-100",IF(K399:K1398&lt;150001,"101-150",IF(K399:K1398&lt;200001,"151-200",IF(K399:K1398&lt;250001,"201-250","above 250")))))</f>
      </c>
      <c r="M399" s="57">
        <v>0</v>
      </c>
      <c r="N399" s="45" t="s">
        <v>12</v>
      </c>
      <c r="O399" s="45" t="s">
        <v>53</v>
      </c>
      <c r="P399" s="51"/>
      <c r="Q399" s="52">
        <f>IF(ISBLANK(P399:P1398), "", DATEDIF(J399:J1398, P399:P1398, "Y"))</f>
      </c>
    </row>
    <row x14ac:dyDescent="0.25" r="400" customHeight="1" ht="15.75">
      <c r="A400" s="45" t="s">
        <v>1493</v>
      </c>
      <c r="B400" s="45" t="s">
        <v>649</v>
      </c>
      <c r="C400" s="45" t="s">
        <v>132</v>
      </c>
      <c r="D400" s="45" t="s">
        <v>32</v>
      </c>
      <c r="E400" s="45" t="s">
        <v>1100</v>
      </c>
      <c r="F400" s="45" t="s">
        <v>10</v>
      </c>
      <c r="G400" s="45" t="s">
        <v>14</v>
      </c>
      <c r="H400" s="53">
        <v>46</v>
      </c>
      <c r="I400" s="54">
        <f>IF(H400:H1399&lt;45, "Adult", IF(H400:H1399&lt;60, "Middle Age", IF(H400:H1399&lt;70, "Old", "Very Old")))</f>
      </c>
      <c r="J400" s="55">
        <v>38244</v>
      </c>
      <c r="K400" s="56">
        <v>130274</v>
      </c>
      <c r="L400" s="54">
        <f>IF(K400:K1399&lt;50000,"0-50",IF(K400:K1399&lt;100001,"51-100",IF(K400:K1399&lt;150001,"101-150",IF(K400:K1399&lt;200001,"151-200",IF(K400:K1399&lt;250001,"201-250","above 250")))))</f>
      </c>
      <c r="M400" s="57">
        <v>0.11</v>
      </c>
      <c r="N400" s="45" t="s">
        <v>15</v>
      </c>
      <c r="O400" s="45" t="s">
        <v>51</v>
      </c>
      <c r="P400" s="51"/>
      <c r="Q400" s="52">
        <f>IF(ISBLANK(P400:P1399), "", DATEDIF(J400:J1399, P400:P1399, "Y"))</f>
      </c>
    </row>
    <row x14ac:dyDescent="0.25" r="401" customHeight="1" ht="15.75">
      <c r="A401" s="45" t="s">
        <v>1494</v>
      </c>
      <c r="B401" s="45" t="s">
        <v>393</v>
      </c>
      <c r="C401" s="45" t="s">
        <v>114</v>
      </c>
      <c r="D401" s="45" t="s">
        <v>32</v>
      </c>
      <c r="E401" s="45" t="s">
        <v>1092</v>
      </c>
      <c r="F401" s="45" t="s">
        <v>10</v>
      </c>
      <c r="G401" s="45" t="s">
        <v>8</v>
      </c>
      <c r="H401" s="53">
        <v>37</v>
      </c>
      <c r="I401" s="54">
        <f>IF(H401:H1400&lt;45, "Adult", IF(H401:H1400&lt;60, "Middle Age", IF(H401:H1400&lt;70, "Old", "Very Old")))</f>
      </c>
      <c r="J401" s="55">
        <v>42922</v>
      </c>
      <c r="K401" s="56">
        <v>96331</v>
      </c>
      <c r="L401" s="54">
        <f>IF(K401:K1400&lt;50000,"0-50",IF(K401:K1400&lt;100001,"51-100",IF(K401:K1400&lt;150001,"101-150",IF(K401:K1400&lt;200001,"151-200",IF(K401:K1400&lt;250001,"201-250","above 250")))))</f>
      </c>
      <c r="M401" s="57">
        <v>0</v>
      </c>
      <c r="N401" s="45" t="s">
        <v>12</v>
      </c>
      <c r="O401" s="45" t="s">
        <v>69</v>
      </c>
      <c r="P401" s="51"/>
      <c r="Q401" s="52">
        <f>IF(ISBLANK(P401:P1400), "", DATEDIF(J401:J1400, P401:P1400, "Y"))</f>
      </c>
    </row>
    <row x14ac:dyDescent="0.25" r="402" customHeight="1" ht="15.75">
      <c r="A402" s="45" t="s">
        <v>1495</v>
      </c>
      <c r="B402" s="45" t="s">
        <v>772</v>
      </c>
      <c r="C402" s="45" t="s">
        <v>132</v>
      </c>
      <c r="D402" s="45" t="s">
        <v>28</v>
      </c>
      <c r="E402" s="45" t="s">
        <v>1092</v>
      </c>
      <c r="F402" s="45" t="s">
        <v>7</v>
      </c>
      <c r="G402" s="45" t="s">
        <v>14</v>
      </c>
      <c r="H402" s="53">
        <v>51</v>
      </c>
      <c r="I402" s="54">
        <f>IF(H402:H1401&lt;45, "Adult", IF(H402:H1401&lt;60, "Middle Age", IF(H402:H1401&lt;70, "Old", "Very Old")))</f>
      </c>
      <c r="J402" s="55">
        <v>38835</v>
      </c>
      <c r="K402" s="56">
        <v>150758</v>
      </c>
      <c r="L402" s="54">
        <f>IF(K402:K1401&lt;50000,"0-50",IF(K402:K1401&lt;100001,"51-100",IF(K402:K1401&lt;150001,"101-150",IF(K402:K1401&lt;200001,"151-200",IF(K402:K1401&lt;250001,"201-250","above 250")))))</f>
      </c>
      <c r="M402" s="57">
        <v>0.13</v>
      </c>
      <c r="N402" s="45" t="s">
        <v>15</v>
      </c>
      <c r="O402" s="45" t="s">
        <v>51</v>
      </c>
      <c r="P402" s="58">
        <v>39310</v>
      </c>
      <c r="Q402" s="53">
        <f>IF(ISBLANK(P402:P1401), "", DATEDIF(J402:J1401, P402:P1401, "Y"))</f>
      </c>
    </row>
    <row x14ac:dyDescent="0.25" r="403" customHeight="1" ht="15.75">
      <c r="A403" s="45" t="s">
        <v>1496</v>
      </c>
      <c r="B403" s="45" t="s">
        <v>648</v>
      </c>
      <c r="C403" s="45" t="s">
        <v>96</v>
      </c>
      <c r="D403" s="45" t="s">
        <v>26</v>
      </c>
      <c r="E403" s="45" t="s">
        <v>1100</v>
      </c>
      <c r="F403" s="45" t="s">
        <v>10</v>
      </c>
      <c r="G403" s="45" t="s">
        <v>17</v>
      </c>
      <c r="H403" s="53">
        <v>46</v>
      </c>
      <c r="I403" s="54">
        <f>IF(H403:H1402&lt;45, "Adult", IF(H403:H1402&lt;60, "Middle Age", IF(H403:H1402&lt;70, "Old", "Very Old")))</f>
      </c>
      <c r="J403" s="55">
        <v>41839</v>
      </c>
      <c r="K403" s="56">
        <v>173629</v>
      </c>
      <c r="L403" s="54">
        <f>IF(K403:K1402&lt;50000,"0-50",IF(K403:K1402&lt;100001,"51-100",IF(K403:K1402&lt;150001,"101-150",IF(K403:K1402&lt;200001,"151-200",IF(K403:K1402&lt;250001,"201-250","above 250")))))</f>
      </c>
      <c r="M403" s="57">
        <v>0.21</v>
      </c>
      <c r="N403" s="45" t="s">
        <v>9</v>
      </c>
      <c r="O403" s="45" t="s">
        <v>65</v>
      </c>
      <c r="P403" s="51"/>
      <c r="Q403" s="52">
        <f>IF(ISBLANK(P403:P1402), "", DATEDIF(J403:J1402, P403:P1402, "Y"))</f>
      </c>
    </row>
    <row x14ac:dyDescent="0.25" r="404" customHeight="1" ht="15.75">
      <c r="A404" s="45" t="s">
        <v>1497</v>
      </c>
      <c r="B404" s="45" t="s">
        <v>896</v>
      </c>
      <c r="C404" s="45" t="s">
        <v>124</v>
      </c>
      <c r="D404" s="45" t="s">
        <v>32</v>
      </c>
      <c r="E404" s="45" t="s">
        <v>1100</v>
      </c>
      <c r="F404" s="45" t="s">
        <v>10</v>
      </c>
      <c r="G404" s="45" t="s">
        <v>11</v>
      </c>
      <c r="H404" s="53">
        <v>55</v>
      </c>
      <c r="I404" s="54">
        <f>IF(H404:H1403&lt;45, "Adult", IF(H404:H1403&lt;60, "Middle Age", IF(H404:H1403&lt;70, "Old", "Very Old")))</f>
      </c>
      <c r="J404" s="55">
        <v>35919</v>
      </c>
      <c r="K404" s="56">
        <v>62174</v>
      </c>
      <c r="L404" s="54">
        <f>IF(K404:K1403&lt;50000,"0-50",IF(K404:K1403&lt;100001,"51-100",IF(K404:K1403&lt;150001,"101-150",IF(K404:K1403&lt;200001,"151-200",IF(K404:K1403&lt;250001,"201-250","above 250")))))</f>
      </c>
      <c r="M404" s="57">
        <v>0</v>
      </c>
      <c r="N404" s="45" t="s">
        <v>15</v>
      </c>
      <c r="O404" s="45" t="s">
        <v>51</v>
      </c>
      <c r="P404" s="51"/>
      <c r="Q404" s="52">
        <f>IF(ISBLANK(P404:P1403), "", DATEDIF(J404:J1403, P404:P1403, "Y"))</f>
      </c>
    </row>
    <row x14ac:dyDescent="0.25" r="405" customHeight="1" ht="15.75">
      <c r="A405" s="45" t="s">
        <v>1498</v>
      </c>
      <c r="B405" s="45" t="s">
        <v>532</v>
      </c>
      <c r="C405" s="45" t="s">
        <v>82</v>
      </c>
      <c r="D405" s="45" t="s">
        <v>24</v>
      </c>
      <c r="E405" s="45" t="s">
        <v>1094</v>
      </c>
      <c r="F405" s="45" t="s">
        <v>10</v>
      </c>
      <c r="G405" s="45" t="s">
        <v>14</v>
      </c>
      <c r="H405" s="53">
        <v>43</v>
      </c>
      <c r="I405" s="54">
        <f>IF(H405:H1404&lt;45, "Adult", IF(H405:H1404&lt;60, "Middle Age", IF(H405:H1404&lt;70, "Old", "Very Old")))</f>
      </c>
      <c r="J405" s="55">
        <v>43028</v>
      </c>
      <c r="K405" s="56">
        <v>56555</v>
      </c>
      <c r="L405" s="54">
        <f>IF(K405:K1404&lt;50000,"0-50",IF(K405:K1404&lt;100001,"51-100",IF(K405:K1404&lt;150001,"101-150",IF(K405:K1404&lt;200001,"151-200",IF(K405:K1404&lt;250001,"201-250","above 250")))))</f>
      </c>
      <c r="M405" s="57">
        <v>0</v>
      </c>
      <c r="N405" s="45" t="s">
        <v>15</v>
      </c>
      <c r="O405" s="45" t="s">
        <v>61</v>
      </c>
      <c r="P405" s="51"/>
      <c r="Q405" s="52">
        <f>IF(ISBLANK(P405:P1404), "", DATEDIF(J405:J1404, P405:P1404, "Y"))</f>
      </c>
    </row>
    <row x14ac:dyDescent="0.25" r="406" customHeight="1" ht="15.75">
      <c r="A406" s="45" t="s">
        <v>1499</v>
      </c>
      <c r="B406" s="45" t="s">
        <v>697</v>
      </c>
      <c r="C406" s="45" t="s">
        <v>82</v>
      </c>
      <c r="D406" s="45" t="s">
        <v>34</v>
      </c>
      <c r="E406" s="45" t="s">
        <v>1094</v>
      </c>
      <c r="F406" s="45" t="s">
        <v>10</v>
      </c>
      <c r="G406" s="45" t="s">
        <v>14</v>
      </c>
      <c r="H406" s="53">
        <v>48</v>
      </c>
      <c r="I406" s="54">
        <f>IF(H406:H1405&lt;45, "Adult", IF(H406:H1405&lt;60, "Middle Age", IF(H406:H1405&lt;70, "Old", "Very Old")))</f>
      </c>
      <c r="J406" s="55">
        <v>38623</v>
      </c>
      <c r="K406" s="56">
        <v>74655</v>
      </c>
      <c r="L406" s="54">
        <f>IF(K406:K1405&lt;50000,"0-50",IF(K406:K1405&lt;100001,"51-100",IF(K406:K1405&lt;150001,"101-150",IF(K406:K1405&lt;200001,"151-200",IF(K406:K1405&lt;250001,"201-250","above 250")))))</f>
      </c>
      <c r="M406" s="57">
        <v>0</v>
      </c>
      <c r="N406" s="45" t="s">
        <v>15</v>
      </c>
      <c r="O406" s="45" t="s">
        <v>42</v>
      </c>
      <c r="P406" s="51"/>
      <c r="Q406" s="52">
        <f>IF(ISBLANK(P406:P1405), "", DATEDIF(J406:J1405, P406:P1405, "Y"))</f>
      </c>
    </row>
    <row x14ac:dyDescent="0.25" r="407" customHeight="1" ht="15.75">
      <c r="A407" s="45" t="s">
        <v>1500</v>
      </c>
      <c r="B407" s="45" t="s">
        <v>699</v>
      </c>
      <c r="C407" s="45" t="s">
        <v>134</v>
      </c>
      <c r="D407" s="45" t="s">
        <v>32</v>
      </c>
      <c r="E407" s="45" t="s">
        <v>1100</v>
      </c>
      <c r="F407" s="45" t="s">
        <v>10</v>
      </c>
      <c r="G407" s="45" t="s">
        <v>14</v>
      </c>
      <c r="H407" s="53">
        <v>48</v>
      </c>
      <c r="I407" s="54">
        <f>IF(H407:H1406&lt;45, "Adult", IF(H407:H1406&lt;60, "Middle Age", IF(H407:H1406&lt;70, "Old", "Very Old")))</f>
      </c>
      <c r="J407" s="55">
        <v>37844</v>
      </c>
      <c r="K407" s="56">
        <v>93017</v>
      </c>
      <c r="L407" s="54">
        <f>IF(K407:K1406&lt;50000,"0-50",IF(K407:K1406&lt;100001,"51-100",IF(K407:K1406&lt;150001,"101-150",IF(K407:K1406&lt;200001,"151-200",IF(K407:K1406&lt;250001,"201-250","above 250")))))</f>
      </c>
      <c r="M407" s="57">
        <v>0</v>
      </c>
      <c r="N407" s="45" t="s">
        <v>15</v>
      </c>
      <c r="O407" s="45" t="s">
        <v>67</v>
      </c>
      <c r="P407" s="51"/>
      <c r="Q407" s="52">
        <f>IF(ISBLANK(P407:P1406), "", DATEDIF(J407:J1406, P407:P1406, "Y"))</f>
      </c>
    </row>
    <row x14ac:dyDescent="0.25" r="408" customHeight="1" ht="15.75">
      <c r="A408" s="45" t="s">
        <v>1501</v>
      </c>
      <c r="B408" s="45" t="s">
        <v>770</v>
      </c>
      <c r="C408" s="45" t="s">
        <v>128</v>
      </c>
      <c r="D408" s="45" t="s">
        <v>34</v>
      </c>
      <c r="E408" s="45" t="s">
        <v>1094</v>
      </c>
      <c r="F408" s="45" t="s">
        <v>10</v>
      </c>
      <c r="G408" s="45" t="s">
        <v>8</v>
      </c>
      <c r="H408" s="53">
        <v>51</v>
      </c>
      <c r="I408" s="54">
        <f>IF(H408:H1407&lt;45, "Adult", IF(H408:H1407&lt;60, "Middle Age", IF(H408:H1407&lt;70, "Old", "Very Old")))</f>
      </c>
      <c r="J408" s="55">
        <v>41013</v>
      </c>
      <c r="K408" s="56">
        <v>82300</v>
      </c>
      <c r="L408" s="54">
        <f>IF(K408:K1407&lt;50000,"0-50",IF(K408:K1407&lt;100001,"51-100",IF(K408:K1407&lt;150001,"101-150",IF(K408:K1407&lt;200001,"151-200",IF(K408:K1407&lt;250001,"201-250","above 250")))))</f>
      </c>
      <c r="M408" s="57">
        <v>0</v>
      </c>
      <c r="N408" s="45" t="s">
        <v>12</v>
      </c>
      <c r="O408" s="45" t="s">
        <v>49</v>
      </c>
      <c r="P408" s="51"/>
      <c r="Q408" s="52">
        <f>IF(ISBLANK(P408:P1407), "", DATEDIF(J408:J1407, P408:P1407, "Y"))</f>
      </c>
    </row>
    <row x14ac:dyDescent="0.25" r="409" customHeight="1" ht="15.75">
      <c r="A409" s="45" t="s">
        <v>1502</v>
      </c>
      <c r="B409" s="45" t="s">
        <v>641</v>
      </c>
      <c r="C409" s="45" t="s">
        <v>84</v>
      </c>
      <c r="D409" s="45" t="s">
        <v>26</v>
      </c>
      <c r="E409" s="45" t="s">
        <v>1092</v>
      </c>
      <c r="F409" s="45" t="s">
        <v>7</v>
      </c>
      <c r="G409" s="45" t="s">
        <v>14</v>
      </c>
      <c r="H409" s="53">
        <v>46</v>
      </c>
      <c r="I409" s="54">
        <f>IF(H409:H1408&lt;45, "Adult", IF(H409:H1408&lt;60, "Middle Age", IF(H409:H1408&lt;70, "Old", "Very Old")))</f>
      </c>
      <c r="J409" s="55">
        <v>39471</v>
      </c>
      <c r="K409" s="56">
        <v>91621</v>
      </c>
      <c r="L409" s="54">
        <f>IF(K409:K1408&lt;50000,"0-50",IF(K409:K1408&lt;100001,"51-100",IF(K409:K1408&lt;150001,"101-150",IF(K409:K1408&lt;200001,"151-200",IF(K409:K1408&lt;250001,"201-250","above 250")))))</f>
      </c>
      <c r="M409" s="57">
        <v>0</v>
      </c>
      <c r="N409" s="45" t="s">
        <v>15</v>
      </c>
      <c r="O409" s="45" t="s">
        <v>51</v>
      </c>
      <c r="P409" s="51"/>
      <c r="Q409" s="52">
        <f>IF(ISBLANK(P409:P1408), "", DATEDIF(J409:J1408, P409:P1408, "Y"))</f>
      </c>
    </row>
    <row x14ac:dyDescent="0.25" r="410" customHeight="1" ht="15.75">
      <c r="A410" s="45" t="s">
        <v>1503</v>
      </c>
      <c r="B410" s="45" t="s">
        <v>300</v>
      </c>
      <c r="C410" s="45" t="s">
        <v>128</v>
      </c>
      <c r="D410" s="45" t="s">
        <v>34</v>
      </c>
      <c r="E410" s="45" t="s">
        <v>1092</v>
      </c>
      <c r="F410" s="45" t="s">
        <v>10</v>
      </c>
      <c r="G410" s="45" t="s">
        <v>17</v>
      </c>
      <c r="H410" s="53">
        <v>33</v>
      </c>
      <c r="I410" s="54">
        <f>IF(H410:H1409&lt;45, "Adult", IF(H410:H1409&lt;60, "Middle Age", IF(H410:H1409&lt;70, "Old", "Very Old")))</f>
      </c>
      <c r="J410" s="55">
        <v>41973</v>
      </c>
      <c r="K410" s="56">
        <v>91280</v>
      </c>
      <c r="L410" s="54">
        <f>IF(K410:K1409&lt;50000,"0-50",IF(K410:K1409&lt;100001,"51-100",IF(K410:K1409&lt;150001,"101-150",IF(K410:K1409&lt;200001,"151-200",IF(K410:K1409&lt;250001,"201-250","above 250")))))</f>
      </c>
      <c r="M410" s="57">
        <v>0</v>
      </c>
      <c r="N410" s="45" t="s">
        <v>15</v>
      </c>
      <c r="O410" s="45" t="s">
        <v>59</v>
      </c>
      <c r="P410" s="51"/>
      <c r="Q410" s="52">
        <f>IF(ISBLANK(P410:P1409), "", DATEDIF(J410:J1409, P410:P1409, "Y"))</f>
      </c>
    </row>
    <row x14ac:dyDescent="0.25" r="411" customHeight="1" ht="15.75">
      <c r="A411" s="45" t="s">
        <v>1504</v>
      </c>
      <c r="B411" s="45" t="s">
        <v>503</v>
      </c>
      <c r="C411" s="45" t="s">
        <v>86</v>
      </c>
      <c r="D411" s="45" t="s">
        <v>30</v>
      </c>
      <c r="E411" s="45" t="s">
        <v>1094</v>
      </c>
      <c r="F411" s="45" t="s">
        <v>7</v>
      </c>
      <c r="G411" s="45" t="s">
        <v>11</v>
      </c>
      <c r="H411" s="53">
        <v>42</v>
      </c>
      <c r="I411" s="54">
        <f>IF(H411:H1410&lt;45, "Adult", IF(H411:H1410&lt;60, "Middle Age", IF(H411:H1410&lt;70, "Old", "Very Old")))</f>
      </c>
      <c r="J411" s="55">
        <v>44092</v>
      </c>
      <c r="K411" s="56">
        <v>47071</v>
      </c>
      <c r="L411" s="54">
        <f>IF(K411:K1410&lt;50000,"0-50",IF(K411:K1410&lt;100001,"51-100",IF(K411:K1410&lt;150001,"101-150",IF(K411:K1410&lt;200001,"151-200",IF(K411:K1410&lt;250001,"201-250","above 250")))))</f>
      </c>
      <c r="M411" s="57">
        <v>0</v>
      </c>
      <c r="N411" s="45" t="s">
        <v>15</v>
      </c>
      <c r="O411" s="45" t="s">
        <v>55</v>
      </c>
      <c r="P411" s="51"/>
      <c r="Q411" s="52">
        <f>IF(ISBLANK(P411:P1410), "", DATEDIF(J411:J1410, P411:P1410, "Y"))</f>
      </c>
    </row>
    <row x14ac:dyDescent="0.25" r="412" customHeight="1" ht="15.75">
      <c r="A412" s="45" t="s">
        <v>1505</v>
      </c>
      <c r="B412" s="45" t="s">
        <v>895</v>
      </c>
      <c r="C412" s="45" t="s">
        <v>108</v>
      </c>
      <c r="D412" s="45" t="s">
        <v>32</v>
      </c>
      <c r="E412" s="45" t="s">
        <v>1094</v>
      </c>
      <c r="F412" s="45" t="s">
        <v>7</v>
      </c>
      <c r="G412" s="45" t="s">
        <v>14</v>
      </c>
      <c r="H412" s="53">
        <v>55</v>
      </c>
      <c r="I412" s="54">
        <f>IF(H412:H1411&lt;45, "Adult", IF(H412:H1411&lt;60, "Middle Age", IF(H412:H1411&lt;70, "Old", "Very Old")))</f>
      </c>
      <c r="J412" s="55">
        <v>40868</v>
      </c>
      <c r="K412" s="56">
        <v>81218</v>
      </c>
      <c r="L412" s="54">
        <f>IF(K412:K1411&lt;50000,"0-50",IF(K412:K1411&lt;100001,"51-100",IF(K412:K1411&lt;150001,"101-150",IF(K412:K1411&lt;200001,"151-200",IF(K412:K1411&lt;250001,"201-250","above 250")))))</f>
      </c>
      <c r="M412" s="57">
        <v>0</v>
      </c>
      <c r="N412" s="45" t="s">
        <v>15</v>
      </c>
      <c r="O412" s="45" t="s">
        <v>51</v>
      </c>
      <c r="P412" s="51"/>
      <c r="Q412" s="52">
        <f>IF(ISBLANK(P412:P1411), "", DATEDIF(J412:J1411, P412:P1411, "Y"))</f>
      </c>
    </row>
    <row x14ac:dyDescent="0.25" r="413" customHeight="1" ht="15.75">
      <c r="A413" s="45" t="s">
        <v>1506</v>
      </c>
      <c r="B413" s="45" t="s">
        <v>745</v>
      </c>
      <c r="C413" s="45" t="s">
        <v>142</v>
      </c>
      <c r="D413" s="45" t="s">
        <v>26</v>
      </c>
      <c r="E413" s="45" t="s">
        <v>1094</v>
      </c>
      <c r="F413" s="45" t="s">
        <v>7</v>
      </c>
      <c r="G413" s="45" t="s">
        <v>8</v>
      </c>
      <c r="H413" s="53">
        <v>50</v>
      </c>
      <c r="I413" s="54">
        <f>IF(H413:H1412&lt;45, "Adult", IF(H413:H1412&lt;60, "Middle Age", IF(H413:H1412&lt;70, "Old", "Very Old")))</f>
      </c>
      <c r="J413" s="55">
        <v>39734</v>
      </c>
      <c r="K413" s="56">
        <v>181801</v>
      </c>
      <c r="L413" s="54">
        <f>IF(K413:K1412&lt;50000,"0-50",IF(K413:K1412&lt;100001,"51-100",IF(K413:K1412&lt;150001,"101-150",IF(K413:K1412&lt;200001,"151-200",IF(K413:K1412&lt;250001,"201-250","above 250")))))</f>
      </c>
      <c r="M413" s="57">
        <v>0.4</v>
      </c>
      <c r="N413" s="45" t="s">
        <v>12</v>
      </c>
      <c r="O413" s="45" t="s">
        <v>53</v>
      </c>
      <c r="P413" s="58">
        <v>43810</v>
      </c>
      <c r="Q413" s="53">
        <f>IF(ISBLANK(P413:P1412), "", DATEDIF(J413:J1412, P413:P1412, "Y"))</f>
      </c>
    </row>
    <row x14ac:dyDescent="0.25" r="414" customHeight="1" ht="15.75">
      <c r="A414" s="45" t="s">
        <v>1507</v>
      </c>
      <c r="B414" s="45" t="s">
        <v>105</v>
      </c>
      <c r="C414" s="45" t="s">
        <v>78</v>
      </c>
      <c r="D414" s="45" t="s">
        <v>36</v>
      </c>
      <c r="E414" s="45" t="s">
        <v>1094</v>
      </c>
      <c r="F414" s="45" t="s">
        <v>7</v>
      </c>
      <c r="G414" s="45" t="s">
        <v>14</v>
      </c>
      <c r="H414" s="53">
        <v>26</v>
      </c>
      <c r="I414" s="54">
        <f>IF(H414:H1413&lt;45, "Adult", IF(H414:H1413&lt;60, "Middle Age", IF(H414:H1413&lt;70, "Old", "Very Old")))</f>
      </c>
      <c r="J414" s="55">
        <v>44521</v>
      </c>
      <c r="K414" s="56">
        <v>63137</v>
      </c>
      <c r="L414" s="54">
        <f>IF(K414:K1413&lt;50000,"0-50",IF(K414:K1413&lt;100001,"51-100",IF(K414:K1413&lt;150001,"101-150",IF(K414:K1413&lt;200001,"151-200",IF(K414:K1413&lt;250001,"201-250","above 250")))))</f>
      </c>
      <c r="M414" s="57">
        <v>0</v>
      </c>
      <c r="N414" s="45" t="s">
        <v>15</v>
      </c>
      <c r="O414" s="45" t="s">
        <v>51</v>
      </c>
      <c r="P414" s="51"/>
      <c r="Q414" s="52">
        <f>IF(ISBLANK(P414:P1413), "", DATEDIF(J414:J1413, P414:P1413, "Y"))</f>
      </c>
    </row>
    <row x14ac:dyDescent="0.25" r="415" customHeight="1" ht="15.75">
      <c r="A415" s="45" t="s">
        <v>1508</v>
      </c>
      <c r="B415" s="45" t="s">
        <v>888</v>
      </c>
      <c r="C415" s="45" t="s">
        <v>142</v>
      </c>
      <c r="D415" s="45" t="s">
        <v>26</v>
      </c>
      <c r="E415" s="45" t="s">
        <v>1094</v>
      </c>
      <c r="F415" s="45" t="s">
        <v>7</v>
      </c>
      <c r="G415" s="45" t="s">
        <v>8</v>
      </c>
      <c r="H415" s="53">
        <v>55</v>
      </c>
      <c r="I415" s="54">
        <f>IF(H415:H1414&lt;45, "Adult", IF(H415:H1414&lt;60, "Middle Age", IF(H415:H1414&lt;70, "Old", "Very Old")))</f>
      </c>
      <c r="J415" s="55">
        <v>43345</v>
      </c>
      <c r="K415" s="56">
        <v>221465</v>
      </c>
      <c r="L415" s="54">
        <f>IF(K415:K1414&lt;50000,"0-50",IF(K415:K1414&lt;100001,"51-100",IF(K415:K1414&lt;150001,"101-150",IF(K415:K1414&lt;200001,"151-200",IF(K415:K1414&lt;250001,"201-250","above 250")))))</f>
      </c>
      <c r="M415" s="57">
        <v>0.34</v>
      </c>
      <c r="N415" s="45" t="s">
        <v>12</v>
      </c>
      <c r="O415" s="45" t="s">
        <v>49</v>
      </c>
      <c r="P415" s="51"/>
      <c r="Q415" s="52">
        <f>IF(ISBLANK(P415:P1414), "", DATEDIF(J415:J1414, P415:P1414, "Y"))</f>
      </c>
    </row>
    <row x14ac:dyDescent="0.25" r="416" customHeight="1" ht="15.75">
      <c r="A416" s="45" t="s">
        <v>1509</v>
      </c>
      <c r="B416" s="45" t="s">
        <v>748</v>
      </c>
      <c r="C416" s="45" t="s">
        <v>120</v>
      </c>
      <c r="D416" s="45" t="s">
        <v>26</v>
      </c>
      <c r="E416" s="45" t="s">
        <v>1092</v>
      </c>
      <c r="F416" s="45" t="s">
        <v>7</v>
      </c>
      <c r="G416" s="45" t="s">
        <v>8</v>
      </c>
      <c r="H416" s="53">
        <v>50</v>
      </c>
      <c r="I416" s="54">
        <f>IF(H416:H1415&lt;45, "Adult", IF(H416:H1415&lt;60, "Middle Age", IF(H416:H1415&lt;70, "Old", "Very Old")))</f>
      </c>
      <c r="J416" s="55">
        <v>41404</v>
      </c>
      <c r="K416" s="56">
        <v>79388</v>
      </c>
      <c r="L416" s="54">
        <f>IF(K416:K1415&lt;50000,"0-50",IF(K416:K1415&lt;100001,"51-100",IF(K416:K1415&lt;150001,"101-150",IF(K416:K1415&lt;200001,"151-200",IF(K416:K1415&lt;250001,"201-250","above 250")))))</f>
      </c>
      <c r="M416" s="57">
        <v>0</v>
      </c>
      <c r="N416" s="45" t="s">
        <v>15</v>
      </c>
      <c r="O416" s="45" t="s">
        <v>42</v>
      </c>
      <c r="P416" s="58">
        <v>43681</v>
      </c>
      <c r="Q416" s="53">
        <f>IF(ISBLANK(P416:P1415), "", DATEDIF(J416:J1415, P416:P1415, "Y"))</f>
      </c>
    </row>
    <row x14ac:dyDescent="0.25" r="417" customHeight="1" ht="15.75">
      <c r="A417" s="45" t="s">
        <v>1510</v>
      </c>
      <c r="B417" s="45" t="s">
        <v>170</v>
      </c>
      <c r="C417" s="45" t="s">
        <v>124</v>
      </c>
      <c r="D417" s="45" t="s">
        <v>32</v>
      </c>
      <c r="E417" s="45" t="s">
        <v>1094</v>
      </c>
      <c r="F417" s="45" t="s">
        <v>7</v>
      </c>
      <c r="G417" s="45" t="s">
        <v>14</v>
      </c>
      <c r="H417" s="53">
        <v>28</v>
      </c>
      <c r="I417" s="54">
        <f>IF(H417:H1416&lt;45, "Adult", IF(H417:H1416&lt;60, "Middle Age", IF(H417:H1416&lt;70, "Old", "Very Old")))</f>
      </c>
      <c r="J417" s="55">
        <v>43122</v>
      </c>
      <c r="K417" s="56">
        <v>68176</v>
      </c>
      <c r="L417" s="54">
        <f>IF(K417:K1416&lt;50000,"0-50",IF(K417:K1416&lt;100001,"51-100",IF(K417:K1416&lt;150001,"101-150",IF(K417:K1416&lt;200001,"151-200",IF(K417:K1416&lt;250001,"201-250","above 250")))))</f>
      </c>
      <c r="M417" s="57">
        <v>0</v>
      </c>
      <c r="N417" s="45" t="s">
        <v>15</v>
      </c>
      <c r="O417" s="45" t="s">
        <v>67</v>
      </c>
      <c r="P417" s="51"/>
      <c r="Q417" s="52">
        <f>IF(ISBLANK(P417:P1416), "", DATEDIF(J417:J1416, P417:P1416, "Y"))</f>
      </c>
    </row>
    <row x14ac:dyDescent="0.25" r="418" customHeight="1" ht="15.75">
      <c r="A418" s="45" t="s">
        <v>1511</v>
      </c>
      <c r="B418" s="45" t="s">
        <v>435</v>
      </c>
      <c r="C418" s="45" t="s">
        <v>132</v>
      </c>
      <c r="D418" s="45" t="s">
        <v>28</v>
      </c>
      <c r="E418" s="45" t="s">
        <v>1092</v>
      </c>
      <c r="F418" s="45" t="s">
        <v>7</v>
      </c>
      <c r="G418" s="45" t="s">
        <v>17</v>
      </c>
      <c r="H418" s="53">
        <v>39</v>
      </c>
      <c r="I418" s="54">
        <f>IF(H418:H1417&lt;45, "Adult", IF(H418:H1417&lt;60, "Middle Age", IF(H418:H1417&lt;70, "Old", "Very Old")))</f>
      </c>
      <c r="J418" s="55">
        <v>43756</v>
      </c>
      <c r="K418" s="56">
        <v>122829</v>
      </c>
      <c r="L418" s="54">
        <f>IF(K418:K1417&lt;50000,"0-50",IF(K418:K1417&lt;100001,"51-100",IF(K418:K1417&lt;150001,"101-150",IF(K418:K1417&lt;200001,"151-200",IF(K418:K1417&lt;250001,"201-250","above 250")))))</f>
      </c>
      <c r="M418" s="57">
        <v>0.11</v>
      </c>
      <c r="N418" s="45" t="s">
        <v>15</v>
      </c>
      <c r="O418" s="45" t="s">
        <v>51</v>
      </c>
      <c r="P418" s="51"/>
      <c r="Q418" s="52">
        <f>IF(ISBLANK(P418:P1417), "", DATEDIF(J418:J1417, P418:P1417, "Y"))</f>
      </c>
    </row>
    <row x14ac:dyDescent="0.25" r="419" customHeight="1" ht="15.75">
      <c r="A419" s="45" t="s">
        <v>1512</v>
      </c>
      <c r="B419" s="45" t="s">
        <v>258</v>
      </c>
      <c r="C419" s="45" t="s">
        <v>132</v>
      </c>
      <c r="D419" s="45" t="s">
        <v>34</v>
      </c>
      <c r="E419" s="45" t="s">
        <v>1096</v>
      </c>
      <c r="F419" s="45" t="s">
        <v>7</v>
      </c>
      <c r="G419" s="45" t="s">
        <v>8</v>
      </c>
      <c r="H419" s="53">
        <v>31</v>
      </c>
      <c r="I419" s="54">
        <f>IF(H419:H1418&lt;45, "Adult", IF(H419:H1418&lt;60, "Middle Age", IF(H419:H1418&lt;70, "Old", "Very Old")))</f>
      </c>
      <c r="J419" s="55">
        <v>43695</v>
      </c>
      <c r="K419" s="56">
        <v>126353</v>
      </c>
      <c r="L419" s="54">
        <f>IF(K419:K1418&lt;50000,"0-50",IF(K419:K1418&lt;100001,"51-100",IF(K419:K1418&lt;150001,"101-150",IF(K419:K1418&lt;200001,"151-200",IF(K419:K1418&lt;250001,"201-250","above 250")))))</f>
      </c>
      <c r="M419" s="57">
        <v>0.12</v>
      </c>
      <c r="N419" s="45" t="s">
        <v>12</v>
      </c>
      <c r="O419" s="45" t="s">
        <v>69</v>
      </c>
      <c r="P419" s="51"/>
      <c r="Q419" s="52">
        <f>IF(ISBLANK(P419:P1418), "", DATEDIF(J419:J1418, P419:P1418, "Y"))</f>
      </c>
    </row>
    <row x14ac:dyDescent="0.25" r="420" customHeight="1" ht="15.75">
      <c r="A420" s="45" t="s">
        <v>1513</v>
      </c>
      <c r="B420" s="45" t="s">
        <v>878</v>
      </c>
      <c r="C420" s="45" t="s">
        <v>96</v>
      </c>
      <c r="D420" s="45" t="s">
        <v>24</v>
      </c>
      <c r="E420" s="45" t="s">
        <v>1096</v>
      </c>
      <c r="F420" s="45" t="s">
        <v>7</v>
      </c>
      <c r="G420" s="45" t="s">
        <v>8</v>
      </c>
      <c r="H420" s="53">
        <v>55</v>
      </c>
      <c r="I420" s="54">
        <f>IF(H420:H1419&lt;45, "Adult", IF(H420:H1419&lt;60, "Middle Age", IF(H420:H1419&lt;70, "Old", "Very Old")))</f>
      </c>
      <c r="J420" s="55">
        <v>40468</v>
      </c>
      <c r="K420" s="56">
        <v>188727</v>
      </c>
      <c r="L420" s="54">
        <f>IF(K420:K1419&lt;50000,"0-50",IF(K420:K1419&lt;100001,"51-100",IF(K420:K1419&lt;150001,"101-150",IF(K420:K1419&lt;200001,"151-200",IF(K420:K1419&lt;250001,"201-250","above 250")))))</f>
      </c>
      <c r="M420" s="57">
        <v>0.23</v>
      </c>
      <c r="N420" s="45" t="s">
        <v>12</v>
      </c>
      <c r="O420" s="45" t="s">
        <v>49</v>
      </c>
      <c r="P420" s="51"/>
      <c r="Q420" s="52">
        <f>IF(ISBLANK(P420:P1419), "", DATEDIF(J420:J1419, P420:P1419, "Y"))</f>
      </c>
    </row>
    <row x14ac:dyDescent="0.25" r="421" customHeight="1" ht="15.75">
      <c r="A421" s="45" t="s">
        <v>1514</v>
      </c>
      <c r="B421" s="45" t="s">
        <v>786</v>
      </c>
      <c r="C421" s="45" t="s">
        <v>128</v>
      </c>
      <c r="D421" s="45" t="s">
        <v>36</v>
      </c>
      <c r="E421" s="45" t="s">
        <v>1092</v>
      </c>
      <c r="F421" s="45" t="s">
        <v>10</v>
      </c>
      <c r="G421" s="45" t="s">
        <v>8</v>
      </c>
      <c r="H421" s="53">
        <v>52</v>
      </c>
      <c r="I421" s="54">
        <f>IF(H421:H1420&lt;45, "Adult", IF(H421:H1420&lt;60, "Middle Age", IF(H421:H1420&lt;70, "Old", "Very Old")))</f>
      </c>
      <c r="J421" s="55">
        <v>34383</v>
      </c>
      <c r="K421" s="56">
        <v>99624</v>
      </c>
      <c r="L421" s="54">
        <f>IF(K421:K1420&lt;50000,"0-50",IF(K421:K1420&lt;100001,"51-100",IF(K421:K1420&lt;150001,"101-150",IF(K421:K1420&lt;200001,"151-200",IF(K421:K1420&lt;250001,"201-250","above 250")))))</f>
      </c>
      <c r="M421" s="57">
        <v>0</v>
      </c>
      <c r="N421" s="45" t="s">
        <v>15</v>
      </c>
      <c r="O421" s="45" t="s">
        <v>67</v>
      </c>
      <c r="P421" s="51"/>
      <c r="Q421" s="52">
        <f>IF(ISBLANK(P421:P1420), "", DATEDIF(J421:J1420, P421:P1420, "Y"))</f>
      </c>
    </row>
    <row x14ac:dyDescent="0.25" r="422" customHeight="1" ht="15.75">
      <c r="A422" s="45" t="s">
        <v>1515</v>
      </c>
      <c r="B422" s="45" t="s">
        <v>889</v>
      </c>
      <c r="C422" s="45" t="s">
        <v>110</v>
      </c>
      <c r="D422" s="45" t="s">
        <v>36</v>
      </c>
      <c r="E422" s="45" t="s">
        <v>1096</v>
      </c>
      <c r="F422" s="45" t="s">
        <v>7</v>
      </c>
      <c r="G422" s="45" t="s">
        <v>8</v>
      </c>
      <c r="H422" s="53">
        <v>55</v>
      </c>
      <c r="I422" s="54">
        <f>IF(H422:H1421&lt;45, "Adult", IF(H422:H1421&lt;60, "Middle Age", IF(H422:H1421&lt;70, "Old", "Very Old")))</f>
      </c>
      <c r="J422" s="55">
        <v>41202</v>
      </c>
      <c r="K422" s="56">
        <v>108686</v>
      </c>
      <c r="L422" s="54">
        <f>IF(K422:K1421&lt;50000,"0-50",IF(K422:K1421&lt;100001,"51-100",IF(K422:K1421&lt;150001,"101-150",IF(K422:K1421&lt;200001,"151-200",IF(K422:K1421&lt;250001,"201-250","above 250")))))</f>
      </c>
      <c r="M422" s="57">
        <v>0.06</v>
      </c>
      <c r="N422" s="45" t="s">
        <v>15</v>
      </c>
      <c r="O422" s="45" t="s">
        <v>55</v>
      </c>
      <c r="P422" s="51"/>
      <c r="Q422" s="52">
        <f>IF(ISBLANK(P422:P1421), "", DATEDIF(J422:J1421, P422:P1421, "Y"))</f>
      </c>
    </row>
    <row x14ac:dyDescent="0.25" r="423" customHeight="1" ht="15.75">
      <c r="A423" s="45" t="s">
        <v>1516</v>
      </c>
      <c r="B423" s="45" t="s">
        <v>912</v>
      </c>
      <c r="C423" s="45" t="s">
        <v>80</v>
      </c>
      <c r="D423" s="45" t="s">
        <v>24</v>
      </c>
      <c r="E423" s="45" t="s">
        <v>1100</v>
      </c>
      <c r="F423" s="45" t="s">
        <v>7</v>
      </c>
      <c r="G423" s="45" t="s">
        <v>17</v>
      </c>
      <c r="H423" s="53">
        <v>56</v>
      </c>
      <c r="I423" s="54">
        <f>IF(H423:H1422&lt;45, "Adult", IF(H423:H1422&lt;60, "Middle Age", IF(H423:H1422&lt;70, "Old", "Very Old")))</f>
      </c>
      <c r="J423" s="55">
        <v>34802</v>
      </c>
      <c r="K423" s="56">
        <v>50857</v>
      </c>
      <c r="L423" s="54">
        <f>IF(K423:K1422&lt;50000,"0-50",IF(K423:K1422&lt;100001,"51-100",IF(K423:K1422&lt;150001,"101-150",IF(K423:K1422&lt;200001,"151-200",IF(K423:K1422&lt;250001,"201-250","above 250")))))</f>
      </c>
      <c r="M423" s="57">
        <v>0</v>
      </c>
      <c r="N423" s="45" t="s">
        <v>9</v>
      </c>
      <c r="O423" s="45" t="s">
        <v>57</v>
      </c>
      <c r="P423" s="51"/>
      <c r="Q423" s="52">
        <f>IF(ISBLANK(P423:P1422), "", DATEDIF(J423:J1422, P423:P1422, "Y"))</f>
      </c>
    </row>
    <row x14ac:dyDescent="0.25" r="424" customHeight="1" ht="15.75">
      <c r="A424" s="45" t="s">
        <v>1517</v>
      </c>
      <c r="B424" s="45" t="s">
        <v>670</v>
      </c>
      <c r="C424" s="45" t="s">
        <v>118</v>
      </c>
      <c r="D424" s="45" t="s">
        <v>26</v>
      </c>
      <c r="E424" s="45" t="s">
        <v>1094</v>
      </c>
      <c r="F424" s="45" t="s">
        <v>10</v>
      </c>
      <c r="G424" s="45" t="s">
        <v>14</v>
      </c>
      <c r="H424" s="53">
        <v>47</v>
      </c>
      <c r="I424" s="54">
        <f>IF(H424:H1423&lt;45, "Adult", IF(H424:H1423&lt;60, "Middle Age", IF(H424:H1423&lt;70, "Old", "Very Old")))</f>
      </c>
      <c r="J424" s="55">
        <v>36893</v>
      </c>
      <c r="K424" s="56">
        <v>120628</v>
      </c>
      <c r="L424" s="54">
        <f>IF(K424:K1423&lt;50000,"0-50",IF(K424:K1423&lt;100001,"51-100",IF(K424:K1423&lt;150001,"101-150",IF(K424:K1423&lt;200001,"151-200",IF(K424:K1423&lt;250001,"201-250","above 250")))))</f>
      </c>
      <c r="M424" s="57">
        <v>0</v>
      </c>
      <c r="N424" s="45" t="s">
        <v>15</v>
      </c>
      <c r="O424" s="45" t="s">
        <v>51</v>
      </c>
      <c r="P424" s="51"/>
      <c r="Q424" s="52">
        <f>IF(ISBLANK(P424:P1423), "", DATEDIF(J424:J1423, P424:P1423, "Y"))</f>
      </c>
    </row>
    <row x14ac:dyDescent="0.25" r="425" customHeight="1" ht="15.75">
      <c r="A425" s="45" t="s">
        <v>1518</v>
      </c>
      <c r="B425" s="45" t="s">
        <v>1034</v>
      </c>
      <c r="C425" s="45" t="s">
        <v>96</v>
      </c>
      <c r="D425" s="45" t="s">
        <v>36</v>
      </c>
      <c r="E425" s="45" t="s">
        <v>1096</v>
      </c>
      <c r="F425" s="45" t="s">
        <v>7</v>
      </c>
      <c r="G425" s="45" t="s">
        <v>14</v>
      </c>
      <c r="H425" s="53">
        <v>63</v>
      </c>
      <c r="I425" s="54">
        <f>IF(H425:H1424&lt;45, "Adult", IF(H425:H1424&lt;60, "Middle Age", IF(H425:H1424&lt;70, "Old", "Very Old")))</f>
      </c>
      <c r="J425" s="55">
        <v>43996</v>
      </c>
      <c r="K425" s="56">
        <v>181216</v>
      </c>
      <c r="L425" s="54">
        <f>IF(K425:K1424&lt;50000,"0-50",IF(K425:K1424&lt;100001,"51-100",IF(K425:K1424&lt;150001,"101-150",IF(K425:K1424&lt;200001,"151-200",IF(K425:K1424&lt;250001,"201-250","above 250")))))</f>
      </c>
      <c r="M425" s="57">
        <v>0.27</v>
      </c>
      <c r="N425" s="45" t="s">
        <v>15</v>
      </c>
      <c r="O425" s="45" t="s">
        <v>55</v>
      </c>
      <c r="P425" s="51"/>
      <c r="Q425" s="52">
        <f>IF(ISBLANK(P425:P1424), "", DATEDIF(J425:J1424, P425:P1424, "Y"))</f>
      </c>
    </row>
    <row x14ac:dyDescent="0.25" r="426" customHeight="1" ht="15.75">
      <c r="A426" s="45" t="s">
        <v>1519</v>
      </c>
      <c r="B426" s="45" t="s">
        <v>1040</v>
      </c>
      <c r="C426" s="45" t="s">
        <v>80</v>
      </c>
      <c r="D426" s="45" t="s">
        <v>28</v>
      </c>
      <c r="E426" s="45" t="s">
        <v>1100</v>
      </c>
      <c r="F426" s="45" t="s">
        <v>7</v>
      </c>
      <c r="G426" s="45" t="s">
        <v>14</v>
      </c>
      <c r="H426" s="53">
        <v>63</v>
      </c>
      <c r="I426" s="54">
        <f>IF(H426:H1425&lt;45, "Adult", IF(H426:H1425&lt;60, "Middle Age", IF(H426:H1425&lt;70, "Old", "Very Old")))</f>
      </c>
      <c r="J426" s="55">
        <v>40984</v>
      </c>
      <c r="K426" s="56">
        <v>46081</v>
      </c>
      <c r="L426" s="54">
        <f>IF(K426:K1425&lt;50000,"0-50",IF(K426:K1425&lt;100001,"51-100",IF(K426:K1425&lt;150001,"101-150",IF(K426:K1425&lt;200001,"151-200",IF(K426:K1425&lt;250001,"201-250","above 250")))))</f>
      </c>
      <c r="M426" s="57">
        <v>0</v>
      </c>
      <c r="N426" s="45" t="s">
        <v>15</v>
      </c>
      <c r="O426" s="45" t="s">
        <v>51</v>
      </c>
      <c r="P426" s="51"/>
      <c r="Q426" s="52">
        <f>IF(ISBLANK(P426:P1425), "", DATEDIF(J426:J1425, P426:P1425, "Y"))</f>
      </c>
    </row>
    <row x14ac:dyDescent="0.25" r="427" customHeight="1" ht="15.75">
      <c r="A427" s="45" t="s">
        <v>1520</v>
      </c>
      <c r="B427" s="45" t="s">
        <v>894</v>
      </c>
      <c r="C427" s="45" t="s">
        <v>132</v>
      </c>
      <c r="D427" s="45" t="s">
        <v>24</v>
      </c>
      <c r="E427" s="45" t="s">
        <v>1100</v>
      </c>
      <c r="F427" s="45" t="s">
        <v>7</v>
      </c>
      <c r="G427" s="45" t="s">
        <v>14</v>
      </c>
      <c r="H427" s="53">
        <v>55</v>
      </c>
      <c r="I427" s="54">
        <f>IF(H427:H1426&lt;45, "Adult", IF(H427:H1426&lt;60, "Middle Age", IF(H427:H1426&lt;70, "Old", "Very Old")))</f>
      </c>
      <c r="J427" s="55">
        <v>38135</v>
      </c>
      <c r="K427" s="56">
        <v>159885</v>
      </c>
      <c r="L427" s="54">
        <f>IF(K427:K1426&lt;50000,"0-50",IF(K427:K1426&lt;100001,"51-100",IF(K427:K1426&lt;150001,"101-150",IF(K427:K1426&lt;200001,"151-200",IF(K427:K1426&lt;250001,"201-250","above 250")))))</f>
      </c>
      <c r="M427" s="57">
        <v>0.12</v>
      </c>
      <c r="N427" s="45" t="s">
        <v>15</v>
      </c>
      <c r="O427" s="45" t="s">
        <v>55</v>
      </c>
      <c r="P427" s="51"/>
      <c r="Q427" s="52">
        <f>IF(ISBLANK(P427:P1426), "", DATEDIF(J427:J1426, P427:P1426, "Y"))</f>
      </c>
    </row>
    <row x14ac:dyDescent="0.25" r="428" customHeight="1" ht="15.75">
      <c r="A428" s="45" t="s">
        <v>1521</v>
      </c>
      <c r="B428" s="45" t="s">
        <v>877</v>
      </c>
      <c r="C428" s="45" t="s">
        <v>96</v>
      </c>
      <c r="D428" s="45" t="s">
        <v>36</v>
      </c>
      <c r="E428" s="45" t="s">
        <v>1094</v>
      </c>
      <c r="F428" s="45" t="s">
        <v>7</v>
      </c>
      <c r="G428" s="45" t="s">
        <v>14</v>
      </c>
      <c r="H428" s="53">
        <v>55</v>
      </c>
      <c r="I428" s="54">
        <f>IF(H428:H1427&lt;45, "Adult", IF(H428:H1427&lt;60, "Middle Age", IF(H428:H1427&lt;70, "Old", "Very Old")))</f>
      </c>
      <c r="J428" s="55">
        <v>35001</v>
      </c>
      <c r="K428" s="56">
        <v>153271</v>
      </c>
      <c r="L428" s="54">
        <f>IF(K428:K1427&lt;50000,"0-50",IF(K428:K1427&lt;100001,"51-100",IF(K428:K1427&lt;150001,"101-150",IF(K428:K1427&lt;200001,"151-200",IF(K428:K1427&lt;250001,"201-250","above 250")))))</f>
      </c>
      <c r="M428" s="57">
        <v>0.15</v>
      </c>
      <c r="N428" s="45" t="s">
        <v>15</v>
      </c>
      <c r="O428" s="45" t="s">
        <v>42</v>
      </c>
      <c r="P428" s="51"/>
      <c r="Q428" s="52">
        <f>IF(ISBLANK(P428:P1427), "", DATEDIF(J428:J1427, P428:P1427, "Y"))</f>
      </c>
    </row>
    <row x14ac:dyDescent="0.25" r="429" customHeight="1" ht="15.75">
      <c r="A429" s="45" t="s">
        <v>1522</v>
      </c>
      <c r="B429" s="45" t="s">
        <v>510</v>
      </c>
      <c r="C429" s="45" t="s">
        <v>110</v>
      </c>
      <c r="D429" s="45" t="s">
        <v>30</v>
      </c>
      <c r="E429" s="45" t="s">
        <v>1094</v>
      </c>
      <c r="F429" s="45" t="s">
        <v>10</v>
      </c>
      <c r="G429" s="45" t="s">
        <v>8</v>
      </c>
      <c r="H429" s="53">
        <v>42</v>
      </c>
      <c r="I429" s="54">
        <f>IF(H429:H1428&lt;45, "Adult", IF(H429:H1428&lt;60, "Middle Age", IF(H429:H1428&lt;70, "Old", "Very Old")))</f>
      </c>
      <c r="J429" s="55">
        <v>40159</v>
      </c>
      <c r="K429" s="56">
        <v>114242</v>
      </c>
      <c r="L429" s="54">
        <f>IF(K429:K1428&lt;50000,"0-50",IF(K429:K1428&lt;100001,"51-100",IF(K429:K1428&lt;150001,"101-150",IF(K429:K1428&lt;200001,"151-200",IF(K429:K1428&lt;250001,"201-250","above 250")))))</f>
      </c>
      <c r="M429" s="57">
        <v>0.08</v>
      </c>
      <c r="N429" s="45" t="s">
        <v>15</v>
      </c>
      <c r="O429" s="45" t="s">
        <v>61</v>
      </c>
      <c r="P429" s="51"/>
      <c r="Q429" s="52">
        <f>IF(ISBLANK(P429:P1428), "", DATEDIF(J429:J1428, P429:P1428, "Y"))</f>
      </c>
    </row>
    <row x14ac:dyDescent="0.25" r="430" customHeight="1" ht="15.75">
      <c r="A430" s="45" t="s">
        <v>1523</v>
      </c>
      <c r="B430" s="45" t="s">
        <v>434</v>
      </c>
      <c r="C430" s="45" t="s">
        <v>106</v>
      </c>
      <c r="D430" s="45" t="s">
        <v>32</v>
      </c>
      <c r="E430" s="45" t="s">
        <v>1096</v>
      </c>
      <c r="F430" s="45" t="s">
        <v>7</v>
      </c>
      <c r="G430" s="45" t="s">
        <v>8</v>
      </c>
      <c r="H430" s="53">
        <v>39</v>
      </c>
      <c r="I430" s="54">
        <f>IF(H430:H1429&lt;45, "Adult", IF(H430:H1429&lt;60, "Middle Age", IF(H430:H1429&lt;70, "Old", "Very Old")))</f>
      </c>
      <c r="J430" s="55">
        <v>44153</v>
      </c>
      <c r="K430" s="56">
        <v>48415</v>
      </c>
      <c r="L430" s="54">
        <f>IF(K430:K1429&lt;50000,"0-50",IF(K430:K1429&lt;100001,"51-100",IF(K430:K1429&lt;150001,"101-150",IF(K430:K1429&lt;200001,"151-200",IF(K430:K1429&lt;250001,"201-250","above 250")))))</f>
      </c>
      <c r="M430" s="57">
        <v>0</v>
      </c>
      <c r="N430" s="45" t="s">
        <v>12</v>
      </c>
      <c r="O430" s="45" t="s">
        <v>69</v>
      </c>
      <c r="P430" s="51"/>
      <c r="Q430" s="52">
        <f>IF(ISBLANK(P430:P1429), "", DATEDIF(J430:J1429, P430:P1429, "Y"))</f>
      </c>
    </row>
    <row x14ac:dyDescent="0.25" r="431" customHeight="1" ht="15.75">
      <c r="A431" s="45" t="s">
        <v>1524</v>
      </c>
      <c r="B431" s="45" t="s">
        <v>346</v>
      </c>
      <c r="C431" s="45" t="s">
        <v>94</v>
      </c>
      <c r="D431" s="45" t="s">
        <v>26</v>
      </c>
      <c r="E431" s="45" t="s">
        <v>1094</v>
      </c>
      <c r="F431" s="45" t="s">
        <v>10</v>
      </c>
      <c r="G431" s="45" t="s">
        <v>17</v>
      </c>
      <c r="H431" s="53">
        <v>35</v>
      </c>
      <c r="I431" s="54">
        <f>IF(H431:H1430&lt;45, "Adult", IF(H431:H1430&lt;60, "Middle Age", IF(H431:H1430&lt;70, "Old", "Very Old")))</f>
      </c>
      <c r="J431" s="55">
        <v>42878</v>
      </c>
      <c r="K431" s="56">
        <v>65566</v>
      </c>
      <c r="L431" s="54">
        <f>IF(K431:K1430&lt;50000,"0-50",IF(K431:K1430&lt;100001,"51-100",IF(K431:K1430&lt;150001,"101-150",IF(K431:K1430&lt;200001,"151-200",IF(K431:K1430&lt;250001,"201-250","above 250")))))</f>
      </c>
      <c r="M431" s="57">
        <v>0</v>
      </c>
      <c r="N431" s="45" t="s">
        <v>15</v>
      </c>
      <c r="O431" s="45" t="s">
        <v>67</v>
      </c>
      <c r="P431" s="51"/>
      <c r="Q431" s="52">
        <f>IF(ISBLANK(P431:P1430), "", DATEDIF(J431:J1430, P431:P1430, "Y"))</f>
      </c>
    </row>
    <row x14ac:dyDescent="0.25" r="432" customHeight="1" ht="15.75">
      <c r="A432" s="45" t="s">
        <v>1525</v>
      </c>
      <c r="B432" s="45" t="s">
        <v>583</v>
      </c>
      <c r="C432" s="45" t="s">
        <v>132</v>
      </c>
      <c r="D432" s="45" t="s">
        <v>34</v>
      </c>
      <c r="E432" s="45" t="s">
        <v>1092</v>
      </c>
      <c r="F432" s="45" t="s">
        <v>10</v>
      </c>
      <c r="G432" s="45" t="s">
        <v>8</v>
      </c>
      <c r="H432" s="53">
        <v>45</v>
      </c>
      <c r="I432" s="54">
        <f>IF(H432:H1431&lt;45, "Adult", IF(H432:H1431&lt;60, "Middle Age", IF(H432:H1431&lt;70, "Old", "Very Old")))</f>
      </c>
      <c r="J432" s="55">
        <v>37014</v>
      </c>
      <c r="K432" s="56">
        <v>147752</v>
      </c>
      <c r="L432" s="54">
        <f>IF(K432:K1431&lt;50000,"0-50",IF(K432:K1431&lt;100001,"51-100",IF(K432:K1431&lt;150001,"101-150",IF(K432:K1431&lt;200001,"151-200",IF(K432:K1431&lt;250001,"201-250","above 250")))))</f>
      </c>
      <c r="M432" s="57">
        <v>0.12</v>
      </c>
      <c r="N432" s="45" t="s">
        <v>12</v>
      </c>
      <c r="O432" s="45" t="s">
        <v>69</v>
      </c>
      <c r="P432" s="58">
        <v>40903</v>
      </c>
      <c r="Q432" s="53">
        <f>IF(ISBLANK(P432:P1431), "", DATEDIF(J432:J1431, P432:P1431, "Y"))</f>
      </c>
    </row>
    <row x14ac:dyDescent="0.25" r="433" customHeight="1" ht="15.75">
      <c r="A433" s="45" t="s">
        <v>1526</v>
      </c>
      <c r="B433" s="45" t="s">
        <v>58</v>
      </c>
      <c r="C433" s="45" t="s">
        <v>132</v>
      </c>
      <c r="D433" s="45" t="s">
        <v>34</v>
      </c>
      <c r="E433" s="45" t="s">
        <v>1094</v>
      </c>
      <c r="F433" s="45" t="s">
        <v>7</v>
      </c>
      <c r="G433" s="45" t="s">
        <v>8</v>
      </c>
      <c r="H433" s="53">
        <v>25</v>
      </c>
      <c r="I433" s="54">
        <f>IF(H433:H1432&lt;45, "Adult", IF(H433:H1432&lt;60, "Middle Age", IF(H433:H1432&lt;70, "Old", "Very Old")))</f>
      </c>
      <c r="J433" s="55">
        <v>44453</v>
      </c>
      <c r="K433" s="56">
        <v>136810</v>
      </c>
      <c r="L433" s="54">
        <f>IF(K433:K1432&lt;50000,"0-50",IF(K433:K1432&lt;100001,"51-100",IF(K433:K1432&lt;150001,"101-150",IF(K433:K1432&lt;200001,"151-200",IF(K433:K1432&lt;250001,"201-250","above 250")))))</f>
      </c>
      <c r="M433" s="57">
        <v>0.14</v>
      </c>
      <c r="N433" s="45" t="s">
        <v>12</v>
      </c>
      <c r="O433" s="45" t="s">
        <v>53</v>
      </c>
      <c r="P433" s="51"/>
      <c r="Q433" s="52">
        <f>IF(ISBLANK(P433:P1432), "", DATEDIF(J433:J1432, P433:P1432, "Y"))</f>
      </c>
    </row>
    <row x14ac:dyDescent="0.25" r="434" customHeight="1" ht="15.75">
      <c r="A434" s="45" t="s">
        <v>1527</v>
      </c>
      <c r="B434" s="45" t="s">
        <v>673</v>
      </c>
      <c r="C434" s="45" t="s">
        <v>80</v>
      </c>
      <c r="D434" s="45" t="s">
        <v>36</v>
      </c>
      <c r="E434" s="45" t="s">
        <v>1100</v>
      </c>
      <c r="F434" s="45" t="s">
        <v>10</v>
      </c>
      <c r="G434" s="45" t="s">
        <v>14</v>
      </c>
      <c r="H434" s="53">
        <v>47</v>
      </c>
      <c r="I434" s="54">
        <f>IF(H434:H1433&lt;45, "Adult", IF(H434:H1433&lt;60, "Middle Age", IF(H434:H1433&lt;70, "Old", "Very Old")))</f>
      </c>
      <c r="J434" s="55">
        <v>41333</v>
      </c>
      <c r="K434" s="56">
        <v>54635</v>
      </c>
      <c r="L434" s="54">
        <f>IF(K434:K1433&lt;50000,"0-50",IF(K434:K1433&lt;100001,"51-100",IF(K434:K1433&lt;150001,"101-150",IF(K434:K1433&lt;200001,"151-200",IF(K434:K1433&lt;250001,"201-250","above 250")))))</f>
      </c>
      <c r="M434" s="57">
        <v>0</v>
      </c>
      <c r="N434" s="45" t="s">
        <v>15</v>
      </c>
      <c r="O434" s="45" t="s">
        <v>51</v>
      </c>
      <c r="P434" s="51"/>
      <c r="Q434" s="52">
        <f>IF(ISBLANK(P434:P1433), "", DATEDIF(J434:J1433, P434:P1433, "Y"))</f>
      </c>
    </row>
    <row x14ac:dyDescent="0.25" r="435" customHeight="1" ht="15.75">
      <c r="A435" s="45" t="s">
        <v>1528</v>
      </c>
      <c r="B435" s="45" t="s">
        <v>511</v>
      </c>
      <c r="C435" s="45" t="s">
        <v>88</v>
      </c>
      <c r="D435" s="45" t="s">
        <v>32</v>
      </c>
      <c r="E435" s="45" t="s">
        <v>1100</v>
      </c>
      <c r="F435" s="45" t="s">
        <v>7</v>
      </c>
      <c r="G435" s="45" t="s">
        <v>14</v>
      </c>
      <c r="H435" s="53">
        <v>42</v>
      </c>
      <c r="I435" s="54">
        <f>IF(H435:H1434&lt;45, "Adult", IF(H435:H1434&lt;60, "Middle Age", IF(H435:H1434&lt;70, "Old", "Very Old")))</f>
      </c>
      <c r="J435" s="55">
        <v>43866</v>
      </c>
      <c r="K435" s="56">
        <v>96636</v>
      </c>
      <c r="L435" s="54">
        <f>IF(K435:K1434&lt;50000,"0-50",IF(K435:K1434&lt;100001,"51-100",IF(K435:K1434&lt;150001,"101-150",IF(K435:K1434&lt;200001,"151-200",IF(K435:K1434&lt;250001,"201-250","above 250")))))</f>
      </c>
      <c r="M435" s="57">
        <v>0</v>
      </c>
      <c r="N435" s="45" t="s">
        <v>15</v>
      </c>
      <c r="O435" s="45" t="s">
        <v>55</v>
      </c>
      <c r="P435" s="51"/>
      <c r="Q435" s="52">
        <f>IF(ISBLANK(P435:P1434), "", DATEDIF(J435:J1434, P435:P1434, "Y"))</f>
      </c>
    </row>
    <row x14ac:dyDescent="0.25" r="436" customHeight="1" ht="15.75">
      <c r="A436" s="45" t="s">
        <v>1529</v>
      </c>
      <c r="B436" s="45" t="s">
        <v>344</v>
      </c>
      <c r="C436" s="45" t="s">
        <v>134</v>
      </c>
      <c r="D436" s="45" t="s">
        <v>32</v>
      </c>
      <c r="E436" s="45" t="s">
        <v>1094</v>
      </c>
      <c r="F436" s="45" t="s">
        <v>7</v>
      </c>
      <c r="G436" s="45" t="s">
        <v>11</v>
      </c>
      <c r="H436" s="53">
        <v>35</v>
      </c>
      <c r="I436" s="54">
        <f>IF(H436:H1435&lt;45, "Adult", IF(H436:H1435&lt;60, "Middle Age", IF(H436:H1435&lt;70, "Old", "Very Old")))</f>
      </c>
      <c r="J436" s="55">
        <v>41941</v>
      </c>
      <c r="K436" s="56">
        <v>91592</v>
      </c>
      <c r="L436" s="54">
        <f>IF(K436:K1435&lt;50000,"0-50",IF(K436:K1435&lt;100001,"51-100",IF(K436:K1435&lt;150001,"101-150",IF(K436:K1435&lt;200001,"151-200",IF(K436:K1435&lt;250001,"201-250","above 250")))))</f>
      </c>
      <c r="M436" s="57">
        <v>0</v>
      </c>
      <c r="N436" s="45" t="s">
        <v>15</v>
      </c>
      <c r="O436" s="45" t="s">
        <v>51</v>
      </c>
      <c r="P436" s="51"/>
      <c r="Q436" s="52">
        <f>IF(ISBLANK(P436:P1435), "", DATEDIF(J436:J1435, P436:P1435, "Y"))</f>
      </c>
    </row>
    <row x14ac:dyDescent="0.25" r="437" customHeight="1" ht="15.75">
      <c r="A437" s="45" t="s">
        <v>1530</v>
      </c>
      <c r="B437" s="45" t="s">
        <v>601</v>
      </c>
      <c r="C437" s="45" t="s">
        <v>86</v>
      </c>
      <c r="D437" s="45" t="s">
        <v>30</v>
      </c>
      <c r="E437" s="45" t="s">
        <v>1092</v>
      </c>
      <c r="F437" s="45" t="s">
        <v>7</v>
      </c>
      <c r="G437" s="45" t="s">
        <v>8</v>
      </c>
      <c r="H437" s="53">
        <v>45</v>
      </c>
      <c r="I437" s="54">
        <f>IF(H437:H1436&lt;45, "Adult", IF(H437:H1436&lt;60, "Middle Age", IF(H437:H1436&lt;70, "Old", "Very Old")))</f>
      </c>
      <c r="J437" s="55">
        <v>36755</v>
      </c>
      <c r="K437" s="56">
        <v>55563</v>
      </c>
      <c r="L437" s="54">
        <f>IF(K437:K1436&lt;50000,"0-50",IF(K437:K1436&lt;100001,"51-100",IF(K437:K1436&lt;150001,"101-150",IF(K437:K1436&lt;200001,"151-200",IF(K437:K1436&lt;250001,"201-250","above 250")))))</f>
      </c>
      <c r="M437" s="57">
        <v>0</v>
      </c>
      <c r="N437" s="45" t="s">
        <v>12</v>
      </c>
      <c r="O437" s="45" t="s">
        <v>49</v>
      </c>
      <c r="P437" s="51"/>
      <c r="Q437" s="52">
        <f>IF(ISBLANK(P437:P1436), "", DATEDIF(J437:J1436, P437:P1436, "Y"))</f>
      </c>
    </row>
    <row x14ac:dyDescent="0.25" r="438" customHeight="1" ht="15.75">
      <c r="A438" s="45" t="s">
        <v>1531</v>
      </c>
      <c r="B438" s="45" t="s">
        <v>794</v>
      </c>
      <c r="C438" s="45" t="s">
        <v>96</v>
      </c>
      <c r="D438" s="45" t="s">
        <v>32</v>
      </c>
      <c r="E438" s="45" t="s">
        <v>1092</v>
      </c>
      <c r="F438" s="45" t="s">
        <v>7</v>
      </c>
      <c r="G438" s="45" t="s">
        <v>8</v>
      </c>
      <c r="H438" s="53">
        <v>52</v>
      </c>
      <c r="I438" s="54">
        <f>IF(H438:H1437&lt;45, "Adult", IF(H438:H1437&lt;60, "Middle Age", IF(H438:H1437&lt;70, "Old", "Very Old")))</f>
      </c>
      <c r="J438" s="55">
        <v>35109</v>
      </c>
      <c r="K438" s="56">
        <v>159724</v>
      </c>
      <c r="L438" s="54">
        <f>IF(K438:K1437&lt;50000,"0-50",IF(K438:K1437&lt;100001,"51-100",IF(K438:K1437&lt;150001,"101-150",IF(K438:K1437&lt;200001,"151-200",IF(K438:K1437&lt;250001,"201-250","above 250")))))</f>
      </c>
      <c r="M438" s="57">
        <v>0.23</v>
      </c>
      <c r="N438" s="45" t="s">
        <v>12</v>
      </c>
      <c r="O438" s="45" t="s">
        <v>47</v>
      </c>
      <c r="P438" s="51"/>
      <c r="Q438" s="52">
        <f>IF(ISBLANK(P438:P1437), "", DATEDIF(J438:J1437, P438:P1437, "Y"))</f>
      </c>
    </row>
    <row x14ac:dyDescent="0.25" r="439" customHeight="1" ht="15.75">
      <c r="A439" s="45" t="s">
        <v>1532</v>
      </c>
      <c r="B439" s="45" t="s">
        <v>927</v>
      </c>
      <c r="C439" s="45" t="s">
        <v>142</v>
      </c>
      <c r="D439" s="45" t="s">
        <v>34</v>
      </c>
      <c r="E439" s="45" t="s">
        <v>1100</v>
      </c>
      <c r="F439" s="45" t="s">
        <v>10</v>
      </c>
      <c r="G439" s="45" t="s">
        <v>8</v>
      </c>
      <c r="H439" s="53">
        <v>57</v>
      </c>
      <c r="I439" s="54">
        <f>IF(H439:H1438&lt;45, "Adult", IF(H439:H1438&lt;60, "Middle Age", IF(H439:H1438&lt;70, "Old", "Very Old")))</f>
      </c>
      <c r="J439" s="55">
        <v>42951</v>
      </c>
      <c r="K439" s="56">
        <v>183190</v>
      </c>
      <c r="L439" s="54">
        <f>IF(K439:K1438&lt;50000,"0-50",IF(K439:K1438&lt;100001,"51-100",IF(K439:K1438&lt;150001,"101-150",IF(K439:K1438&lt;200001,"151-200",IF(K439:K1438&lt;250001,"201-250","above 250")))))</f>
      </c>
      <c r="M439" s="57">
        <v>0.36</v>
      </c>
      <c r="N439" s="45" t="s">
        <v>15</v>
      </c>
      <c r="O439" s="45" t="s">
        <v>51</v>
      </c>
      <c r="P439" s="51"/>
      <c r="Q439" s="52">
        <f>IF(ISBLANK(P439:P1438), "", DATEDIF(J439:J1438, P439:P1438, "Y"))</f>
      </c>
    </row>
    <row x14ac:dyDescent="0.25" r="440" customHeight="1" ht="15.75">
      <c r="A440" s="45" t="s">
        <v>1533</v>
      </c>
      <c r="B440" s="45" t="s">
        <v>913</v>
      </c>
      <c r="C440" s="45" t="s">
        <v>80</v>
      </c>
      <c r="D440" s="45" t="s">
        <v>24</v>
      </c>
      <c r="E440" s="45" t="s">
        <v>1096</v>
      </c>
      <c r="F440" s="45" t="s">
        <v>7</v>
      </c>
      <c r="G440" s="45" t="s">
        <v>14</v>
      </c>
      <c r="H440" s="53">
        <v>56</v>
      </c>
      <c r="I440" s="54">
        <f>IF(H440:H1439&lt;45, "Adult", IF(H440:H1439&lt;60, "Middle Age", IF(H440:H1439&lt;70, "Old", "Very Old")))</f>
      </c>
      <c r="J440" s="55">
        <v>43824</v>
      </c>
      <c r="K440" s="56">
        <v>54829</v>
      </c>
      <c r="L440" s="54">
        <f>IF(K440:K1439&lt;50000,"0-50",IF(K440:K1439&lt;100001,"51-100",IF(K440:K1439&lt;150001,"101-150",IF(K440:K1439&lt;200001,"151-200",IF(K440:K1439&lt;250001,"201-250","above 250")))))</f>
      </c>
      <c r="M440" s="57">
        <v>0</v>
      </c>
      <c r="N440" s="45" t="s">
        <v>15</v>
      </c>
      <c r="O440" s="45" t="s">
        <v>61</v>
      </c>
      <c r="P440" s="51"/>
      <c r="Q440" s="52">
        <f>IF(ISBLANK(P440:P1439), "", DATEDIF(J440:J1439, P440:P1439, "Y"))</f>
      </c>
    </row>
    <row x14ac:dyDescent="0.25" r="441" customHeight="1" ht="15.75">
      <c r="A441" s="45" t="s">
        <v>1534</v>
      </c>
      <c r="B441" s="45" t="s">
        <v>652</v>
      </c>
      <c r="C441" s="45" t="s">
        <v>120</v>
      </c>
      <c r="D441" s="45" t="s">
        <v>26</v>
      </c>
      <c r="E441" s="45" t="s">
        <v>1100</v>
      </c>
      <c r="F441" s="45" t="s">
        <v>10</v>
      </c>
      <c r="G441" s="45" t="s">
        <v>17</v>
      </c>
      <c r="H441" s="53">
        <v>46</v>
      </c>
      <c r="I441" s="54">
        <f>IF(H441:H1440&lt;45, "Adult", IF(H441:H1440&lt;60, "Middle Age", IF(H441:H1440&lt;70, "Old", "Very Old")))</f>
      </c>
      <c r="J441" s="55">
        <v>38464</v>
      </c>
      <c r="K441" s="56">
        <v>96639</v>
      </c>
      <c r="L441" s="54">
        <f>IF(K441:K1440&lt;50000,"0-50",IF(K441:K1440&lt;100001,"51-100",IF(K441:K1440&lt;150001,"101-150",IF(K441:K1440&lt;200001,"151-200",IF(K441:K1440&lt;250001,"201-250","above 250")))))</f>
      </c>
      <c r="M441" s="57">
        <v>0</v>
      </c>
      <c r="N441" s="45" t="s">
        <v>9</v>
      </c>
      <c r="O441" s="45" t="s">
        <v>63</v>
      </c>
      <c r="P441" s="51"/>
      <c r="Q441" s="52">
        <f>IF(ISBLANK(P441:P1440), "", DATEDIF(J441:J1440, P441:P1440, "Y"))</f>
      </c>
    </row>
    <row x14ac:dyDescent="0.25" r="442" customHeight="1" ht="15.75">
      <c r="A442" s="45" t="s">
        <v>1535</v>
      </c>
      <c r="B442" s="45" t="s">
        <v>533</v>
      </c>
      <c r="C442" s="45" t="s">
        <v>110</v>
      </c>
      <c r="D442" s="45" t="s">
        <v>34</v>
      </c>
      <c r="E442" s="45" t="s">
        <v>1096</v>
      </c>
      <c r="F442" s="45" t="s">
        <v>7</v>
      </c>
      <c r="G442" s="45" t="s">
        <v>8</v>
      </c>
      <c r="H442" s="53">
        <v>43</v>
      </c>
      <c r="I442" s="54">
        <f>IF(H442:H1441&lt;45, "Adult", IF(H442:H1441&lt;60, "Middle Age", IF(H442:H1441&lt;70, "Old", "Very Old")))</f>
      </c>
      <c r="J442" s="55">
        <v>38879</v>
      </c>
      <c r="K442" s="56">
        <v>117278</v>
      </c>
      <c r="L442" s="54">
        <f>IF(K442:K1441&lt;50000,"0-50",IF(K442:K1441&lt;100001,"51-100",IF(K442:K1441&lt;150001,"101-150",IF(K442:K1441&lt;200001,"151-200",IF(K442:K1441&lt;250001,"201-250","above 250")))))</f>
      </c>
      <c r="M442" s="57">
        <v>0.09</v>
      </c>
      <c r="N442" s="45" t="s">
        <v>15</v>
      </c>
      <c r="O442" s="45" t="s">
        <v>59</v>
      </c>
      <c r="P442" s="51"/>
      <c r="Q442" s="52">
        <f>IF(ISBLANK(P442:P1441), "", DATEDIF(J442:J1441, P442:P1441, "Y"))</f>
      </c>
    </row>
    <row x14ac:dyDescent="0.25" r="443" customHeight="1" ht="15.75">
      <c r="A443" s="45" t="s">
        <v>1536</v>
      </c>
      <c r="B443" s="45" t="s">
        <v>820</v>
      </c>
      <c r="C443" s="45" t="s">
        <v>90</v>
      </c>
      <c r="D443" s="45" t="s">
        <v>32</v>
      </c>
      <c r="E443" s="45" t="s">
        <v>1096</v>
      </c>
      <c r="F443" s="45" t="s">
        <v>10</v>
      </c>
      <c r="G443" s="45" t="s">
        <v>8</v>
      </c>
      <c r="H443" s="53">
        <v>53</v>
      </c>
      <c r="I443" s="54">
        <f>IF(H443:H1442&lt;45, "Adult", IF(H443:H1442&lt;60, "Middle Age", IF(H443:H1442&lt;70, "Old", "Very Old")))</f>
      </c>
      <c r="J443" s="55">
        <v>39487</v>
      </c>
      <c r="K443" s="56">
        <v>84193</v>
      </c>
      <c r="L443" s="54">
        <f>IF(K443:K1442&lt;50000,"0-50",IF(K443:K1442&lt;100001,"51-100",IF(K443:K1442&lt;150001,"101-150",IF(K443:K1442&lt;200001,"151-200",IF(K443:K1442&lt;250001,"201-250","above 250")))))</f>
      </c>
      <c r="M443" s="57">
        <v>0.09</v>
      </c>
      <c r="N443" s="45" t="s">
        <v>12</v>
      </c>
      <c r="O443" s="45" t="s">
        <v>69</v>
      </c>
      <c r="P443" s="51"/>
      <c r="Q443" s="52">
        <f>IF(ISBLANK(P443:P1442), "", DATEDIF(J443:J1442, P443:P1442, "Y"))</f>
      </c>
    </row>
    <row x14ac:dyDescent="0.25" r="444" customHeight="1" ht="15.75">
      <c r="A444" s="45" t="s">
        <v>1537</v>
      </c>
      <c r="B444" s="45" t="s">
        <v>677</v>
      </c>
      <c r="C444" s="45" t="s">
        <v>112</v>
      </c>
      <c r="D444" s="45" t="s">
        <v>32</v>
      </c>
      <c r="E444" s="45" t="s">
        <v>1094</v>
      </c>
      <c r="F444" s="45" t="s">
        <v>7</v>
      </c>
      <c r="G444" s="45" t="s">
        <v>14</v>
      </c>
      <c r="H444" s="53">
        <v>47</v>
      </c>
      <c r="I444" s="54">
        <f>IF(H444:H1443&lt;45, "Adult", IF(H444:H1443&lt;60, "Middle Age", IF(H444:H1443&lt;70, "Old", "Very Old")))</f>
      </c>
      <c r="J444" s="55">
        <v>43309</v>
      </c>
      <c r="K444" s="56">
        <v>87806</v>
      </c>
      <c r="L444" s="54">
        <f>IF(K444:K1443&lt;50000,"0-50",IF(K444:K1443&lt;100001,"51-100",IF(K444:K1443&lt;150001,"101-150",IF(K444:K1443&lt;200001,"151-200",IF(K444:K1443&lt;250001,"201-250","above 250")))))</f>
      </c>
      <c r="M444" s="57">
        <v>0</v>
      </c>
      <c r="N444" s="45" t="s">
        <v>15</v>
      </c>
      <c r="O444" s="45" t="s">
        <v>67</v>
      </c>
      <c r="P444" s="51"/>
      <c r="Q444" s="52">
        <f>IF(ISBLANK(P444:P1443), "", DATEDIF(J444:J1443, P444:P1443, "Y"))</f>
      </c>
    </row>
    <row x14ac:dyDescent="0.25" r="445" customHeight="1" ht="15.75">
      <c r="A445" s="45" t="s">
        <v>1538</v>
      </c>
      <c r="B445" s="45" t="s">
        <v>1021</v>
      </c>
      <c r="C445" s="45" t="s">
        <v>140</v>
      </c>
      <c r="D445" s="45" t="s">
        <v>26</v>
      </c>
      <c r="E445" s="45" t="s">
        <v>1092</v>
      </c>
      <c r="F445" s="45" t="s">
        <v>10</v>
      </c>
      <c r="G445" s="45" t="s">
        <v>14</v>
      </c>
      <c r="H445" s="53">
        <v>62</v>
      </c>
      <c r="I445" s="54">
        <f>IF(H445:H1444&lt;45, "Adult", IF(H445:H1444&lt;60, "Middle Age", IF(H445:H1444&lt;70, "Old", "Very Old")))</f>
      </c>
      <c r="J445" s="55">
        <v>40820</v>
      </c>
      <c r="K445" s="56">
        <v>63959</v>
      </c>
      <c r="L445" s="54">
        <f>IF(K445:K1444&lt;50000,"0-50",IF(K445:K1444&lt;100001,"51-100",IF(K445:K1444&lt;150001,"101-150",IF(K445:K1444&lt;200001,"151-200",IF(K445:K1444&lt;250001,"201-250","above 250")))))</f>
      </c>
      <c r="M445" s="57">
        <v>0</v>
      </c>
      <c r="N445" s="45" t="s">
        <v>15</v>
      </c>
      <c r="O445" s="45" t="s">
        <v>67</v>
      </c>
      <c r="P445" s="51"/>
      <c r="Q445" s="52">
        <f>IF(ISBLANK(P445:P1444), "", DATEDIF(J445:J1444, P445:P1444, "Y"))</f>
      </c>
    </row>
    <row x14ac:dyDescent="0.25" r="446" customHeight="1" ht="15.75">
      <c r="A446" s="45" t="s">
        <v>1539</v>
      </c>
      <c r="B446" s="45" t="s">
        <v>347</v>
      </c>
      <c r="C446" s="45" t="s">
        <v>142</v>
      </c>
      <c r="D446" s="45" t="s">
        <v>32</v>
      </c>
      <c r="E446" s="45" t="s">
        <v>1092</v>
      </c>
      <c r="F446" s="45" t="s">
        <v>10</v>
      </c>
      <c r="G446" s="45" t="s">
        <v>8</v>
      </c>
      <c r="H446" s="53">
        <v>35</v>
      </c>
      <c r="I446" s="54">
        <f>IF(H446:H1445&lt;45, "Adult", IF(H446:H1445&lt;60, "Middle Age", IF(H446:H1445&lt;70, "Old", "Very Old")))</f>
      </c>
      <c r="J446" s="55">
        <v>42166</v>
      </c>
      <c r="K446" s="56">
        <v>234723</v>
      </c>
      <c r="L446" s="54">
        <f>IF(K446:K1445&lt;50000,"0-50",IF(K446:K1445&lt;100001,"51-100",IF(K446:K1445&lt;150001,"101-150",IF(K446:K1445&lt;200001,"151-200",IF(K446:K1445&lt;250001,"201-250","above 250")))))</f>
      </c>
      <c r="M446" s="57">
        <v>0.36</v>
      </c>
      <c r="N446" s="45" t="s">
        <v>12</v>
      </c>
      <c r="O446" s="45" t="s">
        <v>69</v>
      </c>
      <c r="P446" s="51"/>
      <c r="Q446" s="52">
        <f>IF(ISBLANK(P446:P1445), "", DATEDIF(J446:J1445, P446:P1445, "Y"))</f>
      </c>
    </row>
    <row x14ac:dyDescent="0.25" r="447" customHeight="1" ht="15.75">
      <c r="A447" s="45" t="s">
        <v>1540</v>
      </c>
      <c r="B447" s="45" t="s">
        <v>146</v>
      </c>
      <c r="C447" s="45" t="s">
        <v>80</v>
      </c>
      <c r="D447" s="45" t="s">
        <v>24</v>
      </c>
      <c r="E447" s="45" t="s">
        <v>1100</v>
      </c>
      <c r="F447" s="45" t="s">
        <v>7</v>
      </c>
      <c r="G447" s="45" t="s">
        <v>8</v>
      </c>
      <c r="H447" s="53">
        <v>27</v>
      </c>
      <c r="I447" s="54">
        <f>IF(H447:H1446&lt;45, "Adult", IF(H447:H1446&lt;60, "Middle Age", IF(H447:H1446&lt;70, "Old", "Very Old")))</f>
      </c>
      <c r="J447" s="55">
        <v>43701</v>
      </c>
      <c r="K447" s="56">
        <v>50809</v>
      </c>
      <c r="L447" s="54">
        <f>IF(K447:K1446&lt;50000,"0-50",IF(K447:K1446&lt;100001,"51-100",IF(K447:K1446&lt;150001,"101-150",IF(K447:K1446&lt;200001,"151-200",IF(K447:K1446&lt;250001,"201-250","above 250")))))</f>
      </c>
      <c r="M447" s="57">
        <v>0</v>
      </c>
      <c r="N447" s="45" t="s">
        <v>12</v>
      </c>
      <c r="O447" s="45" t="s">
        <v>53</v>
      </c>
      <c r="P447" s="51"/>
      <c r="Q447" s="52">
        <f>IF(ISBLANK(P447:P1446), "", DATEDIF(J447:J1446, P447:P1446, "Y"))</f>
      </c>
    </row>
    <row x14ac:dyDescent="0.25" r="448" customHeight="1" ht="15.75">
      <c r="A448" s="45" t="s">
        <v>1541</v>
      </c>
      <c r="B448" s="45" t="s">
        <v>886</v>
      </c>
      <c r="C448" s="45" t="s">
        <v>128</v>
      </c>
      <c r="D448" s="45" t="s">
        <v>28</v>
      </c>
      <c r="E448" s="45" t="s">
        <v>1094</v>
      </c>
      <c r="F448" s="45" t="s">
        <v>10</v>
      </c>
      <c r="G448" s="45" t="s">
        <v>14</v>
      </c>
      <c r="H448" s="53">
        <v>55</v>
      </c>
      <c r="I448" s="54">
        <f>IF(H448:H1447&lt;45, "Adult", IF(H448:H1447&lt;60, "Middle Age", IF(H448:H1447&lt;70, "Old", "Very Old")))</f>
      </c>
      <c r="J448" s="55">
        <v>37456</v>
      </c>
      <c r="K448" s="56">
        <v>77396</v>
      </c>
      <c r="L448" s="54">
        <f>IF(K448:K1447&lt;50000,"0-50",IF(K448:K1447&lt;100001,"51-100",IF(K448:K1447&lt;150001,"101-150",IF(K448:K1447&lt;200001,"151-200",IF(K448:K1447&lt;250001,"201-250","above 250")))))</f>
      </c>
      <c r="M448" s="57">
        <v>0</v>
      </c>
      <c r="N448" s="45" t="s">
        <v>15</v>
      </c>
      <c r="O448" s="45" t="s">
        <v>59</v>
      </c>
      <c r="P448" s="51"/>
      <c r="Q448" s="52">
        <f>IF(ISBLANK(P448:P1447), "", DATEDIF(J448:J1447, P448:P1447, "Y"))</f>
      </c>
    </row>
    <row x14ac:dyDescent="0.25" r="449" customHeight="1" ht="15.75">
      <c r="A449" s="45" t="s">
        <v>1542</v>
      </c>
      <c r="B449" s="45" t="s">
        <v>1039</v>
      </c>
      <c r="C449" s="45" t="s">
        <v>128</v>
      </c>
      <c r="D449" s="45" t="s">
        <v>28</v>
      </c>
      <c r="E449" s="45" t="s">
        <v>1096</v>
      </c>
      <c r="F449" s="45" t="s">
        <v>7</v>
      </c>
      <c r="G449" s="45" t="s">
        <v>8</v>
      </c>
      <c r="H449" s="53">
        <v>63</v>
      </c>
      <c r="I449" s="54">
        <f>IF(H449:H1448&lt;45, "Adult", IF(H449:H1448&lt;60, "Middle Age", IF(H449:H1448&lt;70, "Old", "Very Old")))</f>
      </c>
      <c r="J449" s="55">
        <v>36525</v>
      </c>
      <c r="K449" s="56">
        <v>89523</v>
      </c>
      <c r="L449" s="54">
        <f>IF(K449:K1448&lt;50000,"0-50",IF(K449:K1448&lt;100001,"51-100",IF(K449:K1448&lt;150001,"101-150",IF(K449:K1448&lt;200001,"151-200",IF(K449:K1448&lt;250001,"201-250","above 250")))))</f>
      </c>
      <c r="M449" s="57">
        <v>0</v>
      </c>
      <c r="N449" s="45" t="s">
        <v>15</v>
      </c>
      <c r="O449" s="45" t="s">
        <v>61</v>
      </c>
      <c r="P449" s="51"/>
      <c r="Q449" s="52">
        <f>IF(ISBLANK(P449:P1448), "", DATEDIF(J449:J1448, P449:P1448, "Y"))</f>
      </c>
    </row>
    <row x14ac:dyDescent="0.25" r="450" customHeight="1" ht="15.75">
      <c r="A450" s="45" t="s">
        <v>1543</v>
      </c>
      <c r="B450" s="45" t="s">
        <v>822</v>
      </c>
      <c r="C450" s="45" t="s">
        <v>88</v>
      </c>
      <c r="D450" s="45" t="s">
        <v>32</v>
      </c>
      <c r="E450" s="45" t="s">
        <v>1100</v>
      </c>
      <c r="F450" s="45" t="s">
        <v>7</v>
      </c>
      <c r="G450" s="45" t="s">
        <v>8</v>
      </c>
      <c r="H450" s="53">
        <v>53</v>
      </c>
      <c r="I450" s="54">
        <f>IF(H450:H1449&lt;45, "Adult", IF(H450:H1449&lt;60, "Middle Age", IF(H450:H1449&lt;70, "Old", "Very Old")))</f>
      </c>
      <c r="J450" s="55">
        <v>40744</v>
      </c>
      <c r="K450" s="56">
        <v>86173</v>
      </c>
      <c r="L450" s="54">
        <f>IF(K450:K1449&lt;50000,"0-50",IF(K450:K1449&lt;100001,"51-100",IF(K450:K1449&lt;150001,"101-150",IF(K450:K1449&lt;200001,"151-200",IF(K450:K1449&lt;250001,"201-250","above 250")))))</f>
      </c>
      <c r="M450" s="57">
        <v>0</v>
      </c>
      <c r="N450" s="45" t="s">
        <v>12</v>
      </c>
      <c r="O450" s="45" t="s">
        <v>53</v>
      </c>
      <c r="P450" s="51"/>
      <c r="Q450" s="52">
        <f>IF(ISBLANK(P450:P1449), "", DATEDIF(J450:J1449, P450:P1449, "Y"))</f>
      </c>
    </row>
    <row x14ac:dyDescent="0.25" r="451" customHeight="1" ht="15.75">
      <c r="A451" s="45" t="s">
        <v>1544</v>
      </c>
      <c r="B451" s="45" t="s">
        <v>841</v>
      </c>
      <c r="C451" s="45" t="s">
        <v>142</v>
      </c>
      <c r="D451" s="45" t="s">
        <v>36</v>
      </c>
      <c r="E451" s="45" t="s">
        <v>1094</v>
      </c>
      <c r="F451" s="45" t="s">
        <v>7</v>
      </c>
      <c r="G451" s="45" t="s">
        <v>11</v>
      </c>
      <c r="H451" s="53">
        <v>54</v>
      </c>
      <c r="I451" s="54">
        <f>IF(H451:H1450&lt;45, "Adult", IF(H451:H1450&lt;60, "Middle Age", IF(H451:H1450&lt;70, "Old", "Very Old")))</f>
      </c>
      <c r="J451" s="55">
        <v>36757</v>
      </c>
      <c r="K451" s="56">
        <v>222224</v>
      </c>
      <c r="L451" s="54">
        <f>IF(K451:K1450&lt;50000,"0-50",IF(K451:K1450&lt;100001,"51-100",IF(K451:K1450&lt;150001,"101-150",IF(K451:K1450&lt;200001,"151-200",IF(K451:K1450&lt;250001,"201-250","above 250")))))</f>
      </c>
      <c r="M451" s="57">
        <v>0.38</v>
      </c>
      <c r="N451" s="45" t="s">
        <v>15</v>
      </c>
      <c r="O451" s="45" t="s">
        <v>55</v>
      </c>
      <c r="P451" s="51"/>
      <c r="Q451" s="52">
        <f>IF(ISBLANK(P451:P1450), "", DATEDIF(J451:J1450, P451:P1450, "Y"))</f>
      </c>
    </row>
    <row x14ac:dyDescent="0.25" r="452" customHeight="1" ht="15.75">
      <c r="A452" s="45" t="s">
        <v>1545</v>
      </c>
      <c r="B452" s="45" t="s">
        <v>528</v>
      </c>
      <c r="C452" s="45" t="s">
        <v>132</v>
      </c>
      <c r="D452" s="45" t="s">
        <v>28</v>
      </c>
      <c r="E452" s="45" t="s">
        <v>1092</v>
      </c>
      <c r="F452" s="45" t="s">
        <v>10</v>
      </c>
      <c r="G452" s="45" t="s">
        <v>8</v>
      </c>
      <c r="H452" s="53">
        <v>43</v>
      </c>
      <c r="I452" s="54">
        <f>IF(H452:H1451&lt;45, "Adult", IF(H452:H1451&lt;60, "Middle Age", IF(H452:H1451&lt;70, "Old", "Very Old")))</f>
      </c>
      <c r="J452" s="55">
        <v>44303</v>
      </c>
      <c r="K452" s="56">
        <v>146140</v>
      </c>
      <c r="L452" s="54">
        <f>IF(K452:K1451&lt;50000,"0-50",IF(K452:K1451&lt;100001,"51-100",IF(K452:K1451&lt;150001,"101-150",IF(K452:K1451&lt;200001,"151-200",IF(K452:K1451&lt;250001,"201-250","above 250")))))</f>
      </c>
      <c r="M452" s="57">
        <v>0.15</v>
      </c>
      <c r="N452" s="45" t="s">
        <v>15</v>
      </c>
      <c r="O452" s="45" t="s">
        <v>67</v>
      </c>
      <c r="P452" s="51"/>
      <c r="Q452" s="52">
        <f>IF(ISBLANK(P452:P1451), "", DATEDIF(J452:J1451, P452:P1451, "Y"))</f>
      </c>
    </row>
    <row x14ac:dyDescent="0.25" r="453" customHeight="1" ht="15.75">
      <c r="A453" s="45" t="s">
        <v>1546</v>
      </c>
      <c r="B453" s="45" t="s">
        <v>1059</v>
      </c>
      <c r="C453" s="45" t="s">
        <v>98</v>
      </c>
      <c r="D453" s="45" t="s">
        <v>26</v>
      </c>
      <c r="E453" s="45" t="s">
        <v>1096</v>
      </c>
      <c r="F453" s="45" t="s">
        <v>7</v>
      </c>
      <c r="G453" s="45" t="s">
        <v>14</v>
      </c>
      <c r="H453" s="53">
        <v>64</v>
      </c>
      <c r="I453" s="54">
        <f>IF(H453:H1452&lt;45, "Adult", IF(H453:H1452&lt;60, "Middle Age", IF(H453:H1452&lt;70, "Old", "Very Old")))</f>
      </c>
      <c r="J453" s="55">
        <v>34505</v>
      </c>
      <c r="K453" s="56">
        <v>109456</v>
      </c>
      <c r="L453" s="54">
        <f>IF(K453:K1452&lt;50000,"0-50",IF(K453:K1452&lt;100001,"51-100",IF(K453:K1452&lt;150001,"101-150",IF(K453:K1452&lt;200001,"151-200",IF(K453:K1452&lt;250001,"201-250","above 250")))))</f>
      </c>
      <c r="M453" s="57">
        <v>0.1</v>
      </c>
      <c r="N453" s="45" t="s">
        <v>15</v>
      </c>
      <c r="O453" s="45" t="s">
        <v>51</v>
      </c>
      <c r="P453" s="51"/>
      <c r="Q453" s="52">
        <f>IF(ISBLANK(P453:P1452), "", DATEDIF(J453:J1452, P453:P1452, "Y"))</f>
      </c>
    </row>
    <row x14ac:dyDescent="0.25" r="454" customHeight="1" ht="15.75">
      <c r="A454" s="45" t="s">
        <v>1547</v>
      </c>
      <c r="B454" s="45" t="s">
        <v>1078</v>
      </c>
      <c r="C454" s="45" t="s">
        <v>96</v>
      </c>
      <c r="D454" s="45" t="s">
        <v>28</v>
      </c>
      <c r="E454" s="45" t="s">
        <v>1092</v>
      </c>
      <c r="F454" s="45" t="s">
        <v>7</v>
      </c>
      <c r="G454" s="45" t="s">
        <v>17</v>
      </c>
      <c r="H454" s="53">
        <v>65</v>
      </c>
      <c r="I454" s="54">
        <f>IF(H454:H1453&lt;45, "Adult", IF(H454:H1453&lt;60, "Middle Age", IF(H454:H1453&lt;70, "Old", "Very Old")))</f>
      </c>
      <c r="J454" s="55">
        <v>39728</v>
      </c>
      <c r="K454" s="56">
        <v>170221</v>
      </c>
      <c r="L454" s="54">
        <f>IF(K454:K1453&lt;50000,"0-50",IF(K454:K1453&lt;100001,"51-100",IF(K454:K1453&lt;150001,"101-150",IF(K454:K1453&lt;200001,"151-200",IF(K454:K1453&lt;250001,"201-250","above 250")))))</f>
      </c>
      <c r="M454" s="57">
        <v>0.15</v>
      </c>
      <c r="N454" s="45" t="s">
        <v>9</v>
      </c>
      <c r="O454" s="45" t="s">
        <v>57</v>
      </c>
      <c r="P454" s="51"/>
      <c r="Q454" s="52">
        <f>IF(ISBLANK(P454:P1453), "", DATEDIF(J454:J1453, P454:P1453, "Y"))</f>
      </c>
    </row>
    <row x14ac:dyDescent="0.25" r="455" customHeight="1" ht="15.75">
      <c r="A455" s="45" t="s">
        <v>1548</v>
      </c>
      <c r="B455" s="45" t="s">
        <v>508</v>
      </c>
      <c r="C455" s="45" t="s">
        <v>90</v>
      </c>
      <c r="D455" s="45" t="s">
        <v>32</v>
      </c>
      <c r="E455" s="45" t="s">
        <v>1092</v>
      </c>
      <c r="F455" s="45" t="s">
        <v>7</v>
      </c>
      <c r="G455" s="45" t="s">
        <v>14</v>
      </c>
      <c r="H455" s="53">
        <v>42</v>
      </c>
      <c r="I455" s="54">
        <f>IF(H455:H1454&lt;45, "Adult", IF(H455:H1454&lt;60, "Middle Age", IF(H455:H1454&lt;70, "Old", "Very Old")))</f>
      </c>
      <c r="J455" s="55">
        <v>38777</v>
      </c>
      <c r="K455" s="56">
        <v>97433</v>
      </c>
      <c r="L455" s="54">
        <f>IF(K455:K1454&lt;50000,"0-50",IF(K455:K1454&lt;100001,"51-100",IF(K455:K1454&lt;150001,"101-150",IF(K455:K1454&lt;200001,"151-200",IF(K455:K1454&lt;250001,"201-250","above 250")))))</f>
      </c>
      <c r="M455" s="57">
        <v>0.05</v>
      </c>
      <c r="N455" s="45" t="s">
        <v>15</v>
      </c>
      <c r="O455" s="45" t="s">
        <v>67</v>
      </c>
      <c r="P455" s="58">
        <v>42224</v>
      </c>
      <c r="Q455" s="53">
        <f>IF(ISBLANK(P455:P1454), "", DATEDIF(J455:J1454, P455:P1454, "Y"))</f>
      </c>
    </row>
    <row x14ac:dyDescent="0.25" r="456" customHeight="1" ht="15.75">
      <c r="A456" s="45" t="s">
        <v>1549</v>
      </c>
      <c r="B456" s="45" t="s">
        <v>343</v>
      </c>
      <c r="C456" s="45" t="s">
        <v>78</v>
      </c>
      <c r="D456" s="45" t="s">
        <v>36</v>
      </c>
      <c r="E456" s="45" t="s">
        <v>1094</v>
      </c>
      <c r="F456" s="45" t="s">
        <v>10</v>
      </c>
      <c r="G456" s="45" t="s">
        <v>8</v>
      </c>
      <c r="H456" s="53">
        <v>35</v>
      </c>
      <c r="I456" s="54">
        <f>IF(H456:H1455&lt;45, "Adult", IF(H456:H1455&lt;60, "Middle Age", IF(H456:H1455&lt;70, "Old", "Very Old")))</f>
      </c>
      <c r="J456" s="55">
        <v>41516</v>
      </c>
      <c r="K456" s="56">
        <v>59646</v>
      </c>
      <c r="L456" s="54">
        <f>IF(K456:K1455&lt;50000,"0-50",IF(K456:K1455&lt;100001,"51-100",IF(K456:K1455&lt;150001,"101-150",IF(K456:K1455&lt;200001,"151-200",IF(K456:K1455&lt;250001,"201-250","above 250")))))</f>
      </c>
      <c r="M456" s="57">
        <v>0</v>
      </c>
      <c r="N456" s="45" t="s">
        <v>12</v>
      </c>
      <c r="O456" s="45" t="s">
        <v>69</v>
      </c>
      <c r="P456" s="51"/>
      <c r="Q456" s="52">
        <f>IF(ISBLANK(P456:P1455), "", DATEDIF(J456:J1455, P456:P1455, "Y"))</f>
      </c>
    </row>
    <row x14ac:dyDescent="0.25" r="457" customHeight="1" ht="15.75">
      <c r="A457" s="45" t="s">
        <v>1550</v>
      </c>
      <c r="B457" s="45" t="s">
        <v>1056</v>
      </c>
      <c r="C457" s="45" t="s">
        <v>96</v>
      </c>
      <c r="D457" s="45" t="s">
        <v>26</v>
      </c>
      <c r="E457" s="45" t="s">
        <v>1096</v>
      </c>
      <c r="F457" s="45" t="s">
        <v>10</v>
      </c>
      <c r="G457" s="45" t="s">
        <v>8</v>
      </c>
      <c r="H457" s="53">
        <v>64</v>
      </c>
      <c r="I457" s="54">
        <f>IF(H457:H1456&lt;45, "Adult", IF(H457:H1456&lt;60, "Middle Age", IF(H457:H1456&lt;70, "Old", "Very Old")))</f>
      </c>
      <c r="J457" s="55">
        <v>34940</v>
      </c>
      <c r="K457" s="56">
        <v>158787</v>
      </c>
      <c r="L457" s="54">
        <f>IF(K457:K1456&lt;50000,"0-50",IF(K457:K1456&lt;100001,"51-100",IF(K457:K1456&lt;150001,"101-150",IF(K457:K1456&lt;200001,"151-200",IF(K457:K1456&lt;250001,"201-250","above 250")))))</f>
      </c>
      <c r="M457" s="57">
        <v>0.18</v>
      </c>
      <c r="N457" s="45" t="s">
        <v>12</v>
      </c>
      <c r="O457" s="45" t="s">
        <v>49</v>
      </c>
      <c r="P457" s="51"/>
      <c r="Q457" s="52">
        <f>IF(ISBLANK(P457:P1456), "", DATEDIF(J457:J1456, P457:P1456, "Y"))</f>
      </c>
    </row>
    <row x14ac:dyDescent="0.25" r="458" customHeight="1" ht="15.75">
      <c r="A458" s="45" t="s">
        <v>1551</v>
      </c>
      <c r="B458" s="45" t="s">
        <v>887</v>
      </c>
      <c r="C458" s="45" t="s">
        <v>92</v>
      </c>
      <c r="D458" s="45" t="s">
        <v>26</v>
      </c>
      <c r="E458" s="45" t="s">
        <v>1092</v>
      </c>
      <c r="F458" s="45" t="s">
        <v>10</v>
      </c>
      <c r="G458" s="45" t="s">
        <v>8</v>
      </c>
      <c r="H458" s="53">
        <v>55</v>
      </c>
      <c r="I458" s="54">
        <f>IF(H458:H1457&lt;45, "Adult", IF(H458:H1457&lt;60, "Middle Age", IF(H458:H1457&lt;70, "Old", "Very Old")))</f>
      </c>
      <c r="J458" s="55">
        <v>43219</v>
      </c>
      <c r="K458" s="56">
        <v>83378</v>
      </c>
      <c r="L458" s="54">
        <f>IF(K458:K1457&lt;50000,"0-50",IF(K458:K1457&lt;100001,"51-100",IF(K458:K1457&lt;150001,"101-150",IF(K458:K1457&lt;200001,"151-200",IF(K458:K1457&lt;250001,"201-250","above 250")))))</f>
      </c>
      <c r="M458" s="57">
        <v>0</v>
      </c>
      <c r="N458" s="45" t="s">
        <v>12</v>
      </c>
      <c r="O458" s="45" t="s">
        <v>47</v>
      </c>
      <c r="P458" s="51"/>
      <c r="Q458" s="52">
        <f>IF(ISBLANK(P458:P1457), "", DATEDIF(J458:J1457, P458:P1457, "Y"))</f>
      </c>
    </row>
    <row x14ac:dyDescent="0.25" r="459" customHeight="1" ht="15.75">
      <c r="A459" s="45" t="s">
        <v>1552</v>
      </c>
      <c r="B459" s="45" t="s">
        <v>274</v>
      </c>
      <c r="C459" s="45" t="s">
        <v>128</v>
      </c>
      <c r="D459" s="45" t="s">
        <v>34</v>
      </c>
      <c r="E459" s="45" t="s">
        <v>1100</v>
      </c>
      <c r="F459" s="45" t="s">
        <v>7</v>
      </c>
      <c r="G459" s="45" t="s">
        <v>17</v>
      </c>
      <c r="H459" s="53">
        <v>32</v>
      </c>
      <c r="I459" s="54">
        <f>IF(H459:H1458&lt;45, "Adult", IF(H459:H1458&lt;60, "Middle Age", IF(H459:H1458&lt;70, "Old", "Very Old")))</f>
      </c>
      <c r="J459" s="55">
        <v>41590</v>
      </c>
      <c r="K459" s="56">
        <v>88895</v>
      </c>
      <c r="L459" s="54">
        <f>IF(K459:K1458&lt;50000,"0-50",IF(K459:K1458&lt;100001,"51-100",IF(K459:K1458&lt;150001,"101-150",IF(K459:K1458&lt;200001,"151-200",IF(K459:K1458&lt;250001,"201-250","above 250")))))</f>
      </c>
      <c r="M459" s="57">
        <v>0</v>
      </c>
      <c r="N459" s="45" t="s">
        <v>15</v>
      </c>
      <c r="O459" s="45" t="s">
        <v>51</v>
      </c>
      <c r="P459" s="51"/>
      <c r="Q459" s="52">
        <f>IF(ISBLANK(P459:P1458), "", DATEDIF(J459:J1458, P459:P1458, "Y"))</f>
      </c>
    </row>
    <row x14ac:dyDescent="0.25" r="460" customHeight="1" ht="15.75">
      <c r="A460" s="45" t="s">
        <v>1553</v>
      </c>
      <c r="B460" s="45" t="s">
        <v>588</v>
      </c>
      <c r="C460" s="45" t="s">
        <v>96</v>
      </c>
      <c r="D460" s="45" t="s">
        <v>34</v>
      </c>
      <c r="E460" s="45" t="s">
        <v>1100</v>
      </c>
      <c r="F460" s="45" t="s">
        <v>10</v>
      </c>
      <c r="G460" s="45" t="s">
        <v>8</v>
      </c>
      <c r="H460" s="53">
        <v>45</v>
      </c>
      <c r="I460" s="54">
        <f>IF(H460:H1459&lt;45, "Adult", IF(H460:H1459&lt;60, "Middle Age", IF(H460:H1459&lt;70, "Old", "Very Old")))</f>
      </c>
      <c r="J460" s="55">
        <v>38332</v>
      </c>
      <c r="K460" s="56">
        <v>168846</v>
      </c>
      <c r="L460" s="54">
        <f>IF(K460:K1459&lt;50000,"0-50",IF(K460:K1459&lt;100001,"51-100",IF(K460:K1459&lt;150001,"101-150",IF(K460:K1459&lt;200001,"151-200",IF(K460:K1459&lt;250001,"201-250","above 250")))))</f>
      </c>
      <c r="M460" s="57">
        <v>0.24</v>
      </c>
      <c r="N460" s="45" t="s">
        <v>12</v>
      </c>
      <c r="O460" s="45" t="s">
        <v>53</v>
      </c>
      <c r="P460" s="51"/>
      <c r="Q460" s="52">
        <f>IF(ISBLANK(P460:P1459), "", DATEDIF(J460:J1459, P460:P1459, "Y"))</f>
      </c>
    </row>
    <row x14ac:dyDescent="0.25" r="461" customHeight="1" ht="15.75">
      <c r="A461" s="45" t="s">
        <v>1554</v>
      </c>
      <c r="B461" s="45" t="s">
        <v>342</v>
      </c>
      <c r="C461" s="45" t="s">
        <v>86</v>
      </c>
      <c r="D461" s="45" t="s">
        <v>30</v>
      </c>
      <c r="E461" s="45" t="s">
        <v>1092</v>
      </c>
      <c r="F461" s="45" t="s">
        <v>10</v>
      </c>
      <c r="G461" s="45" t="s">
        <v>8</v>
      </c>
      <c r="H461" s="53">
        <v>35</v>
      </c>
      <c r="I461" s="54">
        <f>IF(H461:H1460&lt;45, "Adult", IF(H461:H1460&lt;60, "Middle Age", IF(H461:H1460&lt;70, "Old", "Very Old")))</f>
      </c>
      <c r="J461" s="55">
        <v>40596</v>
      </c>
      <c r="K461" s="56">
        <v>43336</v>
      </c>
      <c r="L461" s="54">
        <f>IF(K461:K1460&lt;50000,"0-50",IF(K461:K1460&lt;100001,"51-100",IF(K461:K1460&lt;150001,"101-150",IF(K461:K1460&lt;200001,"151-200",IF(K461:K1460&lt;250001,"201-250","above 250")))))</f>
      </c>
      <c r="M461" s="57">
        <v>0</v>
      </c>
      <c r="N461" s="45" t="s">
        <v>15</v>
      </c>
      <c r="O461" s="45" t="s">
        <v>42</v>
      </c>
      <c r="P461" s="58">
        <v>44024</v>
      </c>
      <c r="Q461" s="53">
        <f>IF(ISBLANK(P461:P1460), "", DATEDIF(J461:J1460, P461:P1460, "Y"))</f>
      </c>
    </row>
    <row x14ac:dyDescent="0.25" r="462" customHeight="1" ht="15.75">
      <c r="A462" s="45" t="s">
        <v>1555</v>
      </c>
      <c r="B462" s="45" t="s">
        <v>417</v>
      </c>
      <c r="C462" s="45" t="s">
        <v>132</v>
      </c>
      <c r="D462" s="45" t="s">
        <v>30</v>
      </c>
      <c r="E462" s="45" t="s">
        <v>1100</v>
      </c>
      <c r="F462" s="45" t="s">
        <v>10</v>
      </c>
      <c r="G462" s="45" t="s">
        <v>17</v>
      </c>
      <c r="H462" s="53">
        <v>38</v>
      </c>
      <c r="I462" s="54">
        <f>IF(H462:H1461&lt;45, "Adult", IF(H462:H1461&lt;60, "Middle Age", IF(H462:H1461&lt;70, "Old", "Very Old")))</f>
      </c>
      <c r="J462" s="55">
        <v>40083</v>
      </c>
      <c r="K462" s="56">
        <v>127801</v>
      </c>
      <c r="L462" s="54">
        <f>IF(K462:K1461&lt;50000,"0-50",IF(K462:K1461&lt;100001,"51-100",IF(K462:K1461&lt;150001,"101-150",IF(K462:K1461&lt;200001,"151-200",IF(K462:K1461&lt;250001,"201-250","above 250")))))</f>
      </c>
      <c r="M462" s="57">
        <v>0.15</v>
      </c>
      <c r="N462" s="45" t="s">
        <v>15</v>
      </c>
      <c r="O462" s="45" t="s">
        <v>61</v>
      </c>
      <c r="P462" s="51"/>
      <c r="Q462" s="52">
        <f>IF(ISBLANK(P462:P1461), "", DATEDIF(J462:J1461, P462:P1461, "Y"))</f>
      </c>
    </row>
    <row x14ac:dyDescent="0.25" r="463" customHeight="1" ht="15.75">
      <c r="A463" s="45" t="s">
        <v>1556</v>
      </c>
      <c r="B463" s="45" t="s">
        <v>837</v>
      </c>
      <c r="C463" s="45" t="s">
        <v>112</v>
      </c>
      <c r="D463" s="45" t="s">
        <v>32</v>
      </c>
      <c r="E463" s="45" t="s">
        <v>1100</v>
      </c>
      <c r="F463" s="45" t="s">
        <v>10</v>
      </c>
      <c r="G463" s="45" t="s">
        <v>11</v>
      </c>
      <c r="H463" s="53">
        <v>54</v>
      </c>
      <c r="I463" s="54">
        <f>IF(H463:H1462&lt;45, "Adult", IF(H463:H1462&lt;60, "Middle Age", IF(H463:H1462&lt;70, "Old", "Very Old")))</f>
      </c>
      <c r="J463" s="55">
        <v>36617</v>
      </c>
      <c r="K463" s="56">
        <v>76352</v>
      </c>
      <c r="L463" s="54">
        <f>IF(K463:K1462&lt;50000,"0-50",IF(K463:K1462&lt;100001,"51-100",IF(K463:K1462&lt;150001,"101-150",IF(K463:K1462&lt;200001,"151-200",IF(K463:K1462&lt;250001,"201-250","above 250")))))</f>
      </c>
      <c r="M463" s="57">
        <v>0</v>
      </c>
      <c r="N463" s="45" t="s">
        <v>15</v>
      </c>
      <c r="O463" s="45" t="s">
        <v>42</v>
      </c>
      <c r="P463" s="51"/>
      <c r="Q463" s="52">
        <f>IF(ISBLANK(P463:P1462), "", DATEDIF(J463:J1462, P463:P1462, "Y"))</f>
      </c>
    </row>
    <row x14ac:dyDescent="0.25" r="464" customHeight="1" ht="15.75">
      <c r="A464" s="45" t="s">
        <v>1557</v>
      </c>
      <c r="B464" s="45" t="s">
        <v>177</v>
      </c>
      <c r="C464" s="45" t="s">
        <v>142</v>
      </c>
      <c r="D464" s="45" t="s">
        <v>28</v>
      </c>
      <c r="E464" s="45" t="s">
        <v>1100</v>
      </c>
      <c r="F464" s="45" t="s">
        <v>10</v>
      </c>
      <c r="G464" s="45" t="s">
        <v>14</v>
      </c>
      <c r="H464" s="53">
        <v>28</v>
      </c>
      <c r="I464" s="54">
        <f>IF(H464:H1463&lt;45, "Adult", IF(H464:H1463&lt;60, "Middle Age", IF(H464:H1463&lt;70, "Old", "Very Old")))</f>
      </c>
      <c r="J464" s="55">
        <v>43638</v>
      </c>
      <c r="K464" s="56">
        <v>250767</v>
      </c>
      <c r="L464" s="54">
        <f>IF(K464:K1463&lt;50000,"0-50",IF(K464:K1463&lt;100001,"51-100",IF(K464:K1463&lt;150001,"101-150",IF(K464:K1463&lt;200001,"151-200",IF(K464:K1463&lt;250001,"201-250","above 250")))))</f>
      </c>
      <c r="M464" s="57">
        <v>0.38</v>
      </c>
      <c r="N464" s="45" t="s">
        <v>15</v>
      </c>
      <c r="O464" s="45" t="s">
        <v>67</v>
      </c>
      <c r="P464" s="51"/>
      <c r="Q464" s="52">
        <f>IF(ISBLANK(P464:P1463), "", DATEDIF(J464:J1463, P464:P1463, "Y"))</f>
      </c>
    </row>
    <row x14ac:dyDescent="0.25" r="465" customHeight="1" ht="15.75">
      <c r="A465" s="45" t="s">
        <v>1558</v>
      </c>
      <c r="B465" s="45" t="s">
        <v>97</v>
      </c>
      <c r="C465" s="45" t="s">
        <v>142</v>
      </c>
      <c r="D465" s="45" t="s">
        <v>34</v>
      </c>
      <c r="E465" s="45" t="s">
        <v>1100</v>
      </c>
      <c r="F465" s="45" t="s">
        <v>10</v>
      </c>
      <c r="G465" s="45" t="s">
        <v>14</v>
      </c>
      <c r="H465" s="53">
        <v>26</v>
      </c>
      <c r="I465" s="54">
        <f>IF(H465:H1464&lt;45, "Adult", IF(H465:H1464&lt;60, "Middle Age", IF(H465:H1464&lt;70, "Old", "Very Old")))</f>
      </c>
      <c r="J465" s="55">
        <v>44101</v>
      </c>
      <c r="K465" s="56">
        <v>223055</v>
      </c>
      <c r="L465" s="54">
        <f>IF(K465:K1464&lt;50000,"0-50",IF(K465:K1464&lt;100001,"51-100",IF(K465:K1464&lt;150001,"101-150",IF(K465:K1464&lt;200001,"151-200",IF(K465:K1464&lt;250001,"201-250","above 250")))))</f>
      </c>
      <c r="M465" s="57">
        <v>0.3</v>
      </c>
      <c r="N465" s="45" t="s">
        <v>15</v>
      </c>
      <c r="O465" s="45" t="s">
        <v>55</v>
      </c>
      <c r="P465" s="51"/>
      <c r="Q465" s="52">
        <f>IF(ISBLANK(P465:P1464), "", DATEDIF(J465:J1464, P465:P1464, "Y"))</f>
      </c>
    </row>
    <row x14ac:dyDescent="0.25" r="466" customHeight="1" ht="15.75">
      <c r="A466" s="45" t="s">
        <v>1559</v>
      </c>
      <c r="B466" s="45" t="s">
        <v>602</v>
      </c>
      <c r="C466" s="45" t="s">
        <v>96</v>
      </c>
      <c r="D466" s="45" t="s">
        <v>26</v>
      </c>
      <c r="E466" s="45" t="s">
        <v>1100</v>
      </c>
      <c r="F466" s="45" t="s">
        <v>10</v>
      </c>
      <c r="G466" s="45" t="s">
        <v>17</v>
      </c>
      <c r="H466" s="53">
        <v>45</v>
      </c>
      <c r="I466" s="54">
        <f>IF(H466:H1465&lt;45, "Adult", IF(H466:H1465&lt;60, "Middle Age", IF(H466:H1465&lt;70, "Old", "Very Old")))</f>
      </c>
      <c r="J466" s="55">
        <v>39185</v>
      </c>
      <c r="K466" s="56">
        <v>189680</v>
      </c>
      <c r="L466" s="54">
        <f>IF(K466:K1465&lt;50000,"0-50",IF(K466:K1465&lt;100001,"51-100",IF(K466:K1465&lt;150001,"101-150",IF(K466:K1465&lt;200001,"151-200",IF(K466:K1465&lt;250001,"201-250","above 250")))))</f>
      </c>
      <c r="M466" s="57">
        <v>0.23</v>
      </c>
      <c r="N466" s="45" t="s">
        <v>9</v>
      </c>
      <c r="O466" s="45" t="s">
        <v>65</v>
      </c>
      <c r="P466" s="51"/>
      <c r="Q466" s="52">
        <f>IF(ISBLANK(P466:P1465), "", DATEDIF(J466:J1465, P466:P1465, "Y"))</f>
      </c>
    </row>
    <row x14ac:dyDescent="0.25" r="467" customHeight="1" ht="15.75">
      <c r="A467" s="45" t="s">
        <v>1560</v>
      </c>
      <c r="B467" s="45" t="s">
        <v>926</v>
      </c>
      <c r="C467" s="45" t="s">
        <v>140</v>
      </c>
      <c r="D467" s="45" t="s">
        <v>26</v>
      </c>
      <c r="E467" s="45" t="s">
        <v>1094</v>
      </c>
      <c r="F467" s="45" t="s">
        <v>10</v>
      </c>
      <c r="G467" s="45" t="s">
        <v>14</v>
      </c>
      <c r="H467" s="53">
        <v>57</v>
      </c>
      <c r="I467" s="54">
        <f>IF(H467:H1466&lt;45, "Adult", IF(H467:H1466&lt;60, "Middle Age", IF(H467:H1466&lt;70, "Old", "Very Old")))</f>
      </c>
      <c r="J467" s="55">
        <v>43299</v>
      </c>
      <c r="K467" s="56">
        <v>71167</v>
      </c>
      <c r="L467" s="54">
        <f>IF(K467:K1466&lt;50000,"0-50",IF(K467:K1466&lt;100001,"51-100",IF(K467:K1466&lt;150001,"101-150",IF(K467:K1466&lt;200001,"151-200",IF(K467:K1466&lt;250001,"201-250","above 250")))))</f>
      </c>
      <c r="M467" s="57">
        <v>0</v>
      </c>
      <c r="N467" s="45" t="s">
        <v>15</v>
      </c>
      <c r="O467" s="45" t="s">
        <v>55</v>
      </c>
      <c r="P467" s="51"/>
      <c r="Q467" s="52">
        <f>IF(ISBLANK(P467:P1466), "", DATEDIF(J467:J1466, P467:P1466, "Y"))</f>
      </c>
    </row>
    <row x14ac:dyDescent="0.25" r="468" customHeight="1" ht="15.75">
      <c r="A468" s="45" t="s">
        <v>1561</v>
      </c>
      <c r="B468" s="45" t="s">
        <v>966</v>
      </c>
      <c r="C468" s="45" t="s">
        <v>138</v>
      </c>
      <c r="D468" s="45" t="s">
        <v>32</v>
      </c>
      <c r="E468" s="45" t="s">
        <v>1096</v>
      </c>
      <c r="F468" s="45" t="s">
        <v>7</v>
      </c>
      <c r="G468" s="45" t="s">
        <v>14</v>
      </c>
      <c r="H468" s="53">
        <v>59</v>
      </c>
      <c r="I468" s="54">
        <f>IF(H468:H1467&lt;45, "Adult", IF(H468:H1467&lt;60, "Middle Age", IF(H468:H1467&lt;70, "Old", "Very Old")))</f>
      </c>
      <c r="J468" s="55">
        <v>40272</v>
      </c>
      <c r="K468" s="56">
        <v>76027</v>
      </c>
      <c r="L468" s="54">
        <f>IF(K468:K1467&lt;50000,"0-50",IF(K468:K1467&lt;100001,"51-100",IF(K468:K1467&lt;150001,"101-150",IF(K468:K1467&lt;200001,"151-200",IF(K468:K1467&lt;250001,"201-250","above 250")))))</f>
      </c>
      <c r="M468" s="57">
        <v>0</v>
      </c>
      <c r="N468" s="45" t="s">
        <v>15</v>
      </c>
      <c r="O468" s="45" t="s">
        <v>67</v>
      </c>
      <c r="P468" s="51"/>
      <c r="Q468" s="52">
        <f>IF(ISBLANK(P468:P1467), "", DATEDIF(J468:J1467, P468:P1467, "Y"))</f>
      </c>
    </row>
    <row x14ac:dyDescent="0.25" r="469" customHeight="1" ht="15.75">
      <c r="A469" s="45" t="s">
        <v>1562</v>
      </c>
      <c r="B469" s="45" t="s">
        <v>701</v>
      </c>
      <c r="C469" s="45" t="s">
        <v>96</v>
      </c>
      <c r="D469" s="45" t="s">
        <v>26</v>
      </c>
      <c r="E469" s="45" t="s">
        <v>1100</v>
      </c>
      <c r="F469" s="45" t="s">
        <v>10</v>
      </c>
      <c r="G469" s="45" t="s">
        <v>17</v>
      </c>
      <c r="H469" s="53">
        <v>48</v>
      </c>
      <c r="I469" s="54">
        <f>IF(H469:H1468&lt;45, "Adult", IF(H469:H1468&lt;60, "Middle Age", IF(H469:H1468&lt;70, "Old", "Very Old")))</f>
      </c>
      <c r="J469" s="55">
        <v>43809</v>
      </c>
      <c r="K469" s="56">
        <v>183113</v>
      </c>
      <c r="L469" s="54">
        <f>IF(K469:K1468&lt;50000,"0-50",IF(K469:K1468&lt;100001,"51-100",IF(K469:K1468&lt;150001,"101-150",IF(K469:K1468&lt;200001,"151-200",IF(K469:K1468&lt;250001,"201-250","above 250")))))</f>
      </c>
      <c r="M469" s="57">
        <v>0.24</v>
      </c>
      <c r="N469" s="45" t="s">
        <v>9</v>
      </c>
      <c r="O469" s="45" t="s">
        <v>63</v>
      </c>
      <c r="P469" s="51"/>
      <c r="Q469" s="52">
        <f>IF(ISBLANK(P469:P1468), "", DATEDIF(J469:J1468, P469:P1468, "Y"))</f>
      </c>
    </row>
    <row x14ac:dyDescent="0.25" r="470" customHeight="1" ht="15.75">
      <c r="A470" s="45" t="s">
        <v>1563</v>
      </c>
      <c r="B470" s="45" t="s">
        <v>234</v>
      </c>
      <c r="C470" s="45" t="s">
        <v>82</v>
      </c>
      <c r="D470" s="45" t="s">
        <v>24</v>
      </c>
      <c r="E470" s="45" t="s">
        <v>1094</v>
      </c>
      <c r="F470" s="45" t="s">
        <v>10</v>
      </c>
      <c r="G470" s="45" t="s">
        <v>11</v>
      </c>
      <c r="H470" s="53">
        <v>30</v>
      </c>
      <c r="I470" s="54">
        <f>IF(H470:H1469&lt;45, "Adult", IF(H470:H1469&lt;60, "Middle Age", IF(H470:H1469&lt;70, "Old", "Very Old")))</f>
      </c>
      <c r="J470" s="55">
        <v>44124</v>
      </c>
      <c r="K470" s="56">
        <v>67753</v>
      </c>
      <c r="L470" s="54">
        <f>IF(K470:K1469&lt;50000,"0-50",IF(K470:K1469&lt;100001,"51-100",IF(K470:K1469&lt;150001,"101-150",IF(K470:K1469&lt;200001,"151-200",IF(K470:K1469&lt;250001,"201-250","above 250")))))</f>
      </c>
      <c r="M470" s="57">
        <v>0</v>
      </c>
      <c r="N470" s="45" t="s">
        <v>15</v>
      </c>
      <c r="O470" s="45" t="s">
        <v>61</v>
      </c>
      <c r="P470" s="51"/>
      <c r="Q470" s="52">
        <f>IF(ISBLANK(P470:P1469), "", DATEDIF(J470:J1469, P470:P1469, "Y"))</f>
      </c>
    </row>
    <row x14ac:dyDescent="0.25" r="471" customHeight="1" ht="15.75">
      <c r="A471" s="45" t="s">
        <v>1564</v>
      </c>
      <c r="B471" s="45" t="s">
        <v>256</v>
      </c>
      <c r="C471" s="45" t="s">
        <v>90</v>
      </c>
      <c r="D471" s="45" t="s">
        <v>32</v>
      </c>
      <c r="E471" s="45" t="s">
        <v>1100</v>
      </c>
      <c r="F471" s="45" t="s">
        <v>10</v>
      </c>
      <c r="G471" s="45" t="s">
        <v>11</v>
      </c>
      <c r="H471" s="53">
        <v>31</v>
      </c>
      <c r="I471" s="54">
        <f>IF(H471:H1470&lt;45, "Adult", IF(H471:H1470&lt;60, "Middle Age", IF(H471:H1470&lt;70, "Old", "Very Old")))</f>
      </c>
      <c r="J471" s="55">
        <v>42656</v>
      </c>
      <c r="K471" s="56">
        <v>63744</v>
      </c>
      <c r="L471" s="54">
        <f>IF(K471:K1470&lt;50000,"0-50",IF(K471:K1470&lt;100001,"51-100",IF(K471:K1470&lt;150001,"101-150",IF(K471:K1470&lt;200001,"151-200",IF(K471:K1470&lt;250001,"201-250","above 250")))))</f>
      </c>
      <c r="M471" s="57">
        <v>0.08</v>
      </c>
      <c r="N471" s="45" t="s">
        <v>15</v>
      </c>
      <c r="O471" s="45" t="s">
        <v>42</v>
      </c>
      <c r="P471" s="51"/>
      <c r="Q471" s="52">
        <f>IF(ISBLANK(P471:P1470), "", DATEDIF(J471:J1470, P471:P1470, "Y"))</f>
      </c>
    </row>
    <row x14ac:dyDescent="0.25" r="472" customHeight="1" ht="15.75">
      <c r="A472" s="45" t="s">
        <v>1565</v>
      </c>
      <c r="B472" s="45" t="s">
        <v>744</v>
      </c>
      <c r="C472" s="45" t="s">
        <v>120</v>
      </c>
      <c r="D472" s="45" t="s">
        <v>26</v>
      </c>
      <c r="E472" s="45" t="s">
        <v>1094</v>
      </c>
      <c r="F472" s="45" t="s">
        <v>7</v>
      </c>
      <c r="G472" s="45" t="s">
        <v>8</v>
      </c>
      <c r="H472" s="53">
        <v>50</v>
      </c>
      <c r="I472" s="54">
        <f>IF(H472:H1471&lt;45, "Adult", IF(H472:H1471&lt;60, "Middle Age", IF(H472:H1471&lt;70, "Old", "Very Old")))</f>
      </c>
      <c r="J472" s="55">
        <v>37446</v>
      </c>
      <c r="K472" s="56">
        <v>92209</v>
      </c>
      <c r="L472" s="54">
        <f>IF(K472:K1471&lt;50000,"0-50",IF(K472:K1471&lt;100001,"51-100",IF(K472:K1471&lt;150001,"101-150",IF(K472:K1471&lt;200001,"151-200",IF(K472:K1471&lt;250001,"201-250","above 250")))))</f>
      </c>
      <c r="M472" s="57">
        <v>0</v>
      </c>
      <c r="N472" s="45" t="s">
        <v>12</v>
      </c>
      <c r="O472" s="45" t="s">
        <v>69</v>
      </c>
      <c r="P472" s="51"/>
      <c r="Q472" s="52">
        <f>IF(ISBLANK(P472:P1471), "", DATEDIF(J472:J1471, P472:P1471, "Y"))</f>
      </c>
    </row>
    <row x14ac:dyDescent="0.25" r="473" customHeight="1" ht="15.75">
      <c r="A473" s="45" t="s">
        <v>1566</v>
      </c>
      <c r="B473" s="45" t="s">
        <v>771</v>
      </c>
      <c r="C473" s="45" t="s">
        <v>132</v>
      </c>
      <c r="D473" s="45" t="s">
        <v>36</v>
      </c>
      <c r="E473" s="45" t="s">
        <v>1100</v>
      </c>
      <c r="F473" s="45" t="s">
        <v>10</v>
      </c>
      <c r="G473" s="45" t="s">
        <v>11</v>
      </c>
      <c r="H473" s="53">
        <v>51</v>
      </c>
      <c r="I473" s="54">
        <f>IF(H473:H1472&lt;45, "Adult", IF(H473:H1472&lt;60, "Middle Age", IF(H473:H1472&lt;70, "Old", "Very Old")))</f>
      </c>
      <c r="J473" s="55">
        <v>36770</v>
      </c>
      <c r="K473" s="56">
        <v>157487</v>
      </c>
      <c r="L473" s="54">
        <f>IF(K473:K1472&lt;50000,"0-50",IF(K473:K1472&lt;100001,"51-100",IF(K473:K1472&lt;150001,"101-150",IF(K473:K1472&lt;200001,"151-200",IF(K473:K1472&lt;250001,"201-250","above 250")))))</f>
      </c>
      <c r="M473" s="57">
        <v>0.12</v>
      </c>
      <c r="N473" s="45" t="s">
        <v>15</v>
      </c>
      <c r="O473" s="45" t="s">
        <v>61</v>
      </c>
      <c r="P473" s="51"/>
      <c r="Q473" s="52">
        <f>IF(ISBLANK(P473:P1472), "", DATEDIF(J473:J1472, P473:P1472, "Y"))</f>
      </c>
    </row>
    <row x14ac:dyDescent="0.25" r="474" customHeight="1" ht="15.75">
      <c r="A474" s="45" t="s">
        <v>1567</v>
      </c>
      <c r="B474" s="45" t="s">
        <v>507</v>
      </c>
      <c r="C474" s="45" t="s">
        <v>128</v>
      </c>
      <c r="D474" s="45" t="s">
        <v>34</v>
      </c>
      <c r="E474" s="45" t="s">
        <v>1092</v>
      </c>
      <c r="F474" s="45" t="s">
        <v>10</v>
      </c>
      <c r="G474" s="45" t="s">
        <v>17</v>
      </c>
      <c r="H474" s="53">
        <v>42</v>
      </c>
      <c r="I474" s="54">
        <f>IF(H474:H1473&lt;45, "Adult", IF(H474:H1473&lt;60, "Middle Age", IF(H474:H1473&lt;70, "Old", "Very Old")))</f>
      </c>
      <c r="J474" s="55">
        <v>42101</v>
      </c>
      <c r="K474" s="56">
        <v>99697</v>
      </c>
      <c r="L474" s="54">
        <f>IF(K474:K1473&lt;50000,"0-50",IF(K474:K1473&lt;100001,"51-100",IF(K474:K1473&lt;150001,"101-150",IF(K474:K1473&lt;200001,"151-200",IF(K474:K1473&lt;250001,"201-250","above 250")))))</f>
      </c>
      <c r="M474" s="57">
        <v>0</v>
      </c>
      <c r="N474" s="45" t="s">
        <v>9</v>
      </c>
      <c r="O474" s="45" t="s">
        <v>63</v>
      </c>
      <c r="P474" s="51"/>
      <c r="Q474" s="52">
        <f>IF(ISBLANK(P474:P1473), "", DATEDIF(J474:J1473, P474:P1473, "Y"))</f>
      </c>
    </row>
    <row x14ac:dyDescent="0.25" r="475" customHeight="1" ht="15.75">
      <c r="A475" s="45" t="s">
        <v>1568</v>
      </c>
      <c r="B475" s="45" t="s">
        <v>585</v>
      </c>
      <c r="C475" s="45" t="s">
        <v>112</v>
      </c>
      <c r="D475" s="45" t="s">
        <v>32</v>
      </c>
      <c r="E475" s="45" t="s">
        <v>1092</v>
      </c>
      <c r="F475" s="45" t="s">
        <v>10</v>
      </c>
      <c r="G475" s="45" t="s">
        <v>8</v>
      </c>
      <c r="H475" s="53">
        <v>45</v>
      </c>
      <c r="I475" s="54">
        <f>IF(H475:H1474&lt;45, "Adult", IF(H475:H1474&lt;60, "Middle Age", IF(H475:H1474&lt;70, "Old", "Very Old")))</f>
      </c>
      <c r="J475" s="55">
        <v>40235</v>
      </c>
      <c r="K475" s="56">
        <v>90770</v>
      </c>
      <c r="L475" s="54">
        <f>IF(K475:K1474&lt;50000,"0-50",IF(K475:K1474&lt;100001,"51-100",IF(K475:K1474&lt;150001,"101-150",IF(K475:K1474&lt;200001,"151-200",IF(K475:K1474&lt;250001,"201-250","above 250")))))</f>
      </c>
      <c r="M475" s="57">
        <v>0</v>
      </c>
      <c r="N475" s="45" t="s">
        <v>15</v>
      </c>
      <c r="O475" s="45" t="s">
        <v>55</v>
      </c>
      <c r="P475" s="51"/>
      <c r="Q475" s="52">
        <f>IF(ISBLANK(P475:P1474), "", DATEDIF(J475:J1474, P475:P1474, "Y"))</f>
      </c>
    </row>
    <row x14ac:dyDescent="0.25" r="476" customHeight="1" ht="15.75">
      <c r="A476" s="45" t="s">
        <v>1569</v>
      </c>
      <c r="B476" s="45" t="s">
        <v>1058</v>
      </c>
      <c r="C476" s="45" t="s">
        <v>80</v>
      </c>
      <c r="D476" s="45" t="s">
        <v>36</v>
      </c>
      <c r="E476" s="45" t="s">
        <v>1096</v>
      </c>
      <c r="F476" s="45" t="s">
        <v>7</v>
      </c>
      <c r="G476" s="45" t="s">
        <v>8</v>
      </c>
      <c r="H476" s="53">
        <v>64</v>
      </c>
      <c r="I476" s="54">
        <f>IF(H476:H1475&lt;45, "Adult", IF(H476:H1475&lt;60, "Middle Age", IF(H476:H1475&lt;70, "Old", "Very Old")))</f>
      </c>
      <c r="J476" s="55">
        <v>38380</v>
      </c>
      <c r="K476" s="56">
        <v>55369</v>
      </c>
      <c r="L476" s="54">
        <f>IF(K476:K1475&lt;50000,"0-50",IF(K476:K1475&lt;100001,"51-100",IF(K476:K1475&lt;150001,"101-150",IF(K476:K1475&lt;200001,"151-200",IF(K476:K1475&lt;250001,"201-250","above 250")))))</f>
      </c>
      <c r="M476" s="57">
        <v>0</v>
      </c>
      <c r="N476" s="45" t="s">
        <v>15</v>
      </c>
      <c r="O476" s="45" t="s">
        <v>61</v>
      </c>
      <c r="P476" s="51"/>
      <c r="Q476" s="52">
        <f>IF(ISBLANK(P476:P1475), "", DATEDIF(J476:J1475, P476:P1475, "Y"))</f>
      </c>
    </row>
    <row x14ac:dyDescent="0.25" r="477" customHeight="1" ht="15.75">
      <c r="A477" s="45" t="s">
        <v>1570</v>
      </c>
      <c r="B477" s="45" t="s">
        <v>963</v>
      </c>
      <c r="C477" s="45" t="s">
        <v>102</v>
      </c>
      <c r="D477" s="45" t="s">
        <v>26</v>
      </c>
      <c r="E477" s="45" t="s">
        <v>1096</v>
      </c>
      <c r="F477" s="45" t="s">
        <v>7</v>
      </c>
      <c r="G477" s="45" t="s">
        <v>17</v>
      </c>
      <c r="H477" s="53">
        <v>59</v>
      </c>
      <c r="I477" s="54">
        <f>IF(H477:H1476&lt;45, "Adult", IF(H477:H1476&lt;60, "Middle Age", IF(H477:H1476&lt;70, "Old", "Very Old")))</f>
      </c>
      <c r="J477" s="55">
        <v>41898</v>
      </c>
      <c r="K477" s="56">
        <v>69578</v>
      </c>
      <c r="L477" s="54">
        <f>IF(K477:K1476&lt;50000,"0-50",IF(K477:K1476&lt;100001,"51-100",IF(K477:K1476&lt;150001,"101-150",IF(K477:K1476&lt;200001,"151-200",IF(K477:K1476&lt;250001,"201-250","above 250")))))</f>
      </c>
      <c r="M477" s="57">
        <v>0</v>
      </c>
      <c r="N477" s="45" t="s">
        <v>9</v>
      </c>
      <c r="O477" s="45" t="s">
        <v>63</v>
      </c>
      <c r="P477" s="51"/>
      <c r="Q477" s="52">
        <f>IF(ISBLANK(P477:P1476), "", DATEDIF(J477:J1476, P477:P1476, "Y"))</f>
      </c>
    </row>
    <row x14ac:dyDescent="0.25" r="478" customHeight="1" ht="15.75">
      <c r="A478" s="45" t="s">
        <v>1571</v>
      </c>
      <c r="B478" s="45" t="s">
        <v>484</v>
      </c>
      <c r="C478" s="45" t="s">
        <v>96</v>
      </c>
      <c r="D478" s="45" t="s">
        <v>24</v>
      </c>
      <c r="E478" s="45" t="s">
        <v>1096</v>
      </c>
      <c r="F478" s="45" t="s">
        <v>10</v>
      </c>
      <c r="G478" s="45" t="s">
        <v>14</v>
      </c>
      <c r="H478" s="53">
        <v>41</v>
      </c>
      <c r="I478" s="54">
        <f>IF(H478:H1477&lt;45, "Adult", IF(H478:H1477&lt;60, "Middle Age", IF(H478:H1477&lt;70, "Old", "Very Old")))</f>
      </c>
      <c r="J478" s="55">
        <v>41429</v>
      </c>
      <c r="K478" s="56">
        <v>167526</v>
      </c>
      <c r="L478" s="54">
        <f>IF(K478:K1477&lt;50000,"0-50",IF(K478:K1477&lt;100001,"51-100",IF(K478:K1477&lt;150001,"101-150",IF(K478:K1477&lt;200001,"151-200",IF(K478:K1477&lt;250001,"201-250","above 250")))))</f>
      </c>
      <c r="M478" s="57">
        <v>0.26</v>
      </c>
      <c r="N478" s="45" t="s">
        <v>15</v>
      </c>
      <c r="O478" s="45" t="s">
        <v>59</v>
      </c>
      <c r="P478" s="51"/>
      <c r="Q478" s="52">
        <f>IF(ISBLANK(P478:P1477), "", DATEDIF(J478:J1477, P478:P1477, "Y"))</f>
      </c>
    </row>
    <row x14ac:dyDescent="0.25" r="479" customHeight="1" ht="15.75">
      <c r="A479" s="45" t="s">
        <v>1572</v>
      </c>
      <c r="B479" s="45" t="s">
        <v>504</v>
      </c>
      <c r="C479" s="45" t="s">
        <v>102</v>
      </c>
      <c r="D479" s="45" t="s">
        <v>26</v>
      </c>
      <c r="E479" s="45" t="s">
        <v>1096</v>
      </c>
      <c r="F479" s="45" t="s">
        <v>7</v>
      </c>
      <c r="G479" s="45" t="s">
        <v>17</v>
      </c>
      <c r="H479" s="53">
        <v>42</v>
      </c>
      <c r="I479" s="54">
        <f>IF(H479:H1478&lt;45, "Adult", IF(H479:H1478&lt;60, "Middle Age", IF(H479:H1478&lt;70, "Old", "Very Old")))</f>
      </c>
      <c r="J479" s="55">
        <v>44232</v>
      </c>
      <c r="K479" s="56">
        <v>65507</v>
      </c>
      <c r="L479" s="54">
        <f>IF(K479:K1478&lt;50000,"0-50",IF(K479:K1478&lt;100001,"51-100",IF(K479:K1478&lt;150001,"101-150",IF(K479:K1478&lt;200001,"151-200",IF(K479:K1478&lt;250001,"201-250","above 250")))))</f>
      </c>
      <c r="M479" s="57">
        <v>0</v>
      </c>
      <c r="N479" s="45" t="s">
        <v>9</v>
      </c>
      <c r="O479" s="45" t="s">
        <v>57</v>
      </c>
      <c r="P479" s="51"/>
      <c r="Q479" s="52">
        <f>IF(ISBLANK(P479:P1478), "", DATEDIF(J479:J1478, P479:P1478, "Y"))</f>
      </c>
    </row>
    <row x14ac:dyDescent="0.25" r="480" customHeight="1" ht="15.75">
      <c r="A480" s="45" t="s">
        <v>1573</v>
      </c>
      <c r="B480" s="45" t="s">
        <v>843</v>
      </c>
      <c r="C480" s="45" t="s">
        <v>110</v>
      </c>
      <c r="D480" s="45" t="s">
        <v>28</v>
      </c>
      <c r="E480" s="45" t="s">
        <v>1092</v>
      </c>
      <c r="F480" s="45" t="s">
        <v>10</v>
      </c>
      <c r="G480" s="45" t="s">
        <v>17</v>
      </c>
      <c r="H480" s="53">
        <v>54</v>
      </c>
      <c r="I480" s="54">
        <f>IF(H480:H1479&lt;45, "Adult", IF(H480:H1479&lt;60, "Middle Age", IF(H480:H1479&lt;70, "Old", "Very Old")))</f>
      </c>
      <c r="J480" s="55">
        <v>35913</v>
      </c>
      <c r="K480" s="56">
        <v>108268</v>
      </c>
      <c r="L480" s="54">
        <f>IF(K480:K1479&lt;50000,"0-50",IF(K480:K1479&lt;100001,"51-100",IF(K480:K1479&lt;150001,"101-150",IF(K480:K1479&lt;200001,"151-200",IF(K480:K1479&lt;250001,"201-250","above 250")))))</f>
      </c>
      <c r="M480" s="57">
        <v>0.09</v>
      </c>
      <c r="N480" s="45" t="s">
        <v>9</v>
      </c>
      <c r="O480" s="45" t="s">
        <v>65</v>
      </c>
      <c r="P480" s="58">
        <v>38122</v>
      </c>
      <c r="Q480" s="53">
        <f>IF(ISBLANK(P480:P1479), "", DATEDIF(J480:J1479, P480:P1479, "Y"))</f>
      </c>
    </row>
    <row x14ac:dyDescent="0.25" r="481" customHeight="1" ht="15.75">
      <c r="A481" s="45" t="s">
        <v>1574</v>
      </c>
      <c r="B481" s="45" t="s">
        <v>389</v>
      </c>
      <c r="C481" s="45" t="s">
        <v>138</v>
      </c>
      <c r="D481" s="45" t="s">
        <v>32</v>
      </c>
      <c r="E481" s="45" t="s">
        <v>1092</v>
      </c>
      <c r="F481" s="45" t="s">
        <v>10</v>
      </c>
      <c r="G481" s="45" t="s">
        <v>8</v>
      </c>
      <c r="H481" s="53">
        <v>37</v>
      </c>
      <c r="I481" s="54">
        <f>IF(H481:H1480&lt;45, "Adult", IF(H481:H1480&lt;60, "Middle Age", IF(H481:H1480&lt;70, "Old", "Very Old")))</f>
      </c>
      <c r="J481" s="55">
        <v>42405</v>
      </c>
      <c r="K481" s="56">
        <v>80055</v>
      </c>
      <c r="L481" s="54">
        <f>IF(K481:K1480&lt;50000,"0-50",IF(K481:K1480&lt;100001,"51-100",IF(K481:K1480&lt;150001,"101-150",IF(K481:K1480&lt;200001,"151-200",IF(K481:K1480&lt;250001,"201-250","above 250")))))</f>
      </c>
      <c r="M481" s="57">
        <v>0</v>
      </c>
      <c r="N481" s="45" t="s">
        <v>12</v>
      </c>
      <c r="O481" s="45" t="s">
        <v>47</v>
      </c>
      <c r="P481" s="51"/>
      <c r="Q481" s="52">
        <f>IF(ISBLANK(P481:P1480), "", DATEDIF(J481:J1480, P481:P1480, "Y"))</f>
      </c>
    </row>
    <row x14ac:dyDescent="0.25" r="482" customHeight="1" ht="15.75">
      <c r="A482" s="45" t="s">
        <v>1575</v>
      </c>
      <c r="B482" s="45" t="s">
        <v>948</v>
      </c>
      <c r="C482" s="45" t="s">
        <v>128</v>
      </c>
      <c r="D482" s="45" t="s">
        <v>36</v>
      </c>
      <c r="E482" s="45" t="s">
        <v>1092</v>
      </c>
      <c r="F482" s="45" t="s">
        <v>10</v>
      </c>
      <c r="G482" s="45" t="s">
        <v>17</v>
      </c>
      <c r="H482" s="53">
        <v>58</v>
      </c>
      <c r="I482" s="54">
        <f>IF(H482:H1481&lt;45, "Adult", IF(H482:H1481&lt;60, "Middle Age", IF(H482:H1481&lt;70, "Old", "Very Old")))</f>
      </c>
      <c r="J482" s="55">
        <v>39930</v>
      </c>
      <c r="K482" s="56">
        <v>76802</v>
      </c>
      <c r="L482" s="54">
        <f>IF(K482:K1481&lt;50000,"0-50",IF(K482:K1481&lt;100001,"51-100",IF(K482:K1481&lt;150001,"101-150",IF(K482:K1481&lt;200001,"151-200",IF(K482:K1481&lt;250001,"201-250","above 250")))))</f>
      </c>
      <c r="M482" s="57">
        <v>0</v>
      </c>
      <c r="N482" s="45" t="s">
        <v>9</v>
      </c>
      <c r="O482" s="45" t="s">
        <v>57</v>
      </c>
      <c r="P482" s="51"/>
      <c r="Q482" s="52">
        <f>IF(ISBLANK(P482:P1481), "", DATEDIF(J482:J1481, P482:P1481, "Y"))</f>
      </c>
    </row>
    <row x14ac:dyDescent="0.25" r="483" customHeight="1" ht="15.75">
      <c r="A483" s="45" t="s">
        <v>1576</v>
      </c>
      <c r="B483" s="45" t="s">
        <v>672</v>
      </c>
      <c r="C483" s="45" t="s">
        <v>142</v>
      </c>
      <c r="D483" s="45" t="s">
        <v>36</v>
      </c>
      <c r="E483" s="45" t="s">
        <v>1096</v>
      </c>
      <c r="F483" s="45" t="s">
        <v>10</v>
      </c>
      <c r="G483" s="45" t="s">
        <v>8</v>
      </c>
      <c r="H483" s="53">
        <v>47</v>
      </c>
      <c r="I483" s="54">
        <f>IF(H483:H1482&lt;45, "Adult", IF(H483:H1482&lt;60, "Middle Age", IF(H483:H1482&lt;70, "Old", "Very Old")))</f>
      </c>
      <c r="J483" s="55">
        <v>42696</v>
      </c>
      <c r="K483" s="56">
        <v>253249</v>
      </c>
      <c r="L483" s="54">
        <f>IF(K483:K1482&lt;50000,"0-50",IF(K483:K1482&lt;100001,"51-100",IF(K483:K1482&lt;150001,"101-150",IF(K483:K1482&lt;200001,"151-200",IF(K483:K1482&lt;250001,"201-250","above 250")))))</f>
      </c>
      <c r="M483" s="57">
        <v>0.31</v>
      </c>
      <c r="N483" s="45" t="s">
        <v>15</v>
      </c>
      <c r="O483" s="45" t="s">
        <v>42</v>
      </c>
      <c r="P483" s="51"/>
      <c r="Q483" s="52">
        <f>IF(ISBLANK(P483:P1482), "", DATEDIF(J483:J1482, P483:P1482, "Y"))</f>
      </c>
    </row>
    <row x14ac:dyDescent="0.25" r="484" customHeight="1" ht="15.75">
      <c r="A484" s="45" t="s">
        <v>1577</v>
      </c>
      <c r="B484" s="45" t="s">
        <v>979</v>
      </c>
      <c r="C484" s="45" t="s">
        <v>130</v>
      </c>
      <c r="D484" s="45" t="s">
        <v>30</v>
      </c>
      <c r="E484" s="45" t="s">
        <v>1092</v>
      </c>
      <c r="F484" s="45" t="s">
        <v>7</v>
      </c>
      <c r="G484" s="45" t="s">
        <v>8</v>
      </c>
      <c r="H484" s="53">
        <v>60</v>
      </c>
      <c r="I484" s="54">
        <f>IF(H484:H1483&lt;45, "Adult", IF(H484:H1483&lt;60, "Middle Age", IF(H484:H1483&lt;70, "Old", "Very Old")))</f>
      </c>
      <c r="J484" s="55">
        <v>38667</v>
      </c>
      <c r="K484" s="56">
        <v>78388</v>
      </c>
      <c r="L484" s="54">
        <f>IF(K484:K1483&lt;50000,"0-50",IF(K484:K1483&lt;100001,"51-100",IF(K484:K1483&lt;150001,"101-150",IF(K484:K1483&lt;200001,"151-200",IF(K484:K1483&lt;250001,"201-250","above 250")))))</f>
      </c>
      <c r="M484" s="57">
        <v>0</v>
      </c>
      <c r="N484" s="45" t="s">
        <v>12</v>
      </c>
      <c r="O484" s="45" t="s">
        <v>53</v>
      </c>
      <c r="P484" s="51"/>
      <c r="Q484" s="52">
        <f>IF(ISBLANK(P484:P1483), "", DATEDIF(J484:J1483, P484:P1483, "Y"))</f>
      </c>
    </row>
    <row x14ac:dyDescent="0.25" r="485" customHeight="1" ht="15.75">
      <c r="A485" s="45" t="s">
        <v>1578</v>
      </c>
      <c r="B485" s="45" t="s">
        <v>415</v>
      </c>
      <c r="C485" s="45" t="s">
        <v>142</v>
      </c>
      <c r="D485" s="45" t="s">
        <v>32</v>
      </c>
      <c r="E485" s="45" t="s">
        <v>1100</v>
      </c>
      <c r="F485" s="45" t="s">
        <v>10</v>
      </c>
      <c r="G485" s="45" t="s">
        <v>14</v>
      </c>
      <c r="H485" s="53">
        <v>38</v>
      </c>
      <c r="I485" s="54">
        <f>IF(H485:H1484&lt;45, "Adult", IF(H485:H1484&lt;60, "Middle Age", IF(H485:H1484&lt;70, "Old", "Very Old")))</f>
      </c>
      <c r="J485" s="55">
        <v>42543</v>
      </c>
      <c r="K485" s="56">
        <v>249870</v>
      </c>
      <c r="L485" s="54">
        <f>IF(K485:K1484&lt;50000,"0-50",IF(K485:K1484&lt;100001,"51-100",IF(K485:K1484&lt;150001,"101-150",IF(K485:K1484&lt;200001,"151-200",IF(K485:K1484&lt;250001,"201-250","above 250")))))</f>
      </c>
      <c r="M485" s="57">
        <v>0.34</v>
      </c>
      <c r="N485" s="45" t="s">
        <v>15</v>
      </c>
      <c r="O485" s="45" t="s">
        <v>51</v>
      </c>
      <c r="P485" s="51"/>
      <c r="Q485" s="52">
        <f>IF(ISBLANK(P485:P1484), "", DATEDIF(J485:J1484, P485:P1484, "Y"))</f>
      </c>
    </row>
    <row x14ac:dyDescent="0.25" r="486" customHeight="1" ht="15.75">
      <c r="A486" s="45" t="s">
        <v>1579</v>
      </c>
      <c r="B486" s="45" t="s">
        <v>1035</v>
      </c>
      <c r="C486" s="45" t="s">
        <v>132</v>
      </c>
      <c r="D486" s="45" t="s">
        <v>34</v>
      </c>
      <c r="E486" s="45" t="s">
        <v>1094</v>
      </c>
      <c r="F486" s="45" t="s">
        <v>10</v>
      </c>
      <c r="G486" s="45" t="s">
        <v>8</v>
      </c>
      <c r="H486" s="53">
        <v>63</v>
      </c>
      <c r="I486" s="54">
        <f>IF(H486:H1485&lt;45, "Adult", IF(H486:H1485&lt;60, "Middle Age", IF(H486:H1485&lt;70, "Old", "Very Old")))</f>
      </c>
      <c r="J486" s="55">
        <v>42064</v>
      </c>
      <c r="K486" s="56">
        <v>148321</v>
      </c>
      <c r="L486" s="54">
        <f>IF(K486:K1485&lt;50000,"0-50",IF(K486:K1485&lt;100001,"51-100",IF(K486:K1485&lt;150001,"101-150",IF(K486:K1485&lt;200001,"151-200",IF(K486:K1485&lt;250001,"201-250","above 250")))))</f>
      </c>
      <c r="M486" s="57">
        <v>0.15</v>
      </c>
      <c r="N486" s="45" t="s">
        <v>12</v>
      </c>
      <c r="O486" s="45" t="s">
        <v>47</v>
      </c>
      <c r="P486" s="51"/>
      <c r="Q486" s="52">
        <f>IF(ISBLANK(P486:P1485), "", DATEDIF(J486:J1485, P486:P1485, "Y"))</f>
      </c>
    </row>
    <row x14ac:dyDescent="0.25" r="487" customHeight="1" ht="15.75">
      <c r="A487" s="45" t="s">
        <v>1580</v>
      </c>
      <c r="B487" s="45" t="s">
        <v>986</v>
      </c>
      <c r="C487" s="45" t="s">
        <v>122</v>
      </c>
      <c r="D487" s="45" t="s">
        <v>32</v>
      </c>
      <c r="E487" s="45" t="s">
        <v>1100</v>
      </c>
      <c r="F487" s="45" t="s">
        <v>7</v>
      </c>
      <c r="G487" s="45" t="s">
        <v>8</v>
      </c>
      <c r="H487" s="53">
        <v>60</v>
      </c>
      <c r="I487" s="54">
        <f>IF(H487:H1486&lt;45, "Adult", IF(H487:H1486&lt;60, "Middle Age", IF(H487:H1486&lt;70, "Old", "Very Old")))</f>
      </c>
      <c r="J487" s="55">
        <v>38027</v>
      </c>
      <c r="K487" s="56">
        <v>90258</v>
      </c>
      <c r="L487" s="54">
        <f>IF(K487:K1486&lt;50000,"0-50",IF(K487:K1486&lt;100001,"51-100",IF(K487:K1486&lt;150001,"101-150",IF(K487:K1486&lt;200001,"151-200",IF(K487:K1486&lt;250001,"201-250","above 250")))))</f>
      </c>
      <c r="M487" s="57">
        <v>0</v>
      </c>
      <c r="N487" s="45" t="s">
        <v>12</v>
      </c>
      <c r="O487" s="45" t="s">
        <v>53</v>
      </c>
      <c r="P487" s="51"/>
      <c r="Q487" s="52">
        <f>IF(ISBLANK(P487:P1486), "", DATEDIF(J487:J1486, P487:P1486, "Y"))</f>
      </c>
    </row>
    <row x14ac:dyDescent="0.25" r="488" customHeight="1" ht="15.75">
      <c r="A488" s="45" t="s">
        <v>1581</v>
      </c>
      <c r="B488" s="45" t="s">
        <v>506</v>
      </c>
      <c r="C488" s="45" t="s">
        <v>134</v>
      </c>
      <c r="D488" s="45" t="s">
        <v>32</v>
      </c>
      <c r="E488" s="45" t="s">
        <v>1094</v>
      </c>
      <c r="F488" s="45" t="s">
        <v>7</v>
      </c>
      <c r="G488" s="45" t="s">
        <v>11</v>
      </c>
      <c r="H488" s="53">
        <v>42</v>
      </c>
      <c r="I488" s="54">
        <f>IF(H488:H1487&lt;45, "Adult", IF(H488:H1487&lt;60, "Middle Age", IF(H488:H1487&lt;70, "Old", "Very Old")))</f>
      </c>
      <c r="J488" s="55">
        <v>40593</v>
      </c>
      <c r="K488" s="56">
        <v>72486</v>
      </c>
      <c r="L488" s="54">
        <f>IF(K488:K1487&lt;50000,"0-50",IF(K488:K1487&lt;100001,"51-100",IF(K488:K1487&lt;150001,"101-150",IF(K488:K1487&lt;200001,"151-200",IF(K488:K1487&lt;250001,"201-250","above 250")))))</f>
      </c>
      <c r="M488" s="57">
        <v>0</v>
      </c>
      <c r="N488" s="45" t="s">
        <v>15</v>
      </c>
      <c r="O488" s="45" t="s">
        <v>67</v>
      </c>
      <c r="P488" s="51"/>
      <c r="Q488" s="52">
        <f>IF(ISBLANK(P488:P1487), "", DATEDIF(J488:J1487, P488:P1487, "Y"))</f>
      </c>
    </row>
    <row x14ac:dyDescent="0.25" r="489" customHeight="1" ht="15.75">
      <c r="A489" s="45" t="s">
        <v>1582</v>
      </c>
      <c r="B489" s="45" t="s">
        <v>325</v>
      </c>
      <c r="C489" s="45" t="s">
        <v>128</v>
      </c>
      <c r="D489" s="45" t="s">
        <v>28</v>
      </c>
      <c r="E489" s="45" t="s">
        <v>1100</v>
      </c>
      <c r="F489" s="45" t="s">
        <v>10</v>
      </c>
      <c r="G489" s="45" t="s">
        <v>17</v>
      </c>
      <c r="H489" s="53">
        <v>34</v>
      </c>
      <c r="I489" s="54">
        <f>IF(H489:H1488&lt;45, "Adult", IF(H489:H1488&lt;60, "Middle Age", IF(H489:H1488&lt;70, "Old", "Very Old")))</f>
      </c>
      <c r="J489" s="55">
        <v>41886</v>
      </c>
      <c r="K489" s="56">
        <v>95499</v>
      </c>
      <c r="L489" s="54">
        <f>IF(K489:K1488&lt;50000,"0-50",IF(K489:K1488&lt;100001,"51-100",IF(K489:K1488&lt;150001,"101-150",IF(K489:K1488&lt;200001,"151-200",IF(K489:K1488&lt;250001,"201-250","above 250")))))</f>
      </c>
      <c r="M489" s="57">
        <v>0</v>
      </c>
      <c r="N489" s="45" t="s">
        <v>9</v>
      </c>
      <c r="O489" s="45" t="s">
        <v>65</v>
      </c>
      <c r="P489" s="58">
        <v>42958</v>
      </c>
      <c r="Q489" s="53">
        <f>IF(ISBLANK(P489:P1488), "", DATEDIF(J489:J1488, P489:P1488, "Y"))</f>
      </c>
    </row>
    <row x14ac:dyDescent="0.25" r="490" customHeight="1" ht="15.75">
      <c r="A490" s="45" t="s">
        <v>1583</v>
      </c>
      <c r="B490" s="45" t="s">
        <v>815</v>
      </c>
      <c r="C490" s="45" t="s">
        <v>128</v>
      </c>
      <c r="D490" s="45" t="s">
        <v>24</v>
      </c>
      <c r="E490" s="45" t="s">
        <v>1092</v>
      </c>
      <c r="F490" s="45" t="s">
        <v>7</v>
      </c>
      <c r="G490" s="45" t="s">
        <v>17</v>
      </c>
      <c r="H490" s="53">
        <v>53</v>
      </c>
      <c r="I490" s="54">
        <f>IF(H490:H1489&lt;45, "Adult", IF(H490:H1489&lt;60, "Middle Age", IF(H490:H1489&lt;70, "Old", "Very Old")))</f>
      </c>
      <c r="J490" s="55">
        <v>38344</v>
      </c>
      <c r="K490" s="56">
        <v>90212</v>
      </c>
      <c r="L490" s="54">
        <f>IF(K490:K1489&lt;50000,"0-50",IF(K490:K1489&lt;100001,"51-100",IF(K490:K1489&lt;150001,"101-150",IF(K490:K1489&lt;200001,"151-200",IF(K490:K1489&lt;250001,"201-250","above 250")))))</f>
      </c>
      <c r="M490" s="57">
        <v>0</v>
      </c>
      <c r="N490" s="45" t="s">
        <v>9</v>
      </c>
      <c r="O490" s="45" t="s">
        <v>65</v>
      </c>
      <c r="P490" s="51"/>
      <c r="Q490" s="52">
        <f>IF(ISBLANK(P490:P1489), "", DATEDIF(J490:J1489, P490:P1489, "Y"))</f>
      </c>
    </row>
    <row x14ac:dyDescent="0.25" r="491" customHeight="1" ht="15.75">
      <c r="A491" s="45" t="s">
        <v>1584</v>
      </c>
      <c r="B491" s="45" t="s">
        <v>437</v>
      </c>
      <c r="C491" s="45" t="s">
        <v>142</v>
      </c>
      <c r="D491" s="45" t="s">
        <v>34</v>
      </c>
      <c r="E491" s="45" t="s">
        <v>1092</v>
      </c>
      <c r="F491" s="45" t="s">
        <v>10</v>
      </c>
      <c r="G491" s="45" t="s">
        <v>8</v>
      </c>
      <c r="H491" s="53">
        <v>39</v>
      </c>
      <c r="I491" s="54">
        <f>IF(H491:H1490&lt;45, "Adult", IF(H491:H1490&lt;60, "Middle Age", IF(H491:H1490&lt;70, "Old", "Very Old")))</f>
      </c>
      <c r="J491" s="55">
        <v>43804</v>
      </c>
      <c r="K491" s="56">
        <v>254057</v>
      </c>
      <c r="L491" s="54">
        <f>IF(K491:K1490&lt;50000,"0-50",IF(K491:K1490&lt;100001,"51-100",IF(K491:K1490&lt;150001,"101-150",IF(K491:K1490&lt;200001,"151-200",IF(K491:K1490&lt;250001,"201-250","above 250")))))</f>
      </c>
      <c r="M491" s="57">
        <v>0.39</v>
      </c>
      <c r="N491" s="45" t="s">
        <v>12</v>
      </c>
      <c r="O491" s="45" t="s">
        <v>69</v>
      </c>
      <c r="P491" s="51"/>
      <c r="Q491" s="52">
        <f>IF(ISBLANK(P491:P1490), "", DATEDIF(J491:J1490, P491:P1490, "Y"))</f>
      </c>
    </row>
    <row x14ac:dyDescent="0.25" r="492" customHeight="1" ht="15.75">
      <c r="A492" s="45" t="s">
        <v>1585</v>
      </c>
      <c r="B492" s="45" t="s">
        <v>947</v>
      </c>
      <c r="C492" s="45" t="s">
        <v>86</v>
      </c>
      <c r="D492" s="45" t="s">
        <v>30</v>
      </c>
      <c r="E492" s="45" t="s">
        <v>1094</v>
      </c>
      <c r="F492" s="45" t="s">
        <v>7</v>
      </c>
      <c r="G492" s="45" t="s">
        <v>17</v>
      </c>
      <c r="H492" s="53">
        <v>58</v>
      </c>
      <c r="I492" s="54">
        <f>IF(H492:H1491&lt;45, "Adult", IF(H492:H1491&lt;60, "Middle Age", IF(H492:H1491&lt;70, "Old", "Very Old")))</f>
      </c>
      <c r="J492" s="55">
        <v>40463</v>
      </c>
      <c r="K492" s="56">
        <v>43001</v>
      </c>
      <c r="L492" s="54">
        <f>IF(K492:K1491&lt;50000,"0-50",IF(K492:K1491&lt;100001,"51-100",IF(K492:K1491&lt;150001,"101-150",IF(K492:K1491&lt;200001,"151-200",IF(K492:K1491&lt;250001,"201-250","above 250")))))</f>
      </c>
      <c r="M492" s="57">
        <v>0</v>
      </c>
      <c r="N492" s="45" t="s">
        <v>15</v>
      </c>
      <c r="O492" s="45" t="s">
        <v>42</v>
      </c>
      <c r="P492" s="51"/>
      <c r="Q492" s="52">
        <f>IF(ISBLANK(P492:P1491), "", DATEDIF(J492:J1491, P492:P1491, "Y"))</f>
      </c>
    </row>
    <row x14ac:dyDescent="0.25" r="493" customHeight="1" ht="15.75">
      <c r="A493" s="45" t="s">
        <v>1586</v>
      </c>
      <c r="B493" s="45" t="s">
        <v>977</v>
      </c>
      <c r="C493" s="45" t="s">
        <v>90</v>
      </c>
      <c r="D493" s="45" t="s">
        <v>32</v>
      </c>
      <c r="E493" s="45" t="s">
        <v>1094</v>
      </c>
      <c r="F493" s="45" t="s">
        <v>10</v>
      </c>
      <c r="G493" s="45" t="s">
        <v>17</v>
      </c>
      <c r="H493" s="53">
        <v>60</v>
      </c>
      <c r="I493" s="54">
        <f>IF(H493:H1492&lt;45, "Adult", IF(H493:H1492&lt;60, "Middle Age", IF(H493:H1492&lt;70, "Old", "Very Old")))</f>
      </c>
      <c r="J493" s="55">
        <v>36010</v>
      </c>
      <c r="K493" s="56">
        <v>85120</v>
      </c>
      <c r="L493" s="54">
        <f>IF(K493:K1492&lt;50000,"0-50",IF(K493:K1492&lt;100001,"51-100",IF(K493:K1492&lt;150001,"101-150",IF(K493:K1492&lt;200001,"151-200",IF(K493:K1492&lt;250001,"201-250","above 250")))))</f>
      </c>
      <c r="M493" s="57">
        <v>0.09</v>
      </c>
      <c r="N493" s="45" t="s">
        <v>15</v>
      </c>
      <c r="O493" s="45" t="s">
        <v>67</v>
      </c>
      <c r="P493" s="51"/>
      <c r="Q493" s="52">
        <f>IF(ISBLANK(P493:P1492), "", DATEDIF(J493:J1492, P493:P1492, "Y"))</f>
      </c>
    </row>
    <row x14ac:dyDescent="0.25" r="494" customHeight="1" ht="15.75">
      <c r="A494" s="45" t="s">
        <v>1587</v>
      </c>
      <c r="B494" s="45" t="s">
        <v>327</v>
      </c>
      <c r="C494" s="45" t="s">
        <v>86</v>
      </c>
      <c r="D494" s="45" t="s">
        <v>30</v>
      </c>
      <c r="E494" s="45" t="s">
        <v>1094</v>
      </c>
      <c r="F494" s="45" t="s">
        <v>10</v>
      </c>
      <c r="G494" s="45" t="s">
        <v>17</v>
      </c>
      <c r="H494" s="53">
        <v>34</v>
      </c>
      <c r="I494" s="54">
        <f>IF(H494:H1493&lt;45, "Adult", IF(H494:H1493&lt;60, "Middle Age", IF(H494:H1493&lt;70, "Old", "Very Old")))</f>
      </c>
      <c r="J494" s="55">
        <v>42219</v>
      </c>
      <c r="K494" s="56">
        <v>52200</v>
      </c>
      <c r="L494" s="54">
        <f>IF(K494:K1493&lt;50000,"0-50",IF(K494:K1493&lt;100001,"51-100",IF(K494:K1493&lt;150001,"101-150",IF(K494:K1493&lt;200001,"151-200",IF(K494:K1493&lt;250001,"201-250","above 250")))))</f>
      </c>
      <c r="M494" s="57">
        <v>0</v>
      </c>
      <c r="N494" s="45" t="s">
        <v>15</v>
      </c>
      <c r="O494" s="45" t="s">
        <v>55</v>
      </c>
      <c r="P494" s="51"/>
      <c r="Q494" s="52">
        <f>IF(ISBLANK(P494:P1493), "", DATEDIF(J494:J1493, P494:P1493, "Y"))</f>
      </c>
    </row>
    <row x14ac:dyDescent="0.25" r="495" customHeight="1" ht="15.75">
      <c r="A495" s="45" t="s">
        <v>1588</v>
      </c>
      <c r="B495" s="45" t="s">
        <v>984</v>
      </c>
      <c r="C495" s="45" t="s">
        <v>132</v>
      </c>
      <c r="D495" s="45" t="s">
        <v>30</v>
      </c>
      <c r="E495" s="45" t="s">
        <v>1100</v>
      </c>
      <c r="F495" s="45" t="s">
        <v>7</v>
      </c>
      <c r="G495" s="45" t="s">
        <v>14</v>
      </c>
      <c r="H495" s="53">
        <v>60</v>
      </c>
      <c r="I495" s="54">
        <f>IF(H495:H1494&lt;45, "Adult", IF(H495:H1494&lt;60, "Middle Age", IF(H495:H1494&lt;70, "Old", "Very Old")))</f>
      </c>
      <c r="J495" s="55">
        <v>39739</v>
      </c>
      <c r="K495" s="56">
        <v>150855</v>
      </c>
      <c r="L495" s="54">
        <f>IF(K495:K1494&lt;50000,"0-50",IF(K495:K1494&lt;100001,"51-100",IF(K495:K1494&lt;150001,"101-150",IF(K495:K1494&lt;200001,"151-200",IF(K495:K1494&lt;250001,"201-250","above 250")))))</f>
      </c>
      <c r="M495" s="57">
        <v>0.11</v>
      </c>
      <c r="N495" s="45" t="s">
        <v>15</v>
      </c>
      <c r="O495" s="45" t="s">
        <v>61</v>
      </c>
      <c r="P495" s="51"/>
      <c r="Q495" s="52">
        <f>IF(ISBLANK(P495:P1494), "", DATEDIF(J495:J1494, P495:P1494, "Y"))</f>
      </c>
    </row>
    <row x14ac:dyDescent="0.25" r="496" customHeight="1" ht="15.75">
      <c r="A496" s="45" t="s">
        <v>1589</v>
      </c>
      <c r="B496" s="45" t="s">
        <v>814</v>
      </c>
      <c r="C496" s="45" t="s">
        <v>100</v>
      </c>
      <c r="D496" s="45" t="s">
        <v>32</v>
      </c>
      <c r="E496" s="45" t="s">
        <v>1094</v>
      </c>
      <c r="F496" s="45" t="s">
        <v>7</v>
      </c>
      <c r="G496" s="45" t="s">
        <v>17</v>
      </c>
      <c r="H496" s="53">
        <v>53</v>
      </c>
      <c r="I496" s="54">
        <f>IF(H496:H1495&lt;45, "Adult", IF(H496:H1495&lt;60, "Middle Age", IF(H496:H1495&lt;70, "Old", "Very Old")))</f>
      </c>
      <c r="J496" s="55">
        <v>38188</v>
      </c>
      <c r="K496" s="56">
        <v>65702</v>
      </c>
      <c r="L496" s="54">
        <f>IF(K496:K1495&lt;50000,"0-50",IF(K496:K1495&lt;100001,"51-100",IF(K496:K1495&lt;150001,"101-150",IF(K496:K1495&lt;200001,"151-200",IF(K496:K1495&lt;250001,"201-250","above 250")))))</f>
      </c>
      <c r="M496" s="57">
        <v>0</v>
      </c>
      <c r="N496" s="45" t="s">
        <v>15</v>
      </c>
      <c r="O496" s="45" t="s">
        <v>55</v>
      </c>
      <c r="P496" s="51"/>
      <c r="Q496" s="52">
        <f>IF(ISBLANK(P496:P1495), "", DATEDIF(J496:J1495, P496:P1495, "Y"))</f>
      </c>
    </row>
    <row x14ac:dyDescent="0.25" r="497" customHeight="1" ht="15.75">
      <c r="A497" s="45" t="s">
        <v>1590</v>
      </c>
      <c r="B497" s="45" t="s">
        <v>946</v>
      </c>
      <c r="C497" s="45" t="s">
        <v>96</v>
      </c>
      <c r="D497" s="45" t="s">
        <v>28</v>
      </c>
      <c r="E497" s="45" t="s">
        <v>1100</v>
      </c>
      <c r="F497" s="45" t="s">
        <v>10</v>
      </c>
      <c r="G497" s="45" t="s">
        <v>8</v>
      </c>
      <c r="H497" s="53">
        <v>58</v>
      </c>
      <c r="I497" s="54">
        <f>IF(H497:H1496&lt;45, "Adult", IF(H497:H1496&lt;60, "Middle Age", IF(H497:H1496&lt;70, "Old", "Very Old")))</f>
      </c>
      <c r="J497" s="55">
        <v>39367</v>
      </c>
      <c r="K497" s="56">
        <v>162038</v>
      </c>
      <c r="L497" s="54">
        <f>IF(K497:K1496&lt;50000,"0-50",IF(K497:K1496&lt;100001,"51-100",IF(K497:K1496&lt;150001,"101-150",IF(K497:K1496&lt;200001,"151-200",IF(K497:K1496&lt;250001,"201-250","above 250")))))</f>
      </c>
      <c r="M497" s="57">
        <v>0.24</v>
      </c>
      <c r="N497" s="45" t="s">
        <v>12</v>
      </c>
      <c r="O497" s="45" t="s">
        <v>53</v>
      </c>
      <c r="P497" s="51"/>
      <c r="Q497" s="52">
        <f>IF(ISBLANK(P497:P1496), "", DATEDIF(J497:J1496, P497:P1496, "Y"))</f>
      </c>
    </row>
    <row x14ac:dyDescent="0.25" r="498" customHeight="1" ht="15.75">
      <c r="A498" s="45" t="s">
        <v>1591</v>
      </c>
      <c r="B498" s="45" t="s">
        <v>62</v>
      </c>
      <c r="C498" s="45" t="s">
        <v>132</v>
      </c>
      <c r="D498" s="45" t="s">
        <v>34</v>
      </c>
      <c r="E498" s="45" t="s">
        <v>1092</v>
      </c>
      <c r="F498" s="45" t="s">
        <v>7</v>
      </c>
      <c r="G498" s="45" t="s">
        <v>8</v>
      </c>
      <c r="H498" s="53">
        <v>25</v>
      </c>
      <c r="I498" s="54">
        <f>IF(H498:H1497&lt;45, "Adult", IF(H498:H1497&lt;60, "Middle Age", IF(H498:H1497&lt;70, "Old", "Very Old")))</f>
      </c>
      <c r="J498" s="55">
        <v>43930</v>
      </c>
      <c r="K498" s="56">
        <v>157057</v>
      </c>
      <c r="L498" s="54">
        <f>IF(K498:K1497&lt;50000,"0-50",IF(K498:K1497&lt;100001,"51-100",IF(K498:K1497&lt;150001,"101-150",IF(K498:K1497&lt;200001,"151-200",IF(K498:K1497&lt;250001,"201-250","above 250")))))</f>
      </c>
      <c r="M498" s="57">
        <v>0.1</v>
      </c>
      <c r="N498" s="45" t="s">
        <v>15</v>
      </c>
      <c r="O498" s="45" t="s">
        <v>55</v>
      </c>
      <c r="P498" s="51"/>
      <c r="Q498" s="52">
        <f>IF(ISBLANK(P498:P1497), "", DATEDIF(J498:J1497, P498:P1497, "Y"))</f>
      </c>
    </row>
    <row x14ac:dyDescent="0.25" r="499" customHeight="1" ht="15.75">
      <c r="A499" s="45" t="s">
        <v>1592</v>
      </c>
      <c r="B499" s="45" t="s">
        <v>643</v>
      </c>
      <c r="C499" s="45" t="s">
        <v>110</v>
      </c>
      <c r="D499" s="45" t="s">
        <v>32</v>
      </c>
      <c r="E499" s="45" t="s">
        <v>1092</v>
      </c>
      <c r="F499" s="45" t="s">
        <v>10</v>
      </c>
      <c r="G499" s="45" t="s">
        <v>14</v>
      </c>
      <c r="H499" s="53">
        <v>46</v>
      </c>
      <c r="I499" s="54">
        <f>IF(H499:H1498&lt;45, "Adult", IF(H499:H1498&lt;60, "Middle Age", IF(H499:H1498&lt;70, "Old", "Very Old")))</f>
      </c>
      <c r="J499" s="55">
        <v>44419</v>
      </c>
      <c r="K499" s="56">
        <v>127559</v>
      </c>
      <c r="L499" s="54">
        <f>IF(K499:K1498&lt;50000,"0-50",IF(K499:K1498&lt;100001,"51-100",IF(K499:K1498&lt;150001,"101-150",IF(K499:K1498&lt;200001,"151-200",IF(K499:K1498&lt;250001,"201-250","above 250")))))</f>
      </c>
      <c r="M499" s="57">
        <v>0.1</v>
      </c>
      <c r="N499" s="45" t="s">
        <v>15</v>
      </c>
      <c r="O499" s="45" t="s">
        <v>42</v>
      </c>
      <c r="P499" s="51"/>
      <c r="Q499" s="52">
        <f>IF(ISBLANK(P499:P1498), "", DATEDIF(J499:J1498, P499:P1498, "Y"))</f>
      </c>
    </row>
    <row x14ac:dyDescent="0.25" r="500" customHeight="1" ht="15.75">
      <c r="A500" s="45" t="s">
        <v>1593</v>
      </c>
      <c r="B500" s="45" t="s">
        <v>436</v>
      </c>
      <c r="C500" s="45" t="s">
        <v>102</v>
      </c>
      <c r="D500" s="45" t="s">
        <v>26</v>
      </c>
      <c r="E500" s="45" t="s">
        <v>1100</v>
      </c>
      <c r="F500" s="45" t="s">
        <v>7</v>
      </c>
      <c r="G500" s="45" t="s">
        <v>14</v>
      </c>
      <c r="H500" s="53">
        <v>39</v>
      </c>
      <c r="I500" s="54">
        <f>IF(H500:H1499&lt;45, "Adult", IF(H500:H1499&lt;60, "Middle Age", IF(H500:H1499&lt;70, "Old", "Very Old")))</f>
      </c>
      <c r="J500" s="55">
        <v>43536</v>
      </c>
      <c r="K500" s="56">
        <v>62644</v>
      </c>
      <c r="L500" s="54">
        <f>IF(K500:K1499&lt;50000,"0-50",IF(K500:K1499&lt;100001,"51-100",IF(K500:K1499&lt;150001,"101-150",IF(K500:K1499&lt;200001,"151-200",IF(K500:K1499&lt;250001,"201-250","above 250")))))</f>
      </c>
      <c r="M500" s="57">
        <v>0</v>
      </c>
      <c r="N500" s="45" t="s">
        <v>15</v>
      </c>
      <c r="O500" s="45" t="s">
        <v>67</v>
      </c>
      <c r="P500" s="51"/>
      <c r="Q500" s="52">
        <f>IF(ISBLANK(P500:P1499), "", DATEDIF(J500:J1499, P500:P1499, "Y"))</f>
      </c>
    </row>
    <row x14ac:dyDescent="0.25" r="501" customHeight="1" ht="15.75">
      <c r="A501" s="45" t="s">
        <v>1594</v>
      </c>
      <c r="B501" s="45" t="s">
        <v>743</v>
      </c>
      <c r="C501" s="45" t="s">
        <v>114</v>
      </c>
      <c r="D501" s="45" t="s">
        <v>32</v>
      </c>
      <c r="E501" s="45" t="s">
        <v>1094</v>
      </c>
      <c r="F501" s="45" t="s">
        <v>10</v>
      </c>
      <c r="G501" s="45" t="s">
        <v>8</v>
      </c>
      <c r="H501" s="53">
        <v>50</v>
      </c>
      <c r="I501" s="54">
        <f>IF(H501:H1500&lt;45, "Adult", IF(H501:H1500&lt;60, "Middle Age", IF(H501:H1500&lt;70, "Old", "Very Old")))</f>
      </c>
      <c r="J501" s="55">
        <v>36956</v>
      </c>
      <c r="K501" s="56">
        <v>73907</v>
      </c>
      <c r="L501" s="54">
        <f>IF(K501:K1500&lt;50000,"0-50",IF(K501:K1500&lt;100001,"51-100",IF(K501:K1500&lt;150001,"101-150",IF(K501:K1500&lt;200001,"151-200",IF(K501:K1500&lt;250001,"201-250","above 250")))))</f>
      </c>
      <c r="M501" s="57">
        <v>0</v>
      </c>
      <c r="N501" s="45" t="s">
        <v>12</v>
      </c>
      <c r="O501" s="45" t="s">
        <v>69</v>
      </c>
      <c r="P501" s="51"/>
      <c r="Q501" s="52">
        <f>IF(ISBLANK(P501:P1500), "", DATEDIF(J501:J1500, P501:P1500, "Y"))</f>
      </c>
    </row>
    <row x14ac:dyDescent="0.25" r="502" customHeight="1" ht="15.75">
      <c r="A502" s="45" t="s">
        <v>1595</v>
      </c>
      <c r="B502" s="45" t="s">
        <v>909</v>
      </c>
      <c r="C502" s="45" t="s">
        <v>128</v>
      </c>
      <c r="D502" s="45" t="s">
        <v>24</v>
      </c>
      <c r="E502" s="45" t="s">
        <v>1094</v>
      </c>
      <c r="F502" s="45" t="s">
        <v>7</v>
      </c>
      <c r="G502" s="45" t="s">
        <v>14</v>
      </c>
      <c r="H502" s="53">
        <v>56</v>
      </c>
      <c r="I502" s="54">
        <f>IF(H502:H1501&lt;45, "Adult", IF(H502:H1501&lt;60, "Middle Age", IF(H502:H1501&lt;70, "Old", "Very Old")))</f>
      </c>
      <c r="J502" s="55">
        <v>43169</v>
      </c>
      <c r="K502" s="56">
        <v>90040</v>
      </c>
      <c r="L502" s="54">
        <f>IF(K502:K1501&lt;50000,"0-50",IF(K502:K1501&lt;100001,"51-100",IF(K502:K1501&lt;150001,"101-150",IF(K502:K1501&lt;200001,"151-200",IF(K502:K1501&lt;250001,"201-250","above 250")))))</f>
      </c>
      <c r="M502" s="57">
        <v>0</v>
      </c>
      <c r="N502" s="45" t="s">
        <v>15</v>
      </c>
      <c r="O502" s="45" t="s">
        <v>51</v>
      </c>
      <c r="P502" s="51"/>
      <c r="Q502" s="52">
        <f>IF(ISBLANK(P502:P1501), "", DATEDIF(J502:J1501, P502:P1501, "Y"))</f>
      </c>
    </row>
    <row x14ac:dyDescent="0.25" r="503" customHeight="1" ht="15.75">
      <c r="A503" s="45" t="s">
        <v>1596</v>
      </c>
      <c r="B503" s="45" t="s">
        <v>231</v>
      </c>
      <c r="C503" s="45" t="s">
        <v>94</v>
      </c>
      <c r="D503" s="45" t="s">
        <v>26</v>
      </c>
      <c r="E503" s="45" t="s">
        <v>1094</v>
      </c>
      <c r="F503" s="45" t="s">
        <v>7</v>
      </c>
      <c r="G503" s="45" t="s">
        <v>17</v>
      </c>
      <c r="H503" s="53">
        <v>30</v>
      </c>
      <c r="I503" s="54">
        <f>IF(H503:H1502&lt;45, "Adult", IF(H503:H1502&lt;60, "Middle Age", IF(H503:H1502&lt;70, "Old", "Very Old")))</f>
      </c>
      <c r="J503" s="55">
        <v>42516</v>
      </c>
      <c r="K503" s="56">
        <v>91134</v>
      </c>
      <c r="L503" s="54">
        <f>IF(K503:K1502&lt;50000,"0-50",IF(K503:K1502&lt;100001,"51-100",IF(K503:K1502&lt;150001,"101-150",IF(K503:K1502&lt;200001,"151-200",IF(K503:K1502&lt;250001,"201-250","above 250")))))</f>
      </c>
      <c r="M503" s="57">
        <v>0</v>
      </c>
      <c r="N503" s="45" t="s">
        <v>9</v>
      </c>
      <c r="O503" s="45" t="s">
        <v>65</v>
      </c>
      <c r="P503" s="51"/>
      <c r="Q503" s="52">
        <f>IF(ISBLANK(P503:P1502), "", DATEDIF(J503:J1502, P503:P1502, "Y"))</f>
      </c>
    </row>
    <row x14ac:dyDescent="0.25" r="504" customHeight="1" ht="15.75">
      <c r="A504" s="45" t="s">
        <v>1597</v>
      </c>
      <c r="B504" s="45" t="s">
        <v>605</v>
      </c>
      <c r="C504" s="45" t="s">
        <v>142</v>
      </c>
      <c r="D504" s="45" t="s">
        <v>30</v>
      </c>
      <c r="E504" s="45" t="s">
        <v>1096</v>
      </c>
      <c r="F504" s="45" t="s">
        <v>7</v>
      </c>
      <c r="G504" s="45" t="s">
        <v>8</v>
      </c>
      <c r="H504" s="53">
        <v>45</v>
      </c>
      <c r="I504" s="54">
        <f>IF(H504:H1503&lt;45, "Adult", IF(H504:H1503&lt;60, "Middle Age", IF(H504:H1503&lt;70, "Old", "Very Old")))</f>
      </c>
      <c r="J504" s="55">
        <v>44461</v>
      </c>
      <c r="K504" s="56">
        <v>201396</v>
      </c>
      <c r="L504" s="54">
        <f>IF(K504:K1503&lt;50000,"0-50",IF(K504:K1503&lt;100001,"51-100",IF(K504:K1503&lt;150001,"101-150",IF(K504:K1503&lt;200001,"151-200",IF(K504:K1503&lt;250001,"201-250","above 250")))))</f>
      </c>
      <c r="M504" s="57">
        <v>0.32</v>
      </c>
      <c r="N504" s="45" t="s">
        <v>15</v>
      </c>
      <c r="O504" s="45" t="s">
        <v>59</v>
      </c>
      <c r="P504" s="51"/>
      <c r="Q504" s="52">
        <f>IF(ISBLANK(P504:P1503), "", DATEDIF(J504:J1503, P504:P1503, "Y"))</f>
      </c>
    </row>
    <row x14ac:dyDescent="0.25" r="505" customHeight="1" ht="15.75">
      <c r="A505" s="45" t="s">
        <v>1598</v>
      </c>
      <c r="B505" s="45" t="s">
        <v>874</v>
      </c>
      <c r="C505" s="45" t="s">
        <v>80</v>
      </c>
      <c r="D505" s="45" t="s">
        <v>24</v>
      </c>
      <c r="E505" s="45" t="s">
        <v>1100</v>
      </c>
      <c r="F505" s="45" t="s">
        <v>7</v>
      </c>
      <c r="G505" s="45" t="s">
        <v>8</v>
      </c>
      <c r="H505" s="53">
        <v>55</v>
      </c>
      <c r="I505" s="54">
        <f>IF(H505:H1504&lt;45, "Adult", IF(H505:H1504&lt;60, "Middle Age", IF(H505:H1504&lt;70, "Old", "Very Old")))</f>
      </c>
      <c r="J505" s="55">
        <v>40899</v>
      </c>
      <c r="K505" s="56">
        <v>54733</v>
      </c>
      <c r="L505" s="54">
        <f>IF(K505:K1504&lt;50000,"0-50",IF(K505:K1504&lt;100001,"51-100",IF(K505:K1504&lt;150001,"101-150",IF(K505:K1504&lt;200001,"151-200",IF(K505:K1504&lt;250001,"201-250","above 250")))))</f>
      </c>
      <c r="M505" s="57">
        <v>0</v>
      </c>
      <c r="N505" s="45" t="s">
        <v>12</v>
      </c>
      <c r="O505" s="45" t="s">
        <v>53</v>
      </c>
      <c r="P505" s="51"/>
      <c r="Q505" s="52">
        <f>IF(ISBLANK(P505:P1504), "", DATEDIF(J505:J1504, P505:P1504, "Y"))</f>
      </c>
    </row>
    <row x14ac:dyDescent="0.25" r="506" customHeight="1" ht="15.75">
      <c r="A506" s="45" t="s">
        <v>1599</v>
      </c>
      <c r="B506" s="45" t="s">
        <v>176</v>
      </c>
      <c r="C506" s="45" t="s">
        <v>134</v>
      </c>
      <c r="D506" s="45" t="s">
        <v>32</v>
      </c>
      <c r="E506" s="45" t="s">
        <v>1100</v>
      </c>
      <c r="F506" s="45" t="s">
        <v>10</v>
      </c>
      <c r="G506" s="45" t="s">
        <v>11</v>
      </c>
      <c r="H506" s="53">
        <v>28</v>
      </c>
      <c r="I506" s="54">
        <f>IF(H506:H1505&lt;45, "Adult", IF(H506:H1505&lt;60, "Middle Age", IF(H506:H1505&lt;70, "Old", "Very Old")))</f>
      </c>
      <c r="J506" s="55">
        <v>43633</v>
      </c>
      <c r="K506" s="56">
        <v>65341</v>
      </c>
      <c r="L506" s="54">
        <f>IF(K506:K1505&lt;50000,"0-50",IF(K506:K1505&lt;100001,"51-100",IF(K506:K1505&lt;150001,"101-150",IF(K506:K1505&lt;200001,"151-200",IF(K506:K1505&lt;250001,"201-250","above 250")))))</f>
      </c>
      <c r="M506" s="57">
        <v>0</v>
      </c>
      <c r="N506" s="45" t="s">
        <v>15</v>
      </c>
      <c r="O506" s="45" t="s">
        <v>59</v>
      </c>
      <c r="P506" s="58">
        <v>44662</v>
      </c>
      <c r="Q506" s="53">
        <f>IF(ISBLANK(P506:P1505), "", DATEDIF(J506:J1505, P506:P1505, "Y"))</f>
      </c>
    </row>
    <row x14ac:dyDescent="0.25" r="507" customHeight="1" ht="15.75">
      <c r="A507" s="45" t="s">
        <v>1600</v>
      </c>
      <c r="B507" s="45" t="s">
        <v>961</v>
      </c>
      <c r="C507" s="45" t="s">
        <v>132</v>
      </c>
      <c r="D507" s="45" t="s">
        <v>28</v>
      </c>
      <c r="E507" s="45" t="s">
        <v>1100</v>
      </c>
      <c r="F507" s="45" t="s">
        <v>7</v>
      </c>
      <c r="G507" s="45" t="s">
        <v>11</v>
      </c>
      <c r="H507" s="53">
        <v>59</v>
      </c>
      <c r="I507" s="54">
        <f>IF(H507:H1506&lt;45, "Adult", IF(H507:H1506&lt;60, "Middle Age", IF(H507:H1506&lt;70, "Old", "Very Old")))</f>
      </c>
      <c r="J507" s="55">
        <v>43400</v>
      </c>
      <c r="K507" s="56">
        <v>139208</v>
      </c>
      <c r="L507" s="54">
        <f>IF(K507:K1506&lt;50000,"0-50",IF(K507:K1506&lt;100001,"51-100",IF(K507:K1506&lt;150001,"101-150",IF(K507:K1506&lt;200001,"151-200",IF(K507:K1506&lt;250001,"201-250","above 250")))))</f>
      </c>
      <c r="M507" s="57">
        <v>0.11</v>
      </c>
      <c r="N507" s="45" t="s">
        <v>15</v>
      </c>
      <c r="O507" s="45" t="s">
        <v>42</v>
      </c>
      <c r="P507" s="51"/>
      <c r="Q507" s="52">
        <f>IF(ISBLANK(P507:P1506), "", DATEDIF(J507:J1506, P507:P1506, "Y"))</f>
      </c>
    </row>
    <row x14ac:dyDescent="0.25" r="508" customHeight="1" ht="15.75">
      <c r="A508" s="45" t="s">
        <v>1601</v>
      </c>
      <c r="B508" s="45" t="s">
        <v>1036</v>
      </c>
      <c r="C508" s="45" t="s">
        <v>128</v>
      </c>
      <c r="D508" s="45" t="s">
        <v>36</v>
      </c>
      <c r="E508" s="45" t="s">
        <v>1096</v>
      </c>
      <c r="F508" s="45" t="s">
        <v>10</v>
      </c>
      <c r="G508" s="45" t="s">
        <v>8</v>
      </c>
      <c r="H508" s="53">
        <v>63</v>
      </c>
      <c r="I508" s="54">
        <f>IF(H508:H1507&lt;45, "Adult", IF(H508:H1507&lt;60, "Middle Age", IF(H508:H1507&lt;70, "Old", "Very Old")))</f>
      </c>
      <c r="J508" s="55">
        <v>43171</v>
      </c>
      <c r="K508" s="56">
        <v>73200</v>
      </c>
      <c r="L508" s="54">
        <f>IF(K508:K1507&lt;50000,"0-50",IF(K508:K1507&lt;100001,"51-100",IF(K508:K1507&lt;150001,"101-150",IF(K508:K1507&lt;200001,"151-200",IF(K508:K1507&lt;250001,"201-250","above 250")))))</f>
      </c>
      <c r="M508" s="57">
        <v>0</v>
      </c>
      <c r="N508" s="45" t="s">
        <v>12</v>
      </c>
      <c r="O508" s="45" t="s">
        <v>69</v>
      </c>
      <c r="P508" s="51"/>
      <c r="Q508" s="52">
        <f>IF(ISBLANK(P508:P1507), "", DATEDIF(J508:J1507, P508:P1507, "Y"))</f>
      </c>
    </row>
    <row x14ac:dyDescent="0.25" r="509" customHeight="1" ht="15.75">
      <c r="A509" s="45" t="s">
        <v>1602</v>
      </c>
      <c r="B509" s="45" t="s">
        <v>645</v>
      </c>
      <c r="C509" s="45" t="s">
        <v>110</v>
      </c>
      <c r="D509" s="45" t="s">
        <v>24</v>
      </c>
      <c r="E509" s="45" t="s">
        <v>1096</v>
      </c>
      <c r="F509" s="45" t="s">
        <v>7</v>
      </c>
      <c r="G509" s="45" t="s">
        <v>17</v>
      </c>
      <c r="H509" s="53">
        <v>46</v>
      </c>
      <c r="I509" s="54">
        <f>IF(H509:H1508&lt;45, "Adult", IF(H509:H1508&lt;60, "Middle Age", IF(H509:H1508&lt;70, "Old", "Very Old")))</f>
      </c>
      <c r="J509" s="55">
        <v>40292</v>
      </c>
      <c r="K509" s="56">
        <v>102636</v>
      </c>
      <c r="L509" s="54">
        <f>IF(K509:K1508&lt;50000,"0-50",IF(K509:K1508&lt;100001,"51-100",IF(K509:K1508&lt;150001,"101-150",IF(K509:K1508&lt;200001,"151-200",IF(K509:K1508&lt;250001,"201-250","above 250")))))</f>
      </c>
      <c r="M509" s="57">
        <v>0.06</v>
      </c>
      <c r="N509" s="45" t="s">
        <v>15</v>
      </c>
      <c r="O509" s="45" t="s">
        <v>67</v>
      </c>
      <c r="P509" s="51"/>
      <c r="Q509" s="52">
        <f>IF(ISBLANK(P509:P1508), "", DATEDIF(J509:J1508, P509:P1508, "Y"))</f>
      </c>
    </row>
    <row x14ac:dyDescent="0.25" r="510" customHeight="1" ht="15.75">
      <c r="A510" s="45" t="s">
        <v>1603</v>
      </c>
      <c r="B510" s="45" t="s">
        <v>95</v>
      </c>
      <c r="C510" s="45" t="s">
        <v>126</v>
      </c>
      <c r="D510" s="45" t="s">
        <v>36</v>
      </c>
      <c r="E510" s="45" t="s">
        <v>1096</v>
      </c>
      <c r="F510" s="45" t="s">
        <v>7</v>
      </c>
      <c r="G510" s="45" t="s">
        <v>17</v>
      </c>
      <c r="H510" s="53">
        <v>26</v>
      </c>
      <c r="I510" s="54">
        <f>IF(H510:H1509&lt;45, "Adult", IF(H510:H1509&lt;60, "Middle Age", IF(H510:H1509&lt;70, "Old", "Very Old")))</f>
      </c>
      <c r="J510" s="55">
        <v>44236</v>
      </c>
      <c r="K510" s="56">
        <v>87427</v>
      </c>
      <c r="L510" s="54">
        <f>IF(K510:K1509&lt;50000,"0-50",IF(K510:K1509&lt;100001,"51-100",IF(K510:K1509&lt;150001,"101-150",IF(K510:K1509&lt;200001,"151-200",IF(K510:K1509&lt;250001,"201-250","above 250")))))</f>
      </c>
      <c r="M510" s="57">
        <v>0</v>
      </c>
      <c r="N510" s="45" t="s">
        <v>9</v>
      </c>
      <c r="O510" s="45" t="s">
        <v>65</v>
      </c>
      <c r="P510" s="51"/>
      <c r="Q510" s="52">
        <f>IF(ISBLANK(P510:P1509), "", DATEDIF(J510:J1509, P510:P1509, "Y"))</f>
      </c>
    </row>
    <row x14ac:dyDescent="0.25" r="511" customHeight="1" ht="15.75">
      <c r="A511" s="45" t="s">
        <v>1604</v>
      </c>
      <c r="B511" s="45" t="s">
        <v>582</v>
      </c>
      <c r="C511" s="45" t="s">
        <v>106</v>
      </c>
      <c r="D511" s="45" t="s">
        <v>32</v>
      </c>
      <c r="E511" s="45" t="s">
        <v>1092</v>
      </c>
      <c r="F511" s="45" t="s">
        <v>10</v>
      </c>
      <c r="G511" s="45" t="s">
        <v>14</v>
      </c>
      <c r="H511" s="53">
        <v>45</v>
      </c>
      <c r="I511" s="54">
        <f>IF(H511:H1510&lt;45, "Adult", IF(H511:H1510&lt;60, "Middle Age", IF(H511:H1510&lt;70, "Old", "Very Old")))</f>
      </c>
      <c r="J511" s="55">
        <v>43248</v>
      </c>
      <c r="K511" s="56">
        <v>49219</v>
      </c>
      <c r="L511" s="54">
        <f>IF(K511:K1510&lt;50000,"0-50",IF(K511:K1510&lt;100001,"51-100",IF(K511:K1510&lt;150001,"101-150",IF(K511:K1510&lt;200001,"151-200",IF(K511:K1510&lt;250001,"201-250","above 250")))))</f>
      </c>
      <c r="M511" s="57">
        <v>0</v>
      </c>
      <c r="N511" s="45" t="s">
        <v>15</v>
      </c>
      <c r="O511" s="45" t="s">
        <v>55</v>
      </c>
      <c r="P511" s="51"/>
      <c r="Q511" s="52">
        <f>IF(ISBLANK(P511:P1510), "", DATEDIF(J511:J1510, P511:P1510, "Y"))</f>
      </c>
    </row>
    <row x14ac:dyDescent="0.25" r="512" customHeight="1" ht="15.75">
      <c r="A512" s="45" t="s">
        <v>1605</v>
      </c>
      <c r="B512" s="45" t="s">
        <v>924</v>
      </c>
      <c r="C512" s="45" t="s">
        <v>110</v>
      </c>
      <c r="D512" s="45" t="s">
        <v>28</v>
      </c>
      <c r="E512" s="45" t="s">
        <v>1094</v>
      </c>
      <c r="F512" s="45" t="s">
        <v>10</v>
      </c>
      <c r="G512" s="45" t="s">
        <v>8</v>
      </c>
      <c r="H512" s="53">
        <v>50</v>
      </c>
      <c r="I512" s="54">
        <f>IF(H512:H1511&lt;45, "Adult", IF(H512:H1511&lt;60, "Middle Age", IF(H512:H1511&lt;70, "Old", "Very Old")))</f>
      </c>
      <c r="J512" s="55">
        <v>43239</v>
      </c>
      <c r="K512" s="56">
        <v>106437</v>
      </c>
      <c r="L512" s="54">
        <f>IF(K512:K1511&lt;50000,"0-50",IF(K512:K1511&lt;100001,"51-100",IF(K512:K1511&lt;150001,"101-150",IF(K512:K1511&lt;200001,"151-200",IF(K512:K1511&lt;250001,"201-250","above 250")))))</f>
      </c>
      <c r="M512" s="57">
        <v>0.07</v>
      </c>
      <c r="N512" s="45" t="s">
        <v>12</v>
      </c>
      <c r="O512" s="45" t="s">
        <v>53</v>
      </c>
      <c r="P512" s="51"/>
      <c r="Q512" s="52">
        <f>IF(ISBLANK(P512:P1511), "", DATEDIF(J512:J1511, P512:P1511, "Y"))</f>
      </c>
    </row>
    <row x14ac:dyDescent="0.25" r="513" customHeight="1" ht="15.75">
      <c r="A513" s="45" t="s">
        <v>1606</v>
      </c>
      <c r="B513" s="45" t="s">
        <v>642</v>
      </c>
      <c r="C513" s="45" t="s">
        <v>82</v>
      </c>
      <c r="D513" s="45" t="s">
        <v>28</v>
      </c>
      <c r="E513" s="45" t="s">
        <v>1094</v>
      </c>
      <c r="F513" s="45" t="s">
        <v>10</v>
      </c>
      <c r="G513" s="45" t="s">
        <v>17</v>
      </c>
      <c r="H513" s="53">
        <v>46</v>
      </c>
      <c r="I513" s="54">
        <f>IF(H513:H1512&lt;45, "Adult", IF(H513:H1512&lt;60, "Middle Age", IF(H513:H1512&lt;70, "Old", "Very Old")))</f>
      </c>
      <c r="J513" s="55">
        <v>42129</v>
      </c>
      <c r="K513" s="56">
        <v>64364</v>
      </c>
      <c r="L513" s="54">
        <f>IF(K513:K1512&lt;50000,"0-50",IF(K513:K1512&lt;100001,"51-100",IF(K513:K1512&lt;150001,"101-150",IF(K513:K1512&lt;200001,"151-200",IF(K513:K1512&lt;250001,"201-250","above 250")))))</f>
      </c>
      <c r="M513" s="57">
        <v>0</v>
      </c>
      <c r="N513" s="45" t="s">
        <v>9</v>
      </c>
      <c r="O513" s="45" t="s">
        <v>65</v>
      </c>
      <c r="P513" s="51"/>
      <c r="Q513" s="52">
        <f>IF(ISBLANK(P513:P1512), "", DATEDIF(J513:J1512, P513:P1512, "Y"))</f>
      </c>
    </row>
    <row x14ac:dyDescent="0.25" r="514" customHeight="1" ht="15.75">
      <c r="A514" s="45" t="s">
        <v>1607</v>
      </c>
      <c r="B514" s="45" t="s">
        <v>747</v>
      </c>
      <c r="C514" s="45" t="s">
        <v>96</v>
      </c>
      <c r="D514" s="45" t="s">
        <v>30</v>
      </c>
      <c r="E514" s="45" t="s">
        <v>1094</v>
      </c>
      <c r="F514" s="45" t="s">
        <v>10</v>
      </c>
      <c r="G514" s="45" t="s">
        <v>14</v>
      </c>
      <c r="H514" s="53">
        <v>50</v>
      </c>
      <c r="I514" s="54">
        <f>IF(H514:H1513&lt;45, "Adult", IF(H514:H1513&lt;60, "Middle Age", IF(H514:H1513&lt;70, "Old", "Very Old")))</f>
      </c>
      <c r="J514" s="55">
        <v>44486</v>
      </c>
      <c r="K514" s="56">
        <v>172180</v>
      </c>
      <c r="L514" s="54">
        <f>IF(K514:K1513&lt;50000,"0-50",IF(K514:K1513&lt;100001,"51-100",IF(K514:K1513&lt;150001,"101-150",IF(K514:K1513&lt;200001,"151-200",IF(K514:K1513&lt;250001,"201-250","above 250")))))</f>
      </c>
      <c r="M514" s="57">
        <v>0.3</v>
      </c>
      <c r="N514" s="45" t="s">
        <v>15</v>
      </c>
      <c r="O514" s="45" t="s">
        <v>55</v>
      </c>
      <c r="P514" s="51"/>
      <c r="Q514" s="52">
        <f>IF(ISBLANK(P514:P1513), "", DATEDIF(J514:J1513, P514:P1513, "Y"))</f>
      </c>
    </row>
    <row x14ac:dyDescent="0.25" r="515" customHeight="1" ht="15.75">
      <c r="A515" s="45" t="s">
        <v>1608</v>
      </c>
      <c r="B515" s="45" t="s">
        <v>294</v>
      </c>
      <c r="C515" s="45" t="s">
        <v>128</v>
      </c>
      <c r="D515" s="45" t="s">
        <v>36</v>
      </c>
      <c r="E515" s="45" t="s">
        <v>1094</v>
      </c>
      <c r="F515" s="45" t="s">
        <v>7</v>
      </c>
      <c r="G515" s="45" t="s">
        <v>17</v>
      </c>
      <c r="H515" s="53">
        <v>33</v>
      </c>
      <c r="I515" s="54">
        <f>IF(H515:H1514&lt;45, "Adult", IF(H515:H1514&lt;60, "Middle Age", IF(H515:H1514&lt;70, "Old", "Very Old")))</f>
      </c>
      <c r="J515" s="55">
        <v>41043</v>
      </c>
      <c r="K515" s="56">
        <v>88343</v>
      </c>
      <c r="L515" s="54">
        <f>IF(K515:K1514&lt;50000,"0-50",IF(K515:K1514&lt;100001,"51-100",IF(K515:K1514&lt;150001,"101-150",IF(K515:K1514&lt;200001,"151-200",IF(K515:K1514&lt;250001,"201-250","above 250")))))</f>
      </c>
      <c r="M515" s="57">
        <v>0</v>
      </c>
      <c r="N515" s="45" t="s">
        <v>9</v>
      </c>
      <c r="O515" s="45" t="s">
        <v>63</v>
      </c>
      <c r="P515" s="51"/>
      <c r="Q515" s="52">
        <f>IF(ISBLANK(P515:P1514), "", DATEDIF(J515:J1514, P515:P1514, "Y"))</f>
      </c>
    </row>
    <row x14ac:dyDescent="0.25" r="516" customHeight="1" ht="15.75">
      <c r="A516" s="45" t="s">
        <v>1609</v>
      </c>
      <c r="B516" s="45" t="s">
        <v>932</v>
      </c>
      <c r="C516" s="45" t="s">
        <v>124</v>
      </c>
      <c r="D516" s="45" t="s">
        <v>32</v>
      </c>
      <c r="E516" s="45" t="s">
        <v>1096</v>
      </c>
      <c r="F516" s="45" t="s">
        <v>10</v>
      </c>
      <c r="G516" s="45" t="s">
        <v>17</v>
      </c>
      <c r="H516" s="53">
        <v>57</v>
      </c>
      <c r="I516" s="54">
        <f>IF(H516:H1515&lt;45, "Adult", IF(H516:H1515&lt;60, "Middle Age", IF(H516:H1515&lt;70, "Old", "Very Old")))</f>
      </c>
      <c r="J516" s="55">
        <v>41830</v>
      </c>
      <c r="K516" s="56">
        <v>66649</v>
      </c>
      <c r="L516" s="54">
        <f>IF(K516:K1515&lt;50000,"0-50",IF(K516:K1515&lt;100001,"51-100",IF(K516:K1515&lt;150001,"101-150",IF(K516:K1515&lt;200001,"151-200",IF(K516:K1515&lt;250001,"201-250","above 250")))))</f>
      </c>
      <c r="M516" s="57">
        <v>0</v>
      </c>
      <c r="N516" s="45" t="s">
        <v>9</v>
      </c>
      <c r="O516" s="45" t="s">
        <v>63</v>
      </c>
      <c r="P516" s="51"/>
      <c r="Q516" s="52">
        <f>IF(ISBLANK(P516:P1515), "", DATEDIF(J516:J1515, P516:P1515, "Y"))</f>
      </c>
    </row>
    <row x14ac:dyDescent="0.25" r="517" customHeight="1" ht="15.75">
      <c r="A517" s="45" t="s">
        <v>1610</v>
      </c>
      <c r="B517" s="45" t="s">
        <v>696</v>
      </c>
      <c r="C517" s="45" t="s">
        <v>110</v>
      </c>
      <c r="D517" s="45" t="s">
        <v>28</v>
      </c>
      <c r="E517" s="45" t="s">
        <v>1100</v>
      </c>
      <c r="F517" s="45" t="s">
        <v>7</v>
      </c>
      <c r="G517" s="45" t="s">
        <v>14</v>
      </c>
      <c r="H517" s="53">
        <v>48</v>
      </c>
      <c r="I517" s="54">
        <f>IF(H517:H1516&lt;45, "Adult", IF(H517:H1516&lt;60, "Middle Age", IF(H517:H1516&lt;70, "Old", "Very Old")))</f>
      </c>
      <c r="J517" s="55">
        <v>36272</v>
      </c>
      <c r="K517" s="56">
        <v>102847</v>
      </c>
      <c r="L517" s="54">
        <f>IF(K517:K1516&lt;50000,"0-50",IF(K517:K1516&lt;100001,"51-100",IF(K517:K1516&lt;150001,"101-150",IF(K517:K1516&lt;200001,"151-200",IF(K517:K1516&lt;250001,"201-250","above 250")))))</f>
      </c>
      <c r="M517" s="57">
        <v>0.05</v>
      </c>
      <c r="N517" s="45" t="s">
        <v>15</v>
      </c>
      <c r="O517" s="45" t="s">
        <v>51</v>
      </c>
      <c r="P517" s="51"/>
      <c r="Q517" s="52">
        <f>IF(ISBLANK(P517:P1516), "", DATEDIF(J517:J1516, P517:P1516, "Y"))</f>
      </c>
    </row>
    <row x14ac:dyDescent="0.25" r="518" customHeight="1" ht="15.75">
      <c r="A518" s="45" t="s">
        <v>1611</v>
      </c>
      <c r="B518" s="45" t="s">
        <v>644</v>
      </c>
      <c r="C518" s="45" t="s">
        <v>132</v>
      </c>
      <c r="D518" s="45" t="s">
        <v>28</v>
      </c>
      <c r="E518" s="45" t="s">
        <v>1094</v>
      </c>
      <c r="F518" s="45" t="s">
        <v>10</v>
      </c>
      <c r="G518" s="45" t="s">
        <v>17</v>
      </c>
      <c r="H518" s="53">
        <v>46</v>
      </c>
      <c r="I518" s="54">
        <f>IF(H518:H1517&lt;45, "Adult", IF(H518:H1517&lt;60, "Middle Age", IF(H518:H1517&lt;70, "Old", "Very Old")))</f>
      </c>
      <c r="J518" s="55">
        <v>40378</v>
      </c>
      <c r="K518" s="56">
        <v>134881</v>
      </c>
      <c r="L518" s="54">
        <f>IF(K518:K1517&lt;50000,"0-50",IF(K518:K1517&lt;100001,"51-100",IF(K518:K1517&lt;150001,"101-150",IF(K518:K1517&lt;200001,"151-200",IF(K518:K1517&lt;250001,"201-250","above 250")))))</f>
      </c>
      <c r="M518" s="57">
        <v>0.15</v>
      </c>
      <c r="N518" s="45" t="s">
        <v>9</v>
      </c>
      <c r="O518" s="45" t="s">
        <v>57</v>
      </c>
      <c r="P518" s="51"/>
      <c r="Q518" s="52">
        <f>IF(ISBLANK(P518:P1517), "", DATEDIF(J518:J1517, P518:P1517, "Y"))</f>
      </c>
    </row>
    <row x14ac:dyDescent="0.25" r="519" customHeight="1" ht="15.75">
      <c r="A519" s="45" t="s">
        <v>1612</v>
      </c>
      <c r="B519" s="45" t="s">
        <v>787</v>
      </c>
      <c r="C519" s="45" t="s">
        <v>82</v>
      </c>
      <c r="D519" s="45" t="s">
        <v>34</v>
      </c>
      <c r="E519" s="45" t="s">
        <v>1094</v>
      </c>
      <c r="F519" s="45" t="s">
        <v>10</v>
      </c>
      <c r="G519" s="45" t="s">
        <v>8</v>
      </c>
      <c r="H519" s="53">
        <v>52</v>
      </c>
      <c r="I519" s="54">
        <f>IF(H519:H1518&lt;45, "Adult", IF(H519:H1518&lt;60, "Middle Age", IF(H519:H1518&lt;70, "Old", "Very Old")))</f>
      </c>
      <c r="J519" s="55">
        <v>36303</v>
      </c>
      <c r="K519" s="56">
        <v>68807</v>
      </c>
      <c r="L519" s="54">
        <f>IF(K519:K1518&lt;50000,"0-50",IF(K519:K1518&lt;100001,"51-100",IF(K519:K1518&lt;150001,"101-150",IF(K519:K1518&lt;200001,"151-200",IF(K519:K1518&lt;250001,"201-250","above 250")))))</f>
      </c>
      <c r="M519" s="57">
        <v>0</v>
      </c>
      <c r="N519" s="45" t="s">
        <v>12</v>
      </c>
      <c r="O519" s="45" t="s">
        <v>49</v>
      </c>
      <c r="P519" s="58">
        <v>42338</v>
      </c>
      <c r="Q519" s="53">
        <f>IF(ISBLANK(P519:P1518), "", DATEDIF(J519:J1518, P519:P1518, "Y"))</f>
      </c>
    </row>
    <row x14ac:dyDescent="0.25" r="520" customHeight="1" ht="15.75">
      <c r="A520" s="45" t="s">
        <v>1613</v>
      </c>
      <c r="B520" s="45" t="s">
        <v>908</v>
      </c>
      <c r="C520" s="45" t="s">
        <v>142</v>
      </c>
      <c r="D520" s="45" t="s">
        <v>32</v>
      </c>
      <c r="E520" s="45" t="s">
        <v>1094</v>
      </c>
      <c r="F520" s="45" t="s">
        <v>10</v>
      </c>
      <c r="G520" s="45" t="s">
        <v>14</v>
      </c>
      <c r="H520" s="53">
        <v>56</v>
      </c>
      <c r="I520" s="54">
        <f>IF(H520:H1519&lt;45, "Adult", IF(H520:H1519&lt;60, "Middle Age", IF(H520:H1519&lt;70, "Old", "Very Old")))</f>
      </c>
      <c r="J520" s="55">
        <v>38866</v>
      </c>
      <c r="K520" s="56">
        <v>228822</v>
      </c>
      <c r="L520" s="54">
        <f>IF(K520:K1519&lt;50000,"0-50",IF(K520:K1519&lt;100001,"51-100",IF(K520:K1519&lt;150001,"101-150",IF(K520:K1519&lt;200001,"151-200",IF(K520:K1519&lt;250001,"201-250","above 250")))))</f>
      </c>
      <c r="M520" s="57">
        <v>0.36</v>
      </c>
      <c r="N520" s="45" t="s">
        <v>15</v>
      </c>
      <c r="O520" s="45" t="s">
        <v>59</v>
      </c>
      <c r="P520" s="51"/>
      <c r="Q520" s="52">
        <f>IF(ISBLANK(P520:P1519), "", DATEDIF(J520:J1519, P520:P1519, "Y"))</f>
      </c>
    </row>
    <row x14ac:dyDescent="0.25" r="521" customHeight="1" ht="15.75">
      <c r="A521" s="45" t="s">
        <v>1614</v>
      </c>
      <c r="B521" s="45" t="s">
        <v>171</v>
      </c>
      <c r="C521" s="45" t="s">
        <v>80</v>
      </c>
      <c r="D521" s="45" t="s">
        <v>34</v>
      </c>
      <c r="E521" s="45" t="s">
        <v>1094</v>
      </c>
      <c r="F521" s="45" t="s">
        <v>10</v>
      </c>
      <c r="G521" s="45" t="s">
        <v>14</v>
      </c>
      <c r="H521" s="53">
        <v>28</v>
      </c>
      <c r="I521" s="54">
        <f>IF(H521:H1520&lt;45, "Adult", IF(H521:H1520&lt;60, "Middle Age", IF(H521:H1520&lt;70, "Old", "Very Old")))</f>
      </c>
      <c r="J521" s="55">
        <v>44395</v>
      </c>
      <c r="K521" s="56">
        <v>43391</v>
      </c>
      <c r="L521" s="54">
        <f>IF(K521:K1520&lt;50000,"0-50",IF(K521:K1520&lt;100001,"51-100",IF(K521:K1520&lt;150001,"101-150",IF(K521:K1520&lt;200001,"151-200",IF(K521:K1520&lt;250001,"201-250","above 250")))))</f>
      </c>
      <c r="M521" s="57">
        <v>0</v>
      </c>
      <c r="N521" s="45" t="s">
        <v>15</v>
      </c>
      <c r="O521" s="45" t="s">
        <v>55</v>
      </c>
      <c r="P521" s="51"/>
      <c r="Q521" s="52">
        <f>IF(ISBLANK(P521:P1520), "", DATEDIF(J521:J1520, P521:P1520, "Y"))</f>
      </c>
    </row>
    <row x14ac:dyDescent="0.25" r="522" customHeight="1" ht="15.75">
      <c r="A522" s="45" t="s">
        <v>1615</v>
      </c>
      <c r="B522" s="45" t="s">
        <v>196</v>
      </c>
      <c r="C522" s="45" t="s">
        <v>120</v>
      </c>
      <c r="D522" s="45" t="s">
        <v>26</v>
      </c>
      <c r="E522" s="45" t="s">
        <v>1096</v>
      </c>
      <c r="F522" s="45" t="s">
        <v>10</v>
      </c>
      <c r="G522" s="45" t="s">
        <v>8</v>
      </c>
      <c r="H522" s="53">
        <v>29</v>
      </c>
      <c r="I522" s="54">
        <f>IF(H522:H1521&lt;45, "Adult", IF(H522:H1521&lt;60, "Middle Age", IF(H522:H1521&lt;70, "Old", "Very Old")))</f>
      </c>
      <c r="J522" s="55">
        <v>44515</v>
      </c>
      <c r="K522" s="56">
        <v>91782</v>
      </c>
      <c r="L522" s="54">
        <f>IF(K522:K1521&lt;50000,"0-50",IF(K522:K1521&lt;100001,"51-100",IF(K522:K1521&lt;150001,"101-150",IF(K522:K1521&lt;200001,"151-200",IF(K522:K1521&lt;250001,"201-250","above 250")))))</f>
      </c>
      <c r="M522" s="57">
        <v>0</v>
      </c>
      <c r="N522" s="45" t="s">
        <v>12</v>
      </c>
      <c r="O522" s="45" t="s">
        <v>53</v>
      </c>
      <c r="P522" s="51"/>
      <c r="Q522" s="52">
        <f>IF(ISBLANK(P522:P1521), "", DATEDIF(J522:J1521, P522:P1521, "Y"))</f>
      </c>
    </row>
    <row x14ac:dyDescent="0.25" r="523" customHeight="1" ht="15.75">
      <c r="A523" s="45" t="s">
        <v>1616</v>
      </c>
      <c r="B523" s="45" t="s">
        <v>590</v>
      </c>
      <c r="C523" s="45" t="s">
        <v>142</v>
      </c>
      <c r="D523" s="45" t="s">
        <v>34</v>
      </c>
      <c r="E523" s="45" t="s">
        <v>1100</v>
      </c>
      <c r="F523" s="45" t="s">
        <v>7</v>
      </c>
      <c r="G523" s="45" t="s">
        <v>8</v>
      </c>
      <c r="H523" s="53">
        <v>45</v>
      </c>
      <c r="I523" s="54">
        <f>IF(H523:H1522&lt;45, "Adult", IF(H523:H1522&lt;60, "Middle Age", IF(H523:H1522&lt;70, "Old", "Very Old")))</f>
      </c>
      <c r="J523" s="55">
        <v>42428</v>
      </c>
      <c r="K523" s="56">
        <v>211637</v>
      </c>
      <c r="L523" s="54">
        <f>IF(K523:K1522&lt;50000,"0-50",IF(K523:K1522&lt;100001,"51-100",IF(K523:K1522&lt;150001,"101-150",IF(K523:K1522&lt;200001,"151-200",IF(K523:K1522&lt;250001,"201-250","above 250")))))</f>
      </c>
      <c r="M523" s="57">
        <v>0.31</v>
      </c>
      <c r="N523" s="45" t="s">
        <v>15</v>
      </c>
      <c r="O523" s="45" t="s">
        <v>51</v>
      </c>
      <c r="P523" s="51"/>
      <c r="Q523" s="52">
        <f>IF(ISBLANK(P523:P1522), "", DATEDIF(J523:J1522, P523:P1522, "Y"))</f>
      </c>
    </row>
    <row x14ac:dyDescent="0.25" r="524" customHeight="1" ht="15.75">
      <c r="A524" s="45" t="s">
        <v>1617</v>
      </c>
      <c r="B524" s="45" t="s">
        <v>173</v>
      </c>
      <c r="C524" s="45" t="s">
        <v>90</v>
      </c>
      <c r="D524" s="45" t="s">
        <v>32</v>
      </c>
      <c r="E524" s="45" t="s">
        <v>1094</v>
      </c>
      <c r="F524" s="45" t="s">
        <v>10</v>
      </c>
      <c r="G524" s="45" t="s">
        <v>14</v>
      </c>
      <c r="H524" s="53">
        <v>28</v>
      </c>
      <c r="I524" s="54">
        <f>IF(H524:H1523&lt;45, "Adult", IF(H524:H1523&lt;60, "Middle Age", IF(H524:H1523&lt;70, "Old", "Very Old")))</f>
      </c>
      <c r="J524" s="55">
        <v>44051</v>
      </c>
      <c r="K524" s="56">
        <v>73255</v>
      </c>
      <c r="L524" s="54">
        <f>IF(K524:K1523&lt;50000,"0-50",IF(K524:K1523&lt;100001,"51-100",IF(K524:K1523&lt;150001,"101-150",IF(K524:K1523&lt;200001,"151-200",IF(K524:K1523&lt;250001,"201-250","above 250")))))</f>
      </c>
      <c r="M524" s="57">
        <v>0.09</v>
      </c>
      <c r="N524" s="45" t="s">
        <v>15</v>
      </c>
      <c r="O524" s="45" t="s">
        <v>61</v>
      </c>
      <c r="P524" s="51"/>
      <c r="Q524" s="52">
        <f>IF(ISBLANK(P524:P1523), "", DATEDIF(J524:J1523, P524:P1523, "Y"))</f>
      </c>
    </row>
    <row x14ac:dyDescent="0.25" r="525" customHeight="1" ht="15.75">
      <c r="A525" s="45" t="s">
        <v>1618</v>
      </c>
      <c r="B525" s="45" t="s">
        <v>168</v>
      </c>
      <c r="C525" s="45" t="s">
        <v>110</v>
      </c>
      <c r="D525" s="45" t="s">
        <v>36</v>
      </c>
      <c r="E525" s="45" t="s">
        <v>1100</v>
      </c>
      <c r="F525" s="45" t="s">
        <v>10</v>
      </c>
      <c r="G525" s="45" t="s">
        <v>14</v>
      </c>
      <c r="H525" s="53">
        <v>28</v>
      </c>
      <c r="I525" s="54">
        <f>IF(H525:H1524&lt;45, "Adult", IF(H525:H1524&lt;60, "Middle Age", IF(H525:H1524&lt;70, "Old", "Very Old")))</f>
      </c>
      <c r="J525" s="55">
        <v>44204</v>
      </c>
      <c r="K525" s="56">
        <v>108826</v>
      </c>
      <c r="L525" s="54">
        <f>IF(K525:K1524&lt;50000,"0-50",IF(K525:K1524&lt;100001,"51-100",IF(K525:K1524&lt;150001,"101-150",IF(K525:K1524&lt;200001,"151-200",IF(K525:K1524&lt;250001,"201-250","above 250")))))</f>
      </c>
      <c r="M525" s="57">
        <v>0.1</v>
      </c>
      <c r="N525" s="45" t="s">
        <v>15</v>
      </c>
      <c r="O525" s="45" t="s">
        <v>59</v>
      </c>
      <c r="P525" s="51"/>
      <c r="Q525" s="52">
        <f>IF(ISBLANK(P525:P1524), "", DATEDIF(J525:J1524, P525:P1524, "Y"))</f>
      </c>
    </row>
    <row x14ac:dyDescent="0.25" r="526" customHeight="1" ht="15.75">
      <c r="A526" s="45" t="s">
        <v>1619</v>
      </c>
      <c r="B526" s="45" t="s">
        <v>324</v>
      </c>
      <c r="C526" s="45" t="s">
        <v>124</v>
      </c>
      <c r="D526" s="45" t="s">
        <v>32</v>
      </c>
      <c r="E526" s="45" t="s">
        <v>1096</v>
      </c>
      <c r="F526" s="45" t="s">
        <v>10</v>
      </c>
      <c r="G526" s="45" t="s">
        <v>14</v>
      </c>
      <c r="H526" s="53">
        <v>34</v>
      </c>
      <c r="I526" s="54">
        <f>IF(H526:H1525&lt;45, "Adult", IF(H526:H1525&lt;60, "Middle Age", IF(H526:H1525&lt;70, "Old", "Very Old")))</f>
      </c>
      <c r="J526" s="55">
        <v>42514</v>
      </c>
      <c r="K526" s="56">
        <v>94352</v>
      </c>
      <c r="L526" s="54">
        <f>IF(K526:K1525&lt;50000,"0-50",IF(K526:K1525&lt;100001,"51-100",IF(K526:K1525&lt;150001,"101-150",IF(K526:K1525&lt;200001,"151-200",IF(K526:K1525&lt;250001,"201-250","above 250")))))</f>
      </c>
      <c r="M526" s="57">
        <v>0</v>
      </c>
      <c r="N526" s="45" t="s">
        <v>15</v>
      </c>
      <c r="O526" s="45" t="s">
        <v>59</v>
      </c>
      <c r="P526" s="51"/>
      <c r="Q526" s="52">
        <f>IF(ISBLANK(P526:P1525), "", DATEDIF(J526:J1525, P526:P1525, "Y"))</f>
      </c>
    </row>
    <row x14ac:dyDescent="0.25" r="527" customHeight="1" ht="15.75">
      <c r="A527" s="45" t="s">
        <v>1620</v>
      </c>
      <c r="B527" s="45" t="s">
        <v>884</v>
      </c>
      <c r="C527" s="45" t="s">
        <v>108</v>
      </c>
      <c r="D527" s="45" t="s">
        <v>32</v>
      </c>
      <c r="E527" s="45" t="s">
        <v>1092</v>
      </c>
      <c r="F527" s="45" t="s">
        <v>7</v>
      </c>
      <c r="G527" s="45" t="s">
        <v>17</v>
      </c>
      <c r="H527" s="53">
        <v>55</v>
      </c>
      <c r="I527" s="54">
        <f>IF(H527:H1526&lt;45, "Adult", IF(H527:H1526&lt;60, "Middle Age", IF(H527:H1526&lt;70, "Old", "Very Old")))</f>
      </c>
      <c r="J527" s="55">
        <v>34576</v>
      </c>
      <c r="K527" s="56">
        <v>73955</v>
      </c>
      <c r="L527" s="54">
        <f>IF(K527:K1526&lt;50000,"0-50",IF(K527:K1526&lt;100001,"51-100",IF(K527:K1526&lt;150001,"101-150",IF(K527:K1526&lt;200001,"151-200",IF(K527:K1526&lt;250001,"201-250","above 250")))))</f>
      </c>
      <c r="M527" s="57">
        <v>0</v>
      </c>
      <c r="N527" s="45" t="s">
        <v>15</v>
      </c>
      <c r="O527" s="45" t="s">
        <v>61</v>
      </c>
      <c r="P527" s="51"/>
      <c r="Q527" s="52">
        <f>IF(ISBLANK(P527:P1526), "", DATEDIF(J527:J1526, P527:P1526, "Y"))</f>
      </c>
    </row>
    <row x14ac:dyDescent="0.25" r="528" customHeight="1" ht="15.75">
      <c r="A528" s="45" t="s">
        <v>1621</v>
      </c>
      <c r="B528" s="45" t="s">
        <v>328</v>
      </c>
      <c r="C528" s="45" t="s">
        <v>110</v>
      </c>
      <c r="D528" s="45" t="s">
        <v>30</v>
      </c>
      <c r="E528" s="45" t="s">
        <v>1094</v>
      </c>
      <c r="F528" s="45" t="s">
        <v>10</v>
      </c>
      <c r="G528" s="45" t="s">
        <v>17</v>
      </c>
      <c r="H528" s="53">
        <v>34</v>
      </c>
      <c r="I528" s="54">
        <f>IF(H528:H1527&lt;45, "Adult", IF(H528:H1527&lt;60, "Middle Age", IF(H528:H1527&lt;70, "Old", "Very Old")))</f>
      </c>
      <c r="J528" s="55">
        <v>41499</v>
      </c>
      <c r="K528" s="56">
        <v>113909</v>
      </c>
      <c r="L528" s="54">
        <f>IF(K528:K1527&lt;50000,"0-50",IF(K528:K1527&lt;100001,"51-100",IF(K528:K1527&lt;150001,"101-150",IF(K528:K1527&lt;200001,"151-200",IF(K528:K1527&lt;250001,"201-250","above 250")))))</f>
      </c>
      <c r="M528" s="57">
        <v>0.06</v>
      </c>
      <c r="N528" s="45" t="s">
        <v>9</v>
      </c>
      <c r="O528" s="45" t="s">
        <v>63</v>
      </c>
      <c r="P528" s="51"/>
      <c r="Q528" s="52">
        <f>IF(ISBLANK(P528:P1527), "", DATEDIF(J528:J1527, P528:P1527, "Y"))</f>
      </c>
    </row>
    <row x14ac:dyDescent="0.25" r="529" customHeight="1" ht="15.75">
      <c r="A529" s="45" t="s">
        <v>1622</v>
      </c>
      <c r="B529" s="45" t="s">
        <v>143</v>
      </c>
      <c r="C529" s="45" t="s">
        <v>112</v>
      </c>
      <c r="D529" s="45" t="s">
        <v>32</v>
      </c>
      <c r="E529" s="45" t="s">
        <v>1094</v>
      </c>
      <c r="F529" s="45" t="s">
        <v>10</v>
      </c>
      <c r="G529" s="45" t="s">
        <v>8</v>
      </c>
      <c r="H529" s="53">
        <v>27</v>
      </c>
      <c r="I529" s="54">
        <f>IF(H529:H1528&lt;45, "Adult", IF(H529:H1528&lt;60, "Middle Age", IF(H529:H1528&lt;70, "Old", "Very Old")))</f>
      </c>
      <c r="J529" s="55">
        <v>44189</v>
      </c>
      <c r="K529" s="56">
        <v>92321</v>
      </c>
      <c r="L529" s="54">
        <f>IF(K529:K1528&lt;50000,"0-50",IF(K529:K1528&lt;100001,"51-100",IF(K529:K1528&lt;150001,"101-150",IF(K529:K1528&lt;200001,"151-200",IF(K529:K1528&lt;250001,"201-250","above 250")))))</f>
      </c>
      <c r="M529" s="57">
        <v>0</v>
      </c>
      <c r="N529" s="45" t="s">
        <v>15</v>
      </c>
      <c r="O529" s="45" t="s">
        <v>51</v>
      </c>
      <c r="P529" s="51"/>
      <c r="Q529" s="52">
        <f>IF(ISBLANK(P529:P1528), "", DATEDIF(J529:J1528, P529:P1528, "Y"))</f>
      </c>
    </row>
    <row x14ac:dyDescent="0.25" r="530" customHeight="1" ht="15.75">
      <c r="A530" s="45" t="s">
        <v>1623</v>
      </c>
      <c r="B530" s="45" t="s">
        <v>791</v>
      </c>
      <c r="C530" s="45" t="s">
        <v>90</v>
      </c>
      <c r="D530" s="45" t="s">
        <v>32</v>
      </c>
      <c r="E530" s="45" t="s">
        <v>1092</v>
      </c>
      <c r="F530" s="45" t="s">
        <v>10</v>
      </c>
      <c r="G530" s="45" t="s">
        <v>14</v>
      </c>
      <c r="H530" s="53">
        <v>52</v>
      </c>
      <c r="I530" s="54">
        <f>IF(H530:H1529&lt;45, "Adult", IF(H530:H1529&lt;60, "Middle Age", IF(H530:H1529&lt;70, "Old", "Very Old")))</f>
      </c>
      <c r="J530" s="55">
        <v>41417</v>
      </c>
      <c r="K530" s="56">
        <v>99557</v>
      </c>
      <c r="L530" s="54">
        <f>IF(K530:K1529&lt;50000,"0-50",IF(K530:K1529&lt;100001,"51-100",IF(K530:K1529&lt;150001,"101-150",IF(K530:K1529&lt;200001,"151-200",IF(K530:K1529&lt;250001,"201-250","above 250")))))</f>
      </c>
      <c r="M530" s="57">
        <v>0.09</v>
      </c>
      <c r="N530" s="45" t="s">
        <v>15</v>
      </c>
      <c r="O530" s="45" t="s">
        <v>67</v>
      </c>
      <c r="P530" s="51"/>
      <c r="Q530" s="52">
        <f>IF(ISBLANK(P530:P1529), "", DATEDIF(J530:J1529, P530:P1529, "Y"))</f>
      </c>
    </row>
    <row x14ac:dyDescent="0.25" r="531" customHeight="1" ht="15.75">
      <c r="A531" s="45" t="s">
        <v>1624</v>
      </c>
      <c r="B531" s="45" t="s">
        <v>178</v>
      </c>
      <c r="C531" s="45" t="s">
        <v>84</v>
      </c>
      <c r="D531" s="45" t="s">
        <v>26</v>
      </c>
      <c r="E531" s="45" t="s">
        <v>1096</v>
      </c>
      <c r="F531" s="45" t="s">
        <v>7</v>
      </c>
      <c r="G531" s="45" t="s">
        <v>14</v>
      </c>
      <c r="H531" s="53">
        <v>28</v>
      </c>
      <c r="I531" s="54">
        <f>IF(H531:H1530&lt;45, "Adult", IF(H531:H1530&lt;60, "Middle Age", IF(H531:H1530&lt;70, "Old", "Very Old")))</f>
      </c>
      <c r="J531" s="55">
        <v>43418</v>
      </c>
      <c r="K531" s="56">
        <v>115854</v>
      </c>
      <c r="L531" s="54">
        <f>IF(K531:K1530&lt;50000,"0-50",IF(K531:K1530&lt;100001,"51-100",IF(K531:K1530&lt;150001,"101-150",IF(K531:K1530&lt;200001,"151-200",IF(K531:K1530&lt;250001,"201-250","above 250")))))</f>
      </c>
      <c r="M531" s="57">
        <v>0</v>
      </c>
      <c r="N531" s="45" t="s">
        <v>15</v>
      </c>
      <c r="O531" s="45" t="s">
        <v>61</v>
      </c>
      <c r="P531" s="51"/>
      <c r="Q531" s="52">
        <f>IF(ISBLANK(P531:P1530), "", DATEDIF(J531:J1530, P531:P1530, "Y"))</f>
      </c>
    </row>
    <row x14ac:dyDescent="0.25" r="532" customHeight="1" ht="15.75">
      <c r="A532" s="45" t="s">
        <v>1625</v>
      </c>
      <c r="B532" s="45" t="s">
        <v>549</v>
      </c>
      <c r="C532" s="45" t="s">
        <v>108</v>
      </c>
      <c r="D532" s="45" t="s">
        <v>32</v>
      </c>
      <c r="E532" s="45" t="s">
        <v>1094</v>
      </c>
      <c r="F532" s="45" t="s">
        <v>7</v>
      </c>
      <c r="G532" s="45" t="s">
        <v>17</v>
      </c>
      <c r="H532" s="53">
        <v>44</v>
      </c>
      <c r="I532" s="54">
        <f>IF(H532:H1531&lt;45, "Adult", IF(H532:H1531&lt;60, "Middle Age", IF(H532:H1531&lt;70, "Old", "Very Old")))</f>
      </c>
      <c r="J532" s="55">
        <v>40603</v>
      </c>
      <c r="K532" s="56">
        <v>82462</v>
      </c>
      <c r="L532" s="54">
        <f>IF(K532:K1531&lt;50000,"0-50",IF(K532:K1531&lt;100001,"51-100",IF(K532:K1531&lt;150001,"101-150",IF(K532:K1531&lt;200001,"151-200",IF(K532:K1531&lt;250001,"201-250","above 250")))))</f>
      </c>
      <c r="M532" s="57">
        <v>0</v>
      </c>
      <c r="N532" s="45" t="s">
        <v>15</v>
      </c>
      <c r="O532" s="45" t="s">
        <v>42</v>
      </c>
      <c r="P532" s="51"/>
      <c r="Q532" s="52">
        <f>IF(ISBLANK(P532:P1531), "", DATEDIF(J532:J1531, P532:P1531, "Y"))</f>
      </c>
    </row>
    <row x14ac:dyDescent="0.25" r="533" customHeight="1" ht="15.75">
      <c r="A533" s="45" t="s">
        <v>1626</v>
      </c>
      <c r="B533" s="45" t="s">
        <v>819</v>
      </c>
      <c r="C533" s="45" t="s">
        <v>142</v>
      </c>
      <c r="D533" s="45" t="s">
        <v>32</v>
      </c>
      <c r="E533" s="45" t="s">
        <v>1092</v>
      </c>
      <c r="F533" s="45" t="s">
        <v>7</v>
      </c>
      <c r="G533" s="45" t="s">
        <v>14</v>
      </c>
      <c r="H533" s="53">
        <v>53</v>
      </c>
      <c r="I533" s="54">
        <f>IF(H533:H1532&lt;45, "Adult", IF(H533:H1532&lt;60, "Middle Age", IF(H533:H1532&lt;70, "Old", "Very Old")))</f>
      </c>
      <c r="J533" s="55">
        <v>40856</v>
      </c>
      <c r="K533" s="56">
        <v>198473</v>
      </c>
      <c r="L533" s="54">
        <f>IF(K533:K1532&lt;50000,"0-50",IF(K533:K1532&lt;100001,"51-100",IF(K533:K1532&lt;150001,"101-150",IF(K533:K1532&lt;200001,"151-200",IF(K533:K1532&lt;250001,"201-250","above 250")))))</f>
      </c>
      <c r="M533" s="57">
        <v>0.32</v>
      </c>
      <c r="N533" s="45" t="s">
        <v>15</v>
      </c>
      <c r="O533" s="45" t="s">
        <v>59</v>
      </c>
      <c r="P533" s="51"/>
      <c r="Q533" s="52">
        <f>IF(ISBLANK(P533:P1532), "", DATEDIF(J533:J1532, P533:P1532, "Y"))</f>
      </c>
    </row>
    <row x14ac:dyDescent="0.25" r="534" customHeight="1" ht="15.75">
      <c r="A534" s="45" t="s">
        <v>1627</v>
      </c>
      <c r="B534" s="45" t="s">
        <v>530</v>
      </c>
      <c r="C534" s="45" t="s">
        <v>132</v>
      </c>
      <c r="D534" s="45" t="s">
        <v>28</v>
      </c>
      <c r="E534" s="45" t="s">
        <v>1100</v>
      </c>
      <c r="F534" s="45" t="s">
        <v>7</v>
      </c>
      <c r="G534" s="45" t="s">
        <v>8</v>
      </c>
      <c r="H534" s="53">
        <v>43</v>
      </c>
      <c r="I534" s="54">
        <f>IF(H534:H1533&lt;45, "Adult", IF(H534:H1533&lt;60, "Middle Age", IF(H534:H1533&lt;70, "Old", "Very Old")))</f>
      </c>
      <c r="J534" s="55">
        <v>39005</v>
      </c>
      <c r="K534" s="56">
        <v>153492</v>
      </c>
      <c r="L534" s="54">
        <f>IF(K534:K1533&lt;50000,"0-50",IF(K534:K1533&lt;100001,"51-100",IF(K534:K1533&lt;150001,"101-150",IF(K534:K1533&lt;200001,"151-200",IF(K534:K1533&lt;250001,"201-250","above 250")))))</f>
      </c>
      <c r="M534" s="57">
        <v>0.11</v>
      </c>
      <c r="N534" s="45" t="s">
        <v>15</v>
      </c>
      <c r="O534" s="45" t="s">
        <v>51</v>
      </c>
      <c r="P534" s="51"/>
      <c r="Q534" s="52">
        <f>IF(ISBLANK(P534:P1533), "", DATEDIF(J534:J1533, P534:P1533, "Y"))</f>
      </c>
    </row>
    <row x14ac:dyDescent="0.25" r="535" customHeight="1" ht="15.75">
      <c r="A535" s="45" t="s">
        <v>1628</v>
      </c>
      <c r="B535" s="45" t="s">
        <v>172</v>
      </c>
      <c r="C535" s="45" t="s">
        <v>142</v>
      </c>
      <c r="D535" s="45" t="s">
        <v>30</v>
      </c>
      <c r="E535" s="45" t="s">
        <v>1100</v>
      </c>
      <c r="F535" s="45" t="s">
        <v>7</v>
      </c>
      <c r="G535" s="45" t="s">
        <v>11</v>
      </c>
      <c r="H535" s="53">
        <v>28</v>
      </c>
      <c r="I535" s="54">
        <f>IF(H535:H1534&lt;45, "Adult", IF(H535:H1534&lt;60, "Middle Age", IF(H535:H1534&lt;70, "Old", "Very Old")))</f>
      </c>
      <c r="J535" s="55">
        <v>43121</v>
      </c>
      <c r="K535" s="56">
        <v>208210</v>
      </c>
      <c r="L535" s="54">
        <f>IF(K535:K1534&lt;50000,"0-50",IF(K535:K1534&lt;100001,"51-100",IF(K535:K1534&lt;150001,"101-150",IF(K535:K1534&lt;200001,"151-200",IF(K535:K1534&lt;250001,"201-250","above 250")))))</f>
      </c>
      <c r="M535" s="57">
        <v>0.3</v>
      </c>
      <c r="N535" s="45" t="s">
        <v>15</v>
      </c>
      <c r="O535" s="45" t="s">
        <v>67</v>
      </c>
      <c r="P535" s="51"/>
      <c r="Q535" s="52">
        <f>IF(ISBLANK(P535:P1534), "", DATEDIF(J535:J1534, P535:P1534, "Y"))</f>
      </c>
    </row>
    <row x14ac:dyDescent="0.25" r="536" customHeight="1" ht="15.75">
      <c r="A536" s="45" t="s">
        <v>1629</v>
      </c>
      <c r="B536" s="45" t="s">
        <v>298</v>
      </c>
      <c r="C536" s="45" t="s">
        <v>128</v>
      </c>
      <c r="D536" s="45" t="s">
        <v>34</v>
      </c>
      <c r="E536" s="45" t="s">
        <v>1100</v>
      </c>
      <c r="F536" s="45" t="s">
        <v>10</v>
      </c>
      <c r="G536" s="45" t="s">
        <v>14</v>
      </c>
      <c r="H536" s="53">
        <v>33</v>
      </c>
      <c r="I536" s="54">
        <f>IF(H536:H1535&lt;45, "Adult", IF(H536:H1535&lt;60, "Middle Age", IF(H536:H1535&lt;70, "Old", "Very Old")))</f>
      </c>
      <c r="J536" s="55">
        <v>42325</v>
      </c>
      <c r="K536" s="56">
        <v>91632</v>
      </c>
      <c r="L536" s="54">
        <f>IF(K536:K1535&lt;50000,"0-50",IF(K536:K1535&lt;100001,"51-100",IF(K536:K1535&lt;150001,"101-150",IF(K536:K1535&lt;200001,"151-200",IF(K536:K1535&lt;250001,"201-250","above 250")))))</f>
      </c>
      <c r="M536" s="57">
        <v>0</v>
      </c>
      <c r="N536" s="45" t="s">
        <v>15</v>
      </c>
      <c r="O536" s="45" t="s">
        <v>61</v>
      </c>
      <c r="P536" s="51"/>
      <c r="Q536" s="52">
        <f>IF(ISBLANK(P536:P1535), "", DATEDIF(J536:J1535, P536:P1535, "Y"))</f>
      </c>
    </row>
    <row x14ac:dyDescent="0.25" r="537" customHeight="1" ht="15.75">
      <c r="A537" s="45" t="s">
        <v>1630</v>
      </c>
      <c r="B537" s="45" t="s">
        <v>251</v>
      </c>
      <c r="C537" s="45" t="s">
        <v>104</v>
      </c>
      <c r="D537" s="45" t="s">
        <v>30</v>
      </c>
      <c r="E537" s="45" t="s">
        <v>1100</v>
      </c>
      <c r="F537" s="45" t="s">
        <v>10</v>
      </c>
      <c r="G537" s="45" t="s">
        <v>8</v>
      </c>
      <c r="H537" s="53">
        <v>31</v>
      </c>
      <c r="I537" s="54">
        <f>IF(H537:H1536&lt;45, "Adult", IF(H537:H1536&lt;60, "Middle Age", IF(H537:H1536&lt;70, "Old", "Very Old")))</f>
      </c>
      <c r="J537" s="55">
        <v>43002</v>
      </c>
      <c r="K537" s="56">
        <v>71755</v>
      </c>
      <c r="L537" s="54">
        <f>IF(K537:K1536&lt;50000,"0-50",IF(K537:K1536&lt;100001,"51-100",IF(K537:K1536&lt;150001,"101-150",IF(K537:K1536&lt;200001,"151-200",IF(K537:K1536&lt;250001,"201-250","above 250")))))</f>
      </c>
      <c r="M537" s="57">
        <v>0</v>
      </c>
      <c r="N537" s="45" t="s">
        <v>12</v>
      </c>
      <c r="O537" s="45" t="s">
        <v>53</v>
      </c>
      <c r="P537" s="51"/>
      <c r="Q537" s="52">
        <f>IF(ISBLANK(P537:P1536), "", DATEDIF(J537:J1536, P537:P1536, "Y"))</f>
      </c>
    </row>
    <row x14ac:dyDescent="0.25" r="538" customHeight="1" ht="15.75">
      <c r="A538" s="45" t="s">
        <v>1631</v>
      </c>
      <c r="B538" s="45" t="s">
        <v>790</v>
      </c>
      <c r="C538" s="45" t="s">
        <v>110</v>
      </c>
      <c r="D538" s="45" t="s">
        <v>24</v>
      </c>
      <c r="E538" s="45" t="s">
        <v>1100</v>
      </c>
      <c r="F538" s="45" t="s">
        <v>7</v>
      </c>
      <c r="G538" s="45" t="s">
        <v>8</v>
      </c>
      <c r="H538" s="53">
        <v>52</v>
      </c>
      <c r="I538" s="54">
        <f>IF(H538:H1537&lt;45, "Adult", IF(H538:H1537&lt;60, "Middle Age", IF(H538:H1537&lt;70, "Old", "Very Old")))</f>
      </c>
      <c r="J538" s="55">
        <v>44519</v>
      </c>
      <c r="K538" s="56">
        <v>111006</v>
      </c>
      <c r="L538" s="54">
        <f>IF(K538:K1537&lt;50000,"0-50",IF(K538:K1537&lt;100001,"51-100",IF(K538:K1537&lt;150001,"101-150",IF(K538:K1537&lt;200001,"151-200",IF(K538:K1537&lt;250001,"201-250","above 250")))))</f>
      </c>
      <c r="M538" s="57">
        <v>0.08</v>
      </c>
      <c r="N538" s="45" t="s">
        <v>12</v>
      </c>
      <c r="O538" s="45" t="s">
        <v>53</v>
      </c>
      <c r="P538" s="51"/>
      <c r="Q538" s="52">
        <f>IF(ISBLANK(P538:P1537), "", DATEDIF(J538:J1537, P538:P1537, "Y"))</f>
      </c>
    </row>
    <row x14ac:dyDescent="0.25" r="539" customHeight="1" ht="15.75">
      <c r="A539" s="45" t="s">
        <v>1632</v>
      </c>
      <c r="B539" s="45" t="s">
        <v>876</v>
      </c>
      <c r="C539" s="45" t="s">
        <v>88</v>
      </c>
      <c r="D539" s="45" t="s">
        <v>32</v>
      </c>
      <c r="E539" s="45" t="s">
        <v>1100</v>
      </c>
      <c r="F539" s="45" t="s">
        <v>10</v>
      </c>
      <c r="G539" s="45" t="s">
        <v>8</v>
      </c>
      <c r="H539" s="53">
        <v>55</v>
      </c>
      <c r="I539" s="54">
        <f>IF(H539:H1538&lt;45, "Adult", IF(H539:H1538&lt;60, "Middle Age", IF(H539:H1538&lt;70, "Old", "Very Old")))</f>
      </c>
      <c r="J539" s="55">
        <v>34692</v>
      </c>
      <c r="K539" s="56">
        <v>99774</v>
      </c>
      <c r="L539" s="54">
        <f>IF(K539:K1538&lt;50000,"0-50",IF(K539:K1538&lt;100001,"51-100",IF(K539:K1538&lt;150001,"101-150",IF(K539:K1538&lt;200001,"151-200",IF(K539:K1538&lt;250001,"201-250","above 250")))))</f>
      </c>
      <c r="M539" s="57">
        <v>0</v>
      </c>
      <c r="N539" s="45" t="s">
        <v>15</v>
      </c>
      <c r="O539" s="45" t="s">
        <v>42</v>
      </c>
      <c r="P539" s="51"/>
      <c r="Q539" s="52">
        <f>IF(ISBLANK(P539:P1538), "", DATEDIF(J539:J1538, P539:P1538, "Y"))</f>
      </c>
    </row>
    <row x14ac:dyDescent="0.25" r="540" customHeight="1" ht="15.75">
      <c r="A540" s="45" t="s">
        <v>1633</v>
      </c>
      <c r="B540" s="45" t="s">
        <v>890</v>
      </c>
      <c r="C540" s="45" t="s">
        <v>96</v>
      </c>
      <c r="D540" s="45" t="s">
        <v>32</v>
      </c>
      <c r="E540" s="45" t="s">
        <v>1092</v>
      </c>
      <c r="F540" s="45" t="s">
        <v>10</v>
      </c>
      <c r="G540" s="45" t="s">
        <v>8</v>
      </c>
      <c r="H540" s="53">
        <v>55</v>
      </c>
      <c r="I540" s="54">
        <f>IF(H540:H1539&lt;45, "Adult", IF(H540:H1539&lt;60, "Middle Age", IF(H540:H1539&lt;70, "Old", "Very Old")))</f>
      </c>
      <c r="J540" s="55">
        <v>39154</v>
      </c>
      <c r="K540" s="56">
        <v>184648</v>
      </c>
      <c r="L540" s="54">
        <f>IF(K540:K1539&lt;50000,"0-50",IF(K540:K1539&lt;100001,"51-100",IF(K540:K1539&lt;150001,"101-150",IF(K540:K1539&lt;200001,"151-200",IF(K540:K1539&lt;250001,"201-250","above 250")))))</f>
      </c>
      <c r="M540" s="57">
        <v>0.24</v>
      </c>
      <c r="N540" s="45" t="s">
        <v>12</v>
      </c>
      <c r="O540" s="45" t="s">
        <v>69</v>
      </c>
      <c r="P540" s="51"/>
      <c r="Q540" s="52">
        <f>IF(ISBLANK(P540:P1539), "", DATEDIF(J540:J1539, P540:P1539, "Y"))</f>
      </c>
    </row>
    <row x14ac:dyDescent="0.25" r="541" customHeight="1" ht="15.75">
      <c r="A541" s="45" t="s">
        <v>1634</v>
      </c>
      <c r="B541" s="45" t="s">
        <v>767</v>
      </c>
      <c r="C541" s="45" t="s">
        <v>142</v>
      </c>
      <c r="D541" s="45" t="s">
        <v>32</v>
      </c>
      <c r="E541" s="45" t="s">
        <v>1094</v>
      </c>
      <c r="F541" s="45" t="s">
        <v>10</v>
      </c>
      <c r="G541" s="45" t="s">
        <v>17</v>
      </c>
      <c r="H541" s="53">
        <v>51</v>
      </c>
      <c r="I541" s="54">
        <f>IF(H541:H1540&lt;45, "Adult", IF(H541:H1540&lt;60, "Middle Age", IF(H541:H1540&lt;70, "Old", "Very Old")))</f>
      </c>
      <c r="J541" s="55">
        <v>37091</v>
      </c>
      <c r="K541" s="56">
        <v>247874</v>
      </c>
      <c r="L541" s="54">
        <f>IF(K541:K1540&lt;50000,"0-50",IF(K541:K1540&lt;100001,"51-100",IF(K541:K1540&lt;150001,"101-150",IF(K541:K1540&lt;200001,"151-200",IF(K541:K1540&lt;250001,"201-250","above 250")))))</f>
      </c>
      <c r="M541" s="57">
        <v>0.33</v>
      </c>
      <c r="N541" s="45" t="s">
        <v>9</v>
      </c>
      <c r="O541" s="45" t="s">
        <v>57</v>
      </c>
      <c r="P541" s="51"/>
      <c r="Q541" s="52">
        <f>IF(ISBLANK(P541:P1540), "", DATEDIF(J541:J1540, P541:P1540, "Y"))</f>
      </c>
    </row>
    <row x14ac:dyDescent="0.25" r="542" customHeight="1" ht="15.75">
      <c r="A542" s="45" t="s">
        <v>1635</v>
      </c>
      <c r="B542" s="45" t="s">
        <v>985</v>
      </c>
      <c r="C542" s="45" t="s">
        <v>94</v>
      </c>
      <c r="D542" s="45" t="s">
        <v>26</v>
      </c>
      <c r="E542" s="45" t="s">
        <v>1094</v>
      </c>
      <c r="F542" s="45" t="s">
        <v>10</v>
      </c>
      <c r="G542" s="45" t="s">
        <v>8</v>
      </c>
      <c r="H542" s="53">
        <v>60</v>
      </c>
      <c r="I542" s="54">
        <f>IF(H542:H1541&lt;45, "Adult", IF(H542:H1541&lt;60, "Middle Age", IF(H542:H1541&lt;70, "Old", "Very Old")))</f>
      </c>
      <c r="J542" s="55">
        <v>39944</v>
      </c>
      <c r="K542" s="56">
        <v>62239</v>
      </c>
      <c r="L542" s="54">
        <f>IF(K542:K1541&lt;50000,"0-50",IF(K542:K1541&lt;100001,"51-100",IF(K542:K1541&lt;150001,"101-150",IF(K542:K1541&lt;200001,"151-200",IF(K542:K1541&lt;250001,"201-250","above 250")))))</f>
      </c>
      <c r="M542" s="57">
        <v>0</v>
      </c>
      <c r="N542" s="45" t="s">
        <v>12</v>
      </c>
      <c r="O542" s="45" t="s">
        <v>47</v>
      </c>
      <c r="P542" s="51"/>
      <c r="Q542" s="52">
        <f>IF(ISBLANK(P542:P1541), "", DATEDIF(J542:J1541, P542:P1541, "Y"))</f>
      </c>
    </row>
    <row x14ac:dyDescent="0.25" r="543" customHeight="1" ht="15.75">
      <c r="A543" s="45" t="s">
        <v>1636</v>
      </c>
      <c r="B543" s="45" t="s">
        <v>257</v>
      </c>
      <c r="C543" s="45" t="s">
        <v>110</v>
      </c>
      <c r="D543" s="45" t="s">
        <v>24</v>
      </c>
      <c r="E543" s="45" t="s">
        <v>1096</v>
      </c>
      <c r="F543" s="45" t="s">
        <v>7</v>
      </c>
      <c r="G543" s="45" t="s">
        <v>14</v>
      </c>
      <c r="H543" s="53">
        <v>31</v>
      </c>
      <c r="I543" s="54">
        <f>IF(H543:H1542&lt;45, "Adult", IF(H543:H1542&lt;60, "Middle Age", IF(H543:H1542&lt;70, "Old", "Very Old")))</f>
      </c>
      <c r="J543" s="55">
        <v>41919</v>
      </c>
      <c r="K543" s="56">
        <v>114911</v>
      </c>
      <c r="L543" s="54">
        <f>IF(K543:K1542&lt;50000,"0-50",IF(K543:K1542&lt;100001,"51-100",IF(K543:K1542&lt;150001,"101-150",IF(K543:K1542&lt;200001,"151-200",IF(K543:K1542&lt;250001,"201-250","above 250")))))</f>
      </c>
      <c r="M543" s="57">
        <v>0.07</v>
      </c>
      <c r="N543" s="45" t="s">
        <v>15</v>
      </c>
      <c r="O543" s="45" t="s">
        <v>51</v>
      </c>
      <c r="P543" s="51"/>
      <c r="Q543" s="52">
        <f>IF(ISBLANK(P543:P1542), "", DATEDIF(J543:J1542, P543:P1542, "Y"))</f>
      </c>
    </row>
    <row x14ac:dyDescent="0.25" r="544" customHeight="1" ht="15.75">
      <c r="A544" s="45" t="s">
        <v>1637</v>
      </c>
      <c r="B544" s="45" t="s">
        <v>587</v>
      </c>
      <c r="C544" s="45" t="s">
        <v>98</v>
      </c>
      <c r="D544" s="45" t="s">
        <v>26</v>
      </c>
      <c r="E544" s="45" t="s">
        <v>1100</v>
      </c>
      <c r="F544" s="45" t="s">
        <v>10</v>
      </c>
      <c r="G544" s="45" t="s">
        <v>17</v>
      </c>
      <c r="H544" s="53">
        <v>45</v>
      </c>
      <c r="I544" s="54">
        <f>IF(H544:H1543&lt;45, "Adult", IF(H544:H1543&lt;60, "Middle Age", IF(H544:H1543&lt;70, "Old", "Very Old")))</f>
      </c>
      <c r="J544" s="55">
        <v>43217</v>
      </c>
      <c r="K544" s="56">
        <v>115490</v>
      </c>
      <c r="L544" s="54">
        <f>IF(K544:K1543&lt;50000,"0-50",IF(K544:K1543&lt;100001,"51-100",IF(K544:K1543&lt;150001,"101-150",IF(K544:K1543&lt;200001,"151-200",IF(K544:K1543&lt;250001,"201-250","above 250")))))</f>
      </c>
      <c r="M544" s="57">
        <v>0.12</v>
      </c>
      <c r="N544" s="45" t="s">
        <v>15</v>
      </c>
      <c r="O544" s="45" t="s">
        <v>51</v>
      </c>
      <c r="P544" s="51"/>
      <c r="Q544" s="52">
        <f>IF(ISBLANK(P544:P1543), "", DATEDIF(J544:J1543, P544:P1543, "Y"))</f>
      </c>
    </row>
    <row x14ac:dyDescent="0.25" r="545" customHeight="1" ht="15.75">
      <c r="A545" s="45" t="s">
        <v>1638</v>
      </c>
      <c r="B545" s="45" t="s">
        <v>321</v>
      </c>
      <c r="C545" s="45" t="s">
        <v>110</v>
      </c>
      <c r="D545" s="45" t="s">
        <v>24</v>
      </c>
      <c r="E545" s="45" t="s">
        <v>1096</v>
      </c>
      <c r="F545" s="45" t="s">
        <v>10</v>
      </c>
      <c r="G545" s="45" t="s">
        <v>8</v>
      </c>
      <c r="H545" s="53">
        <v>34</v>
      </c>
      <c r="I545" s="54">
        <f>IF(H545:H1544&lt;45, "Adult", IF(H545:H1544&lt;60, "Middle Age", IF(H545:H1544&lt;70, "Old", "Very Old")))</f>
      </c>
      <c r="J545" s="55">
        <v>40952</v>
      </c>
      <c r="K545" s="56">
        <v>118708</v>
      </c>
      <c r="L545" s="54">
        <f>IF(K545:K1544&lt;50000,"0-50",IF(K545:K1544&lt;100001,"51-100",IF(K545:K1544&lt;150001,"101-150",IF(K545:K1544&lt;200001,"151-200",IF(K545:K1544&lt;250001,"201-250","above 250")))))</f>
      </c>
      <c r="M545" s="57">
        <v>0.07</v>
      </c>
      <c r="N545" s="45" t="s">
        <v>12</v>
      </c>
      <c r="O545" s="45" t="s">
        <v>69</v>
      </c>
      <c r="P545" s="51"/>
      <c r="Q545" s="52">
        <f>IF(ISBLANK(P545:P1544), "", DATEDIF(J545:J1544, P545:P1544, "Y"))</f>
      </c>
    </row>
    <row x14ac:dyDescent="0.25" r="546" customHeight="1" ht="15.75">
      <c r="A546" s="45" t="s">
        <v>1639</v>
      </c>
      <c r="B546" s="45" t="s">
        <v>198</v>
      </c>
      <c r="C546" s="45" t="s">
        <v>96</v>
      </c>
      <c r="D546" s="45" t="s">
        <v>24</v>
      </c>
      <c r="E546" s="45" t="s">
        <v>1096</v>
      </c>
      <c r="F546" s="45" t="s">
        <v>7</v>
      </c>
      <c r="G546" s="45" t="s">
        <v>8</v>
      </c>
      <c r="H546" s="53">
        <v>29</v>
      </c>
      <c r="I546" s="54">
        <f>IF(H546:H1545&lt;45, "Adult", IF(H546:H1545&lt;60, "Middle Age", IF(H546:H1545&lt;70, "Old", "Very Old")))</f>
      </c>
      <c r="J546" s="55">
        <v>42914</v>
      </c>
      <c r="K546" s="56">
        <v>197649</v>
      </c>
      <c r="L546" s="54">
        <f>IF(K546:K1545&lt;50000,"0-50",IF(K546:K1545&lt;100001,"51-100",IF(K546:K1545&lt;150001,"101-150",IF(K546:K1545&lt;200001,"151-200",IF(K546:K1545&lt;250001,"201-250","above 250")))))</f>
      </c>
      <c r="M546" s="57">
        <v>0.2</v>
      </c>
      <c r="N546" s="45" t="s">
        <v>15</v>
      </c>
      <c r="O546" s="45" t="s">
        <v>55</v>
      </c>
      <c r="P546" s="51"/>
      <c r="Q546" s="52">
        <f>IF(ISBLANK(P546:P1545), "", DATEDIF(J546:J1545, P546:P1545, "Y"))</f>
      </c>
    </row>
    <row x14ac:dyDescent="0.25" r="547" customHeight="1" ht="15.75">
      <c r="A547" s="45" t="s">
        <v>1640</v>
      </c>
      <c r="B547" s="45" t="s">
        <v>591</v>
      </c>
      <c r="C547" s="45" t="s">
        <v>128</v>
      </c>
      <c r="D547" s="45" t="s">
        <v>24</v>
      </c>
      <c r="E547" s="45" t="s">
        <v>1096</v>
      </c>
      <c r="F547" s="45" t="s">
        <v>7</v>
      </c>
      <c r="G547" s="45" t="s">
        <v>8</v>
      </c>
      <c r="H547" s="53">
        <v>45</v>
      </c>
      <c r="I547" s="54">
        <f>IF(H547:H1546&lt;45, "Adult", IF(H547:H1546&lt;60, "Middle Age", IF(H547:H1546&lt;70, "Old", "Very Old")))</f>
      </c>
      <c r="J547" s="55">
        <v>43999</v>
      </c>
      <c r="K547" s="56">
        <v>89841</v>
      </c>
      <c r="L547" s="54">
        <f>IF(K547:K1546&lt;50000,"0-50",IF(K547:K1546&lt;100001,"51-100",IF(K547:K1546&lt;150001,"101-150",IF(K547:K1546&lt;200001,"151-200",IF(K547:K1546&lt;250001,"201-250","above 250")))))</f>
      </c>
      <c r="M547" s="57">
        <v>0</v>
      </c>
      <c r="N547" s="45" t="s">
        <v>12</v>
      </c>
      <c r="O547" s="45" t="s">
        <v>47</v>
      </c>
      <c r="P547" s="51"/>
      <c r="Q547" s="52">
        <f>IF(ISBLANK(P547:P1546), "", DATEDIF(J547:J1546, P547:P1546, "Y"))</f>
      </c>
    </row>
    <row x14ac:dyDescent="0.25" r="548" customHeight="1" ht="15.75">
      <c r="A548" s="45" t="s">
        <v>1641</v>
      </c>
      <c r="B548" s="45" t="s">
        <v>795</v>
      </c>
      <c r="C548" s="45" t="s">
        <v>82</v>
      </c>
      <c r="D548" s="45" t="s">
        <v>28</v>
      </c>
      <c r="E548" s="45" t="s">
        <v>1096</v>
      </c>
      <c r="F548" s="45" t="s">
        <v>7</v>
      </c>
      <c r="G548" s="45" t="s">
        <v>14</v>
      </c>
      <c r="H548" s="53">
        <v>52</v>
      </c>
      <c r="I548" s="54">
        <f>IF(H548:H1547&lt;45, "Adult", IF(H548:H1547&lt;60, "Middle Age", IF(H548:H1547&lt;70, "Old", "Very Old")))</f>
      </c>
      <c r="J548" s="55">
        <v>43819</v>
      </c>
      <c r="K548" s="56">
        <v>61026</v>
      </c>
      <c r="L548" s="54">
        <f>IF(K548:K1547&lt;50000,"0-50",IF(K548:K1547&lt;100001,"51-100",IF(K548:K1547&lt;150001,"101-150",IF(K548:K1547&lt;200001,"151-200",IF(K548:K1547&lt;250001,"201-250","above 250")))))</f>
      </c>
      <c r="M548" s="57">
        <v>0</v>
      </c>
      <c r="N548" s="45" t="s">
        <v>15</v>
      </c>
      <c r="O548" s="45" t="s">
        <v>61</v>
      </c>
      <c r="P548" s="51"/>
      <c r="Q548" s="52">
        <f>IF(ISBLANK(P548:P1547), "", DATEDIF(J548:J1547, P548:P1547, "Y"))</f>
      </c>
    </row>
    <row x14ac:dyDescent="0.25" r="549" customHeight="1" ht="15.75">
      <c r="A549" s="45" t="s">
        <v>1642</v>
      </c>
      <c r="B549" s="45" t="s">
        <v>694</v>
      </c>
      <c r="C549" s="45" t="s">
        <v>92</v>
      </c>
      <c r="D549" s="45" t="s">
        <v>26</v>
      </c>
      <c r="E549" s="45" t="s">
        <v>1096</v>
      </c>
      <c r="F549" s="45" t="s">
        <v>7</v>
      </c>
      <c r="G549" s="45" t="s">
        <v>14</v>
      </c>
      <c r="H549" s="53">
        <v>48</v>
      </c>
      <c r="I549" s="54">
        <f>IF(H549:H1548&lt;45, "Adult", IF(H549:H1548&lt;60, "Middle Age", IF(H549:H1548&lt;70, "Old", "Very Old")))</f>
      </c>
      <c r="J549" s="55">
        <v>41907</v>
      </c>
      <c r="K549" s="56">
        <v>96693</v>
      </c>
      <c r="L549" s="54">
        <f>IF(K549:K1548&lt;50000,"0-50",IF(K549:K1548&lt;100001,"51-100",IF(K549:K1548&lt;150001,"101-150",IF(K549:K1548&lt;200001,"151-200",IF(K549:K1548&lt;250001,"201-250","above 250")))))</f>
      </c>
      <c r="M549" s="57">
        <v>0</v>
      </c>
      <c r="N549" s="45" t="s">
        <v>15</v>
      </c>
      <c r="O549" s="45" t="s">
        <v>51</v>
      </c>
      <c r="P549" s="51"/>
      <c r="Q549" s="52">
        <f>IF(ISBLANK(P549:P1548), "", DATEDIF(J549:J1548, P549:P1548, "Y"))</f>
      </c>
    </row>
    <row x14ac:dyDescent="0.25" r="550" customHeight="1" ht="15.75">
      <c r="A550" s="45" t="s">
        <v>1643</v>
      </c>
      <c r="B550" s="45" t="s">
        <v>700</v>
      </c>
      <c r="C550" s="45" t="s">
        <v>140</v>
      </c>
      <c r="D550" s="45" t="s">
        <v>26</v>
      </c>
      <c r="E550" s="45" t="s">
        <v>1096</v>
      </c>
      <c r="F550" s="45" t="s">
        <v>7</v>
      </c>
      <c r="G550" s="45" t="s">
        <v>17</v>
      </c>
      <c r="H550" s="53">
        <v>48</v>
      </c>
      <c r="I550" s="54">
        <f>IF(H550:H1549&lt;45, "Adult", IF(H550:H1549&lt;60, "Middle Age", IF(H550:H1549&lt;70, "Old", "Very Old")))</f>
      </c>
      <c r="J550" s="55">
        <v>39991</v>
      </c>
      <c r="K550" s="56">
        <v>82907</v>
      </c>
      <c r="L550" s="54">
        <f>IF(K550:K1549&lt;50000,"0-50",IF(K550:K1549&lt;100001,"51-100",IF(K550:K1549&lt;150001,"101-150",IF(K550:K1549&lt;200001,"151-200",IF(K550:K1549&lt;250001,"201-250","above 250")))))</f>
      </c>
      <c r="M550" s="57">
        <v>0</v>
      </c>
      <c r="N550" s="45" t="s">
        <v>15</v>
      </c>
      <c r="O550" s="45" t="s">
        <v>67</v>
      </c>
      <c r="P550" s="51"/>
      <c r="Q550" s="52">
        <f>IF(ISBLANK(P550:P1549), "", DATEDIF(J550:J1549, P550:P1549, "Y"))</f>
      </c>
    </row>
    <row x14ac:dyDescent="0.25" r="551" customHeight="1" ht="15.75">
      <c r="A551" s="45" t="s">
        <v>1644</v>
      </c>
      <c r="B551" s="45" t="s">
        <v>482</v>
      </c>
      <c r="C551" s="45" t="s">
        <v>142</v>
      </c>
      <c r="D551" s="45" t="s">
        <v>34</v>
      </c>
      <c r="E551" s="45" t="s">
        <v>1100</v>
      </c>
      <c r="F551" s="45" t="s">
        <v>10</v>
      </c>
      <c r="G551" s="45" t="s">
        <v>8</v>
      </c>
      <c r="H551" s="53">
        <v>41</v>
      </c>
      <c r="I551" s="54">
        <f>IF(H551:H1550&lt;45, "Adult", IF(H551:H1550&lt;60, "Middle Age", IF(H551:H1550&lt;70, "Old", "Very Old")))</f>
      </c>
      <c r="J551" s="55">
        <v>41916</v>
      </c>
      <c r="K551" s="56">
        <v>257194</v>
      </c>
      <c r="L551" s="54">
        <f>IF(K551:K1550&lt;50000,"0-50",IF(K551:K1550&lt;100001,"51-100",IF(K551:K1550&lt;150001,"101-150",IF(K551:K1550&lt;200001,"151-200",IF(K551:K1550&lt;250001,"201-250","above 250")))))</f>
      </c>
      <c r="M551" s="57">
        <v>0.35</v>
      </c>
      <c r="N551" s="45" t="s">
        <v>12</v>
      </c>
      <c r="O551" s="45" t="s">
        <v>53</v>
      </c>
      <c r="P551" s="51"/>
      <c r="Q551" s="52">
        <f>IF(ISBLANK(P551:P1550), "", DATEDIF(J551:J1550, P551:P1550, "Y"))</f>
      </c>
    </row>
    <row x14ac:dyDescent="0.25" r="552" customHeight="1" ht="15.75">
      <c r="A552" s="45" t="s">
        <v>1645</v>
      </c>
      <c r="B552" s="45" t="s">
        <v>485</v>
      </c>
      <c r="C552" s="45" t="s">
        <v>120</v>
      </c>
      <c r="D552" s="45" t="s">
        <v>26</v>
      </c>
      <c r="E552" s="45" t="s">
        <v>1092</v>
      </c>
      <c r="F552" s="45" t="s">
        <v>10</v>
      </c>
      <c r="G552" s="45" t="s">
        <v>17</v>
      </c>
      <c r="H552" s="53">
        <v>41</v>
      </c>
      <c r="I552" s="54">
        <f>IF(H552:H1551&lt;45, "Adult", IF(H552:H1551&lt;60, "Middle Age", IF(H552:H1551&lt;70, "Old", "Very Old")))</f>
      </c>
      <c r="J552" s="55">
        <v>40929</v>
      </c>
      <c r="K552" s="56">
        <v>94658</v>
      </c>
      <c r="L552" s="54">
        <f>IF(K552:K1551&lt;50000,"0-50",IF(K552:K1551&lt;100001,"51-100",IF(K552:K1551&lt;150001,"101-150",IF(K552:K1551&lt;200001,"151-200",IF(K552:K1551&lt;250001,"201-250","above 250")))))</f>
      </c>
      <c r="M552" s="57">
        <v>0</v>
      </c>
      <c r="N552" s="45" t="s">
        <v>15</v>
      </c>
      <c r="O552" s="45" t="s">
        <v>59</v>
      </c>
      <c r="P552" s="51"/>
      <c r="Q552" s="52">
        <f>IF(ISBLANK(P552:P1551), "", DATEDIF(J552:J1551, P552:P1551, "Y"))</f>
      </c>
    </row>
    <row x14ac:dyDescent="0.25" r="553" customHeight="1" ht="15.75">
      <c r="A553" s="45" t="s">
        <v>1646</v>
      </c>
      <c r="B553" s="45" t="s">
        <v>883</v>
      </c>
      <c r="C553" s="45" t="s">
        <v>120</v>
      </c>
      <c r="D553" s="45" t="s">
        <v>26</v>
      </c>
      <c r="E553" s="45" t="s">
        <v>1092</v>
      </c>
      <c r="F553" s="45" t="s">
        <v>10</v>
      </c>
      <c r="G553" s="45" t="s">
        <v>8</v>
      </c>
      <c r="H553" s="53">
        <v>55</v>
      </c>
      <c r="I553" s="54">
        <f>IF(H553:H1552&lt;45, "Adult", IF(H553:H1552&lt;60, "Middle Age", IF(H553:H1552&lt;70, "Old", "Very Old")))</f>
      </c>
      <c r="J553" s="55">
        <v>40663</v>
      </c>
      <c r="K553" s="56">
        <v>89419</v>
      </c>
      <c r="L553" s="54">
        <f>IF(K553:K1552&lt;50000,"0-50",IF(K553:K1552&lt;100001,"51-100",IF(K553:K1552&lt;150001,"101-150",IF(K553:K1552&lt;200001,"151-200",IF(K553:K1552&lt;250001,"201-250","above 250")))))</f>
      </c>
      <c r="M553" s="57">
        <v>0</v>
      </c>
      <c r="N553" s="45" t="s">
        <v>12</v>
      </c>
      <c r="O553" s="45" t="s">
        <v>69</v>
      </c>
      <c r="P553" s="51"/>
      <c r="Q553" s="52">
        <f>IF(ISBLANK(P553:P1552), "", DATEDIF(J553:J1552, P553:P1552, "Y"))</f>
      </c>
    </row>
    <row x14ac:dyDescent="0.25" r="554" customHeight="1" ht="15.75">
      <c r="A554" s="45" t="s">
        <v>1647</v>
      </c>
      <c r="B554" s="45" t="s">
        <v>597</v>
      </c>
      <c r="C554" s="45" t="s">
        <v>104</v>
      </c>
      <c r="D554" s="45" t="s">
        <v>30</v>
      </c>
      <c r="E554" s="45" t="s">
        <v>1094</v>
      </c>
      <c r="F554" s="45" t="s">
        <v>10</v>
      </c>
      <c r="G554" s="45" t="s">
        <v>11</v>
      </c>
      <c r="H554" s="53">
        <v>45</v>
      </c>
      <c r="I554" s="54">
        <f>IF(H554:H1553&lt;45, "Adult", IF(H554:H1553&lt;60, "Middle Age", IF(H554:H1553&lt;70, "Old", "Very Old")))</f>
      </c>
      <c r="J554" s="55">
        <v>42357</v>
      </c>
      <c r="K554" s="56">
        <v>51983</v>
      </c>
      <c r="L554" s="54">
        <f>IF(K554:K1553&lt;50000,"0-50",IF(K554:K1553&lt;100001,"51-100",IF(K554:K1553&lt;150001,"101-150",IF(K554:K1553&lt;200001,"151-200",IF(K554:K1553&lt;250001,"201-250","above 250")))))</f>
      </c>
      <c r="M554" s="57">
        <v>0</v>
      </c>
      <c r="N554" s="45" t="s">
        <v>15</v>
      </c>
      <c r="O554" s="45" t="s">
        <v>55</v>
      </c>
      <c r="P554" s="51"/>
      <c r="Q554" s="52">
        <f>IF(ISBLANK(P554:P1553), "", DATEDIF(J554:J1553, P554:P1553, "Y"))</f>
      </c>
    </row>
    <row x14ac:dyDescent="0.25" r="555" customHeight="1" ht="15.75">
      <c r="A555" s="45" t="s">
        <v>1648</v>
      </c>
      <c r="B555" s="45" t="s">
        <v>817</v>
      </c>
      <c r="C555" s="45" t="s">
        <v>96</v>
      </c>
      <c r="D555" s="45" t="s">
        <v>28</v>
      </c>
      <c r="E555" s="45" t="s">
        <v>1100</v>
      </c>
      <c r="F555" s="45" t="s">
        <v>7</v>
      </c>
      <c r="G555" s="45" t="s">
        <v>8</v>
      </c>
      <c r="H555" s="53">
        <v>53</v>
      </c>
      <c r="I555" s="54">
        <f>IF(H555:H1554&lt;45, "Adult", IF(H555:H1554&lt;60, "Middle Age", IF(H555:H1554&lt;70, "Old", "Very Old")))</f>
      </c>
      <c r="J555" s="55">
        <v>37304</v>
      </c>
      <c r="K555" s="56">
        <v>179494</v>
      </c>
      <c r="L555" s="54">
        <f>IF(K555:K1554&lt;50000,"0-50",IF(K555:K1554&lt;100001,"51-100",IF(K555:K1554&lt;150001,"101-150",IF(K555:K1554&lt;200001,"151-200",IF(K555:K1554&lt;250001,"201-250","above 250")))))</f>
      </c>
      <c r="M555" s="57">
        <v>0.2</v>
      </c>
      <c r="N555" s="45" t="s">
        <v>12</v>
      </c>
      <c r="O555" s="45" t="s">
        <v>53</v>
      </c>
      <c r="P555" s="51"/>
      <c r="Q555" s="52">
        <f>IF(ISBLANK(P555:P1554), "", DATEDIF(J555:J1554, P555:P1554, "Y"))</f>
      </c>
    </row>
    <row x14ac:dyDescent="0.25" r="556" customHeight="1" ht="15.75">
      <c r="A556" s="45" t="s">
        <v>1649</v>
      </c>
      <c r="B556" s="45" t="s">
        <v>722</v>
      </c>
      <c r="C556" s="45" t="s">
        <v>108</v>
      </c>
      <c r="D556" s="45" t="s">
        <v>32</v>
      </c>
      <c r="E556" s="45" t="s">
        <v>1100</v>
      </c>
      <c r="F556" s="45" t="s">
        <v>10</v>
      </c>
      <c r="G556" s="45" t="s">
        <v>17</v>
      </c>
      <c r="H556" s="53">
        <v>49</v>
      </c>
      <c r="I556" s="54">
        <f>IF(H556:H1555&lt;45, "Adult", IF(H556:H1555&lt;60, "Middle Age", IF(H556:H1555&lt;70, "Old", "Very Old")))</f>
      </c>
      <c r="J556" s="55">
        <v>42545</v>
      </c>
      <c r="K556" s="56">
        <v>68426</v>
      </c>
      <c r="L556" s="54">
        <f>IF(K556:K1555&lt;50000,"0-50",IF(K556:K1555&lt;100001,"51-100",IF(K556:K1555&lt;150001,"101-150",IF(K556:K1555&lt;200001,"151-200",IF(K556:K1555&lt;250001,"201-250","above 250")))))</f>
      </c>
      <c r="M556" s="57">
        <v>0</v>
      </c>
      <c r="N556" s="45" t="s">
        <v>9</v>
      </c>
      <c r="O556" s="45" t="s">
        <v>63</v>
      </c>
      <c r="P556" s="51"/>
      <c r="Q556" s="52">
        <f>IF(ISBLANK(P556:P1555), "", DATEDIF(J556:J1555, P556:P1555, "Y"))</f>
      </c>
    </row>
    <row x14ac:dyDescent="0.25" r="557" customHeight="1" ht="15.75">
      <c r="A557" s="45" t="s">
        <v>1650</v>
      </c>
      <c r="B557" s="45" t="s">
        <v>880</v>
      </c>
      <c r="C557" s="45" t="s">
        <v>132</v>
      </c>
      <c r="D557" s="45" t="s">
        <v>28</v>
      </c>
      <c r="E557" s="45" t="s">
        <v>1100</v>
      </c>
      <c r="F557" s="45" t="s">
        <v>7</v>
      </c>
      <c r="G557" s="45" t="s">
        <v>17</v>
      </c>
      <c r="H557" s="53">
        <v>55</v>
      </c>
      <c r="I557" s="54">
        <f>IF(H557:H1556&lt;45, "Adult", IF(H557:H1556&lt;60, "Middle Age", IF(H557:H1556&lt;70, "Old", "Very Old")))</f>
      </c>
      <c r="J557" s="55">
        <v>42772</v>
      </c>
      <c r="K557" s="56">
        <v>144986</v>
      </c>
      <c r="L557" s="54">
        <f>IF(K557:K1556&lt;50000,"0-50",IF(K557:K1556&lt;100001,"51-100",IF(K557:K1556&lt;150001,"101-150",IF(K557:K1556&lt;200001,"151-200",IF(K557:K1556&lt;250001,"201-250","above 250")))))</f>
      </c>
      <c r="M557" s="57">
        <v>0.12</v>
      </c>
      <c r="N557" s="45" t="s">
        <v>15</v>
      </c>
      <c r="O557" s="45" t="s">
        <v>61</v>
      </c>
      <c r="P557" s="51"/>
      <c r="Q557" s="52">
        <f>IF(ISBLANK(P557:P1556), "", DATEDIF(J557:J1556, P557:P1556, "Y"))</f>
      </c>
    </row>
    <row x14ac:dyDescent="0.25" r="558" customHeight="1" ht="15.75">
      <c r="A558" s="45" t="s">
        <v>1651</v>
      </c>
      <c r="B558" s="45" t="s">
        <v>599</v>
      </c>
      <c r="C558" s="45" t="s">
        <v>78</v>
      </c>
      <c r="D558" s="45" t="s">
        <v>36</v>
      </c>
      <c r="E558" s="45" t="s">
        <v>1096</v>
      </c>
      <c r="F558" s="45" t="s">
        <v>7</v>
      </c>
      <c r="G558" s="45" t="s">
        <v>8</v>
      </c>
      <c r="H558" s="53">
        <v>45</v>
      </c>
      <c r="I558" s="54">
        <f>IF(H558:H1557&lt;45, "Adult", IF(H558:H1557&lt;60, "Middle Age", IF(H558:H1557&lt;70, "Old", "Very Old")))</f>
      </c>
      <c r="J558" s="55">
        <v>36754</v>
      </c>
      <c r="K558" s="56">
        <v>60113</v>
      </c>
      <c r="L558" s="54">
        <f>IF(K558:K1557&lt;50000,"0-50",IF(K558:K1557&lt;100001,"51-100",IF(K558:K1557&lt;150001,"101-150",IF(K558:K1557&lt;200001,"151-200",IF(K558:K1557&lt;250001,"201-250","above 250")))))</f>
      </c>
      <c r="M558" s="57">
        <v>0</v>
      </c>
      <c r="N558" s="45" t="s">
        <v>15</v>
      </c>
      <c r="O558" s="45" t="s">
        <v>51</v>
      </c>
      <c r="P558" s="51"/>
      <c r="Q558" s="52">
        <f>IF(ISBLANK(P558:P1557), "", DATEDIF(J558:J1557, P558:P1557, "Y"))</f>
      </c>
    </row>
    <row x14ac:dyDescent="0.25" r="559" customHeight="1" ht="15.75">
      <c r="A559" s="45" t="s">
        <v>1652</v>
      </c>
      <c r="B559" s="45" t="s">
        <v>788</v>
      </c>
      <c r="C559" s="45" t="s">
        <v>104</v>
      </c>
      <c r="D559" s="45" t="s">
        <v>30</v>
      </c>
      <c r="E559" s="45" t="s">
        <v>1092</v>
      </c>
      <c r="F559" s="45" t="s">
        <v>7</v>
      </c>
      <c r="G559" s="45" t="s">
        <v>17</v>
      </c>
      <c r="H559" s="53">
        <v>52</v>
      </c>
      <c r="I559" s="54">
        <f>IF(H559:H1558&lt;45, "Adult", IF(H559:H1558&lt;60, "Middle Age", IF(H559:H1558&lt;70, "Old", "Very Old")))</f>
      </c>
      <c r="J559" s="55">
        <v>44304</v>
      </c>
      <c r="K559" s="56">
        <v>50548</v>
      </c>
      <c r="L559" s="54">
        <f>IF(K559:K1558&lt;50000,"0-50",IF(K559:K1558&lt;100001,"51-100",IF(K559:K1558&lt;150001,"101-150",IF(K559:K1558&lt;200001,"151-200",IF(K559:K1558&lt;250001,"201-250","above 250")))))</f>
      </c>
      <c r="M559" s="57">
        <v>0</v>
      </c>
      <c r="N559" s="45" t="s">
        <v>9</v>
      </c>
      <c r="O559" s="45" t="s">
        <v>65</v>
      </c>
      <c r="P559" s="51"/>
      <c r="Q559" s="52">
        <f>IF(ISBLANK(P559:P1558), "", DATEDIF(J559:J1558, P559:P1558, "Y"))</f>
      </c>
    </row>
    <row x14ac:dyDescent="0.25" r="560" customHeight="1" ht="15.75">
      <c r="A560" s="45" t="s">
        <v>1653</v>
      </c>
      <c r="B560" s="45" t="s">
        <v>293</v>
      </c>
      <c r="C560" s="45" t="s">
        <v>82</v>
      </c>
      <c r="D560" s="45" t="s">
        <v>34</v>
      </c>
      <c r="E560" s="45" t="s">
        <v>1094</v>
      </c>
      <c r="F560" s="45" t="s">
        <v>7</v>
      </c>
      <c r="G560" s="45" t="s">
        <v>14</v>
      </c>
      <c r="H560" s="53">
        <v>33</v>
      </c>
      <c r="I560" s="54">
        <f>IF(H560:H1559&lt;45, "Adult", IF(H560:H1559&lt;60, "Middle Age", IF(H560:H1559&lt;70, "Old", "Very Old")))</f>
      </c>
      <c r="J560" s="55">
        <v>43904</v>
      </c>
      <c r="K560" s="56">
        <v>68846</v>
      </c>
      <c r="L560" s="54">
        <f>IF(K560:K1559&lt;50000,"0-50",IF(K560:K1559&lt;100001,"51-100",IF(K560:K1559&lt;150001,"101-150",IF(K560:K1559&lt;200001,"151-200",IF(K560:K1559&lt;250001,"201-250","above 250")))))</f>
      </c>
      <c r="M560" s="57">
        <v>0</v>
      </c>
      <c r="N560" s="45" t="s">
        <v>15</v>
      </c>
      <c r="O560" s="45" t="s">
        <v>51</v>
      </c>
      <c r="P560" s="51"/>
      <c r="Q560" s="52">
        <f>IF(ISBLANK(P560:P1559), "", DATEDIF(J560:J1559, P560:P1559, "Y"))</f>
      </c>
    </row>
    <row x14ac:dyDescent="0.25" r="561" customHeight="1" ht="15.75">
      <c r="A561" s="45" t="s">
        <v>1654</v>
      </c>
      <c r="B561" s="45" t="s">
        <v>967</v>
      </c>
      <c r="C561" s="45" t="s">
        <v>124</v>
      </c>
      <c r="D561" s="45" t="s">
        <v>32</v>
      </c>
      <c r="E561" s="45" t="s">
        <v>1100</v>
      </c>
      <c r="F561" s="45" t="s">
        <v>7</v>
      </c>
      <c r="G561" s="45" t="s">
        <v>17</v>
      </c>
      <c r="H561" s="53">
        <v>59</v>
      </c>
      <c r="I561" s="54">
        <f>IF(H561:H1560&lt;45, "Adult", IF(H561:H1560&lt;60, "Middle Age", IF(H561:H1560&lt;70, "Old", "Very Old")))</f>
      </c>
      <c r="J561" s="55">
        <v>41717</v>
      </c>
      <c r="K561" s="56">
        <v>90901</v>
      </c>
      <c r="L561" s="54">
        <f>IF(K561:K1560&lt;50000,"0-50",IF(K561:K1560&lt;100001,"51-100",IF(K561:K1560&lt;150001,"101-150",IF(K561:K1560&lt;200001,"151-200",IF(K561:K1560&lt;250001,"201-250","above 250")))))</f>
      </c>
      <c r="M561" s="57">
        <v>0</v>
      </c>
      <c r="N561" s="45" t="s">
        <v>15</v>
      </c>
      <c r="O561" s="45" t="s">
        <v>67</v>
      </c>
      <c r="P561" s="51"/>
      <c r="Q561" s="52">
        <f>IF(ISBLANK(P561:P1560), "", DATEDIF(J561:J1560, P561:P1560, "Y"))</f>
      </c>
    </row>
    <row x14ac:dyDescent="0.25" r="562" customHeight="1" ht="15.75">
      <c r="A562" s="45" t="s">
        <v>1655</v>
      </c>
      <c r="B562" s="45" t="s">
        <v>746</v>
      </c>
      <c r="C562" s="45" t="s">
        <v>110</v>
      </c>
      <c r="D562" s="45" t="s">
        <v>24</v>
      </c>
      <c r="E562" s="45" t="s">
        <v>1100</v>
      </c>
      <c r="F562" s="45" t="s">
        <v>7</v>
      </c>
      <c r="G562" s="45" t="s">
        <v>8</v>
      </c>
      <c r="H562" s="53">
        <v>50</v>
      </c>
      <c r="I562" s="54">
        <f>IF(H562:H1561&lt;45, "Adult", IF(H562:H1561&lt;60, "Middle Age", IF(H562:H1561&lt;70, "Old", "Very Old")))</f>
      </c>
      <c r="J562" s="55">
        <v>41155</v>
      </c>
      <c r="K562" s="56">
        <v>102033</v>
      </c>
      <c r="L562" s="54">
        <f>IF(K562:K1561&lt;50000,"0-50",IF(K562:K1561&lt;100001,"51-100",IF(K562:K1561&lt;150001,"101-150",IF(K562:K1561&lt;200001,"151-200",IF(K562:K1561&lt;250001,"201-250","above 250")))))</f>
      </c>
      <c r="M562" s="57">
        <v>0.08</v>
      </c>
      <c r="N562" s="45" t="s">
        <v>15</v>
      </c>
      <c r="O562" s="45" t="s">
        <v>42</v>
      </c>
      <c r="P562" s="51"/>
      <c r="Q562" s="52">
        <f>IF(ISBLANK(P562:P1561), "", DATEDIF(J562:J1561, P562:P1561, "Y"))</f>
      </c>
    </row>
    <row x14ac:dyDescent="0.25" r="563" customHeight="1" ht="15.75">
      <c r="A563" s="45" t="s">
        <v>1656</v>
      </c>
      <c r="B563" s="45" t="s">
        <v>1002</v>
      </c>
      <c r="C563" s="45" t="s">
        <v>96</v>
      </c>
      <c r="D563" s="45" t="s">
        <v>36</v>
      </c>
      <c r="E563" s="45" t="s">
        <v>1094</v>
      </c>
      <c r="F563" s="45" t="s">
        <v>7</v>
      </c>
      <c r="G563" s="45" t="s">
        <v>14</v>
      </c>
      <c r="H563" s="53">
        <v>61</v>
      </c>
      <c r="I563" s="54">
        <f>IF(H563:H1562&lt;45, "Adult", IF(H563:H1562&lt;60, "Middle Age", IF(H563:H1562&lt;70, "Old", "Very Old")))</f>
      </c>
      <c r="J563" s="55">
        <v>44219</v>
      </c>
      <c r="K563" s="56">
        <v>151783</v>
      </c>
      <c r="L563" s="54">
        <f>IF(K563:K1562&lt;50000,"0-50",IF(K563:K1562&lt;100001,"51-100",IF(K563:K1562&lt;150001,"101-150",IF(K563:K1562&lt;200001,"151-200",IF(K563:K1562&lt;250001,"201-250","above 250")))))</f>
      </c>
      <c r="M563" s="57">
        <v>0.26</v>
      </c>
      <c r="N563" s="45" t="s">
        <v>15</v>
      </c>
      <c r="O563" s="45" t="s">
        <v>67</v>
      </c>
      <c r="P563" s="51"/>
      <c r="Q563" s="52">
        <f>IF(ISBLANK(P563:P1562), "", DATEDIF(J563:J1562, P563:P1562, "Y"))</f>
      </c>
    </row>
    <row x14ac:dyDescent="0.25" r="564" customHeight="1" ht="15.75">
      <c r="A564" s="45" t="s">
        <v>1657</v>
      </c>
      <c r="B564" s="45" t="s">
        <v>144</v>
      </c>
      <c r="C564" s="45" t="s">
        <v>96</v>
      </c>
      <c r="D564" s="45" t="s">
        <v>26</v>
      </c>
      <c r="E564" s="45" t="s">
        <v>1100</v>
      </c>
      <c r="F564" s="45" t="s">
        <v>7</v>
      </c>
      <c r="G564" s="45" t="s">
        <v>17</v>
      </c>
      <c r="H564" s="53">
        <v>27</v>
      </c>
      <c r="I564" s="54">
        <f>IF(H564:H1563&lt;45, "Adult", IF(H564:H1563&lt;60, "Middle Age", IF(H564:H1563&lt;70, "Old", "Very Old")))</f>
      </c>
      <c r="J564" s="55">
        <v>43441</v>
      </c>
      <c r="K564" s="56">
        <v>170164</v>
      </c>
      <c r="L564" s="54">
        <f>IF(K564:K1563&lt;50000,"0-50",IF(K564:K1563&lt;100001,"51-100",IF(K564:K1563&lt;150001,"101-150",IF(K564:K1563&lt;200001,"151-200",IF(K564:K1563&lt;250001,"201-250","above 250")))))</f>
      </c>
      <c r="M564" s="57">
        <v>0.17</v>
      </c>
      <c r="N564" s="45" t="s">
        <v>15</v>
      </c>
      <c r="O564" s="45" t="s">
        <v>42</v>
      </c>
      <c r="P564" s="51"/>
      <c r="Q564" s="52">
        <f>IF(ISBLANK(P564:P1563), "", DATEDIF(J564:J1563, P564:P1563, "Y"))</f>
      </c>
    </row>
    <row x14ac:dyDescent="0.25" r="565" customHeight="1" ht="15.75">
      <c r="A565" s="45" t="s">
        <v>1658</v>
      </c>
      <c r="B565" s="45" t="s">
        <v>341</v>
      </c>
      <c r="C565" s="45" t="s">
        <v>132</v>
      </c>
      <c r="D565" s="45" t="s">
        <v>34</v>
      </c>
      <c r="E565" s="45" t="s">
        <v>1096</v>
      </c>
      <c r="F565" s="45" t="s">
        <v>7</v>
      </c>
      <c r="G565" s="45" t="s">
        <v>8</v>
      </c>
      <c r="H565" s="53">
        <v>35</v>
      </c>
      <c r="I565" s="54">
        <f>IF(H565:H1564&lt;45, "Adult", IF(H565:H1564&lt;60, "Middle Age", IF(H565:H1564&lt;70, "Old", "Very Old")))</f>
      </c>
      <c r="J565" s="55">
        <v>41690</v>
      </c>
      <c r="K565" s="56">
        <v>155905</v>
      </c>
      <c r="L565" s="54">
        <f>IF(K565:K1564&lt;50000,"0-50",IF(K565:K1564&lt;100001,"51-100",IF(K565:K1564&lt;150001,"101-150",IF(K565:K1564&lt;200001,"151-200",IF(K565:K1564&lt;250001,"201-250","above 250")))))</f>
      </c>
      <c r="M565" s="57">
        <v>0.14</v>
      </c>
      <c r="N565" s="45" t="s">
        <v>15</v>
      </c>
      <c r="O565" s="45" t="s">
        <v>61</v>
      </c>
      <c r="P565" s="51"/>
      <c r="Q565" s="52">
        <f>IF(ISBLANK(P565:P1564), "", DATEDIF(J565:J1564, P565:P1564, "Y"))</f>
      </c>
    </row>
    <row x14ac:dyDescent="0.25" r="566" customHeight="1" ht="15.75">
      <c r="A566" s="45" t="s">
        <v>1659</v>
      </c>
      <c r="B566" s="45" t="s">
        <v>459</v>
      </c>
      <c r="C566" s="45" t="s">
        <v>80</v>
      </c>
      <c r="D566" s="45" t="s">
        <v>36</v>
      </c>
      <c r="E566" s="45" t="s">
        <v>1100</v>
      </c>
      <c r="F566" s="45" t="s">
        <v>10</v>
      </c>
      <c r="G566" s="45" t="s">
        <v>8</v>
      </c>
      <c r="H566" s="53">
        <v>40</v>
      </c>
      <c r="I566" s="54">
        <f>IF(H566:H1565&lt;45, "Adult", IF(H566:H1565&lt;60, "Middle Age", IF(H566:H1565&lt;70, "Old", "Very Old")))</f>
      </c>
      <c r="J566" s="55">
        <v>42721</v>
      </c>
      <c r="K566" s="56">
        <v>50733</v>
      </c>
      <c r="L566" s="54">
        <f>IF(K566:K1565&lt;50000,"0-50",IF(K566:K1565&lt;100001,"51-100",IF(K566:K1565&lt;150001,"101-150",IF(K566:K1565&lt;200001,"151-200",IF(K566:K1565&lt;250001,"201-250","above 250")))))</f>
      </c>
      <c r="M566" s="57">
        <v>0</v>
      </c>
      <c r="N566" s="45" t="s">
        <v>15</v>
      </c>
      <c r="O566" s="45" t="s">
        <v>59</v>
      </c>
      <c r="P566" s="51"/>
      <c r="Q566" s="52">
        <f>IF(ISBLANK(P566:P1565), "", DATEDIF(J566:J1565, P566:P1565, "Y"))</f>
      </c>
    </row>
    <row x14ac:dyDescent="0.25" r="567" customHeight="1" ht="15.75">
      <c r="A567" s="45" t="s">
        <v>1660</v>
      </c>
      <c r="B567" s="45" t="s">
        <v>228</v>
      </c>
      <c r="C567" s="45" t="s">
        <v>130</v>
      </c>
      <c r="D567" s="45" t="s">
        <v>30</v>
      </c>
      <c r="E567" s="45" t="s">
        <v>1100</v>
      </c>
      <c r="F567" s="45" t="s">
        <v>7</v>
      </c>
      <c r="G567" s="45" t="s">
        <v>14</v>
      </c>
      <c r="H567" s="53">
        <v>30</v>
      </c>
      <c r="I567" s="54">
        <f>IF(H567:H1566&lt;45, "Adult", IF(H567:H1566&lt;60, "Middle Age", IF(H567:H1566&lt;70, "Old", "Very Old")))</f>
      </c>
      <c r="J567" s="55">
        <v>42761</v>
      </c>
      <c r="K567" s="56">
        <v>88663</v>
      </c>
      <c r="L567" s="54">
        <f>IF(K567:K1566&lt;50000,"0-50",IF(K567:K1566&lt;100001,"51-100",IF(K567:K1566&lt;150001,"101-150",IF(K567:K1566&lt;200001,"151-200",IF(K567:K1566&lt;250001,"201-250","above 250")))))</f>
      </c>
      <c r="M567" s="57">
        <v>0</v>
      </c>
      <c r="N567" s="45" t="s">
        <v>15</v>
      </c>
      <c r="O567" s="45" t="s">
        <v>61</v>
      </c>
      <c r="P567" s="51"/>
      <c r="Q567" s="52">
        <f>IF(ISBLANK(P567:P1566), "", DATEDIF(J567:J1566, P567:P1566, "Y"))</f>
      </c>
    </row>
    <row x14ac:dyDescent="0.25" r="568" customHeight="1" ht="15.75">
      <c r="A568" s="45" t="s">
        <v>1661</v>
      </c>
      <c r="B568" s="45" t="s">
        <v>989</v>
      </c>
      <c r="C568" s="45" t="s">
        <v>102</v>
      </c>
      <c r="D568" s="45" t="s">
        <v>26</v>
      </c>
      <c r="E568" s="45" t="s">
        <v>1094</v>
      </c>
      <c r="F568" s="45" t="s">
        <v>10</v>
      </c>
      <c r="G568" s="45" t="s">
        <v>8</v>
      </c>
      <c r="H568" s="53">
        <v>60</v>
      </c>
      <c r="I568" s="54">
        <f>IF(H568:H1567&lt;45, "Adult", IF(H568:H1567&lt;60, "Middle Age", IF(H568:H1567&lt;70, "Old", "Very Old")))</f>
      </c>
      <c r="J568" s="55">
        <v>33890</v>
      </c>
      <c r="K568" s="56">
        <v>88213</v>
      </c>
      <c r="L568" s="54">
        <f>IF(K568:K1567&lt;50000,"0-50",IF(K568:K1567&lt;100001,"51-100",IF(K568:K1567&lt;150001,"101-150",IF(K568:K1567&lt;200001,"151-200",IF(K568:K1567&lt;250001,"201-250","above 250")))))</f>
      </c>
      <c r="M568" s="57">
        <v>0</v>
      </c>
      <c r="N568" s="45" t="s">
        <v>12</v>
      </c>
      <c r="O568" s="45" t="s">
        <v>53</v>
      </c>
      <c r="P568" s="51"/>
      <c r="Q568" s="52">
        <f>IF(ISBLANK(P568:P1567), "", DATEDIF(J568:J1567, P568:P1567, "Y"))</f>
      </c>
    </row>
    <row x14ac:dyDescent="0.25" r="569" customHeight="1" ht="15.75">
      <c r="A569" s="45" t="s">
        <v>1662</v>
      </c>
      <c r="B569" s="45" t="s">
        <v>881</v>
      </c>
      <c r="C569" s="45" t="s">
        <v>82</v>
      </c>
      <c r="D569" s="45" t="s">
        <v>36</v>
      </c>
      <c r="E569" s="45" t="s">
        <v>1096</v>
      </c>
      <c r="F569" s="45" t="s">
        <v>10</v>
      </c>
      <c r="G569" s="45" t="s">
        <v>8</v>
      </c>
      <c r="H569" s="53">
        <v>55</v>
      </c>
      <c r="I569" s="54">
        <f>IF(H569:H1568&lt;45, "Adult", IF(H569:H1568&lt;60, "Middle Age", IF(H569:H1568&lt;70, "Old", "Very Old")))</f>
      </c>
      <c r="J569" s="55">
        <v>44410</v>
      </c>
      <c r="K569" s="56">
        <v>67130</v>
      </c>
      <c r="L569" s="54">
        <f>IF(K569:K1568&lt;50000,"0-50",IF(K569:K1568&lt;100001,"51-100",IF(K569:K1568&lt;150001,"101-150",IF(K569:K1568&lt;200001,"151-200",IF(K569:K1568&lt;250001,"201-250","above 250")))))</f>
      </c>
      <c r="M569" s="57">
        <v>0</v>
      </c>
      <c r="N569" s="45" t="s">
        <v>15</v>
      </c>
      <c r="O569" s="45" t="s">
        <v>59</v>
      </c>
      <c r="P569" s="51"/>
      <c r="Q569" s="52">
        <f>IF(ISBLANK(P569:P1568), "", DATEDIF(J569:J1568, P569:P1568, "Y"))</f>
      </c>
    </row>
    <row x14ac:dyDescent="0.25" r="570" customHeight="1" ht="15.75">
      <c r="A570" s="45" t="s">
        <v>1663</v>
      </c>
      <c r="B570" s="45" t="s">
        <v>296</v>
      </c>
      <c r="C570" s="45" t="s">
        <v>128</v>
      </c>
      <c r="D570" s="45" t="s">
        <v>28</v>
      </c>
      <c r="E570" s="45" t="s">
        <v>1096</v>
      </c>
      <c r="F570" s="45" t="s">
        <v>7</v>
      </c>
      <c r="G570" s="45" t="s">
        <v>8</v>
      </c>
      <c r="H570" s="53">
        <v>33</v>
      </c>
      <c r="I570" s="54">
        <f>IF(H570:H1569&lt;45, "Adult", IF(H570:H1569&lt;60, "Middle Age", IF(H570:H1569&lt;70, "Old", "Very Old")))</f>
      </c>
      <c r="J570" s="55">
        <v>42285</v>
      </c>
      <c r="K570" s="56">
        <v>94876</v>
      </c>
      <c r="L570" s="54">
        <f>IF(K570:K1569&lt;50000,"0-50",IF(K570:K1569&lt;100001,"51-100",IF(K570:K1569&lt;150001,"101-150",IF(K570:K1569&lt;200001,"151-200",IF(K570:K1569&lt;250001,"201-250","above 250")))))</f>
      </c>
      <c r="M570" s="57">
        <v>0</v>
      </c>
      <c r="N570" s="45" t="s">
        <v>15</v>
      </c>
      <c r="O570" s="45" t="s">
        <v>59</v>
      </c>
      <c r="P570" s="51"/>
      <c r="Q570" s="52">
        <f>IF(ISBLANK(P570:P1569), "", DATEDIF(J570:J1569, P570:P1569, "Y"))</f>
      </c>
    </row>
    <row x14ac:dyDescent="0.25" r="571" customHeight="1" ht="15.75">
      <c r="A571" s="45" t="s">
        <v>1664</v>
      </c>
      <c r="B571" s="45" t="s">
        <v>1018</v>
      </c>
      <c r="C571" s="45" t="s">
        <v>94</v>
      </c>
      <c r="D571" s="45" t="s">
        <v>26</v>
      </c>
      <c r="E571" s="45" t="s">
        <v>1096</v>
      </c>
      <c r="F571" s="45" t="s">
        <v>10</v>
      </c>
      <c r="G571" s="45" t="s">
        <v>17</v>
      </c>
      <c r="H571" s="53">
        <v>62</v>
      </c>
      <c r="I571" s="54">
        <f>IF(H571:H1570&lt;45, "Adult", IF(H571:H1570&lt;60, "Middle Age", IF(H571:H1570&lt;70, "Old", "Very Old")))</f>
      </c>
      <c r="J571" s="55">
        <v>34616</v>
      </c>
      <c r="K571" s="56">
        <v>98230</v>
      </c>
      <c r="L571" s="54">
        <f>IF(K571:K1570&lt;50000,"0-50",IF(K571:K1570&lt;100001,"51-100",IF(K571:K1570&lt;150001,"101-150",IF(K571:K1570&lt;200001,"151-200",IF(K571:K1570&lt;250001,"201-250","above 250")))))</f>
      </c>
      <c r="M571" s="57">
        <v>0</v>
      </c>
      <c r="N571" s="45" t="s">
        <v>15</v>
      </c>
      <c r="O571" s="45" t="s">
        <v>59</v>
      </c>
      <c r="P571" s="51"/>
      <c r="Q571" s="52">
        <f>IF(ISBLANK(P571:P1570), "", DATEDIF(J571:J1570, P571:P1570, "Y"))</f>
      </c>
    </row>
    <row x14ac:dyDescent="0.25" r="572" customHeight="1" ht="15.75">
      <c r="A572" s="45" t="s">
        <v>1665</v>
      </c>
      <c r="B572" s="45" t="s">
        <v>370</v>
      </c>
      <c r="C572" s="45" t="s">
        <v>140</v>
      </c>
      <c r="D572" s="45" t="s">
        <v>26</v>
      </c>
      <c r="E572" s="45" t="s">
        <v>1092</v>
      </c>
      <c r="F572" s="45" t="s">
        <v>7</v>
      </c>
      <c r="G572" s="45" t="s">
        <v>8</v>
      </c>
      <c r="H572" s="53">
        <v>36</v>
      </c>
      <c r="I572" s="54">
        <f>IF(H572:H1571&lt;45, "Adult", IF(H572:H1571&lt;60, "Middle Age", IF(H572:H1571&lt;70, "Old", "Very Old")))</f>
      </c>
      <c r="J572" s="55">
        <v>43448</v>
      </c>
      <c r="K572" s="56">
        <v>96757</v>
      </c>
      <c r="L572" s="54">
        <f>IF(K572:K1571&lt;50000,"0-50",IF(K572:K1571&lt;100001,"51-100",IF(K572:K1571&lt;150001,"101-150",IF(K572:K1571&lt;200001,"151-200",IF(K572:K1571&lt;250001,"201-250","above 250")))))</f>
      </c>
      <c r="M572" s="57">
        <v>0</v>
      </c>
      <c r="N572" s="45" t="s">
        <v>15</v>
      </c>
      <c r="O572" s="45" t="s">
        <v>55</v>
      </c>
      <c r="P572" s="51"/>
      <c r="Q572" s="52">
        <f>IF(ISBLANK(P572:P1571), "", DATEDIF(J572:J1571, P572:P1571, "Y"))</f>
      </c>
    </row>
    <row x14ac:dyDescent="0.25" r="573" customHeight="1" ht="15.75">
      <c r="A573" s="45" t="s">
        <v>1666</v>
      </c>
      <c r="B573" s="45" t="s">
        <v>340</v>
      </c>
      <c r="C573" s="45" t="s">
        <v>82</v>
      </c>
      <c r="D573" s="45" t="s">
        <v>34</v>
      </c>
      <c r="E573" s="45" t="s">
        <v>1094</v>
      </c>
      <c r="F573" s="45" t="s">
        <v>10</v>
      </c>
      <c r="G573" s="45" t="s">
        <v>11</v>
      </c>
      <c r="H573" s="53">
        <v>35</v>
      </c>
      <c r="I573" s="54">
        <f>IF(H573:H1572&lt;45, "Adult", IF(H573:H1572&lt;60, "Middle Age", IF(H573:H1572&lt;70, "Old", "Very Old")))</f>
      </c>
      <c r="J573" s="55">
        <v>44015</v>
      </c>
      <c r="K573" s="56">
        <v>51513</v>
      </c>
      <c r="L573" s="54">
        <f>IF(K573:K1572&lt;50000,"0-50",IF(K573:K1572&lt;100001,"51-100",IF(K573:K1572&lt;150001,"101-150",IF(K573:K1572&lt;200001,"151-200",IF(K573:K1572&lt;250001,"201-250","above 250")))))</f>
      </c>
      <c r="M573" s="57">
        <v>0</v>
      </c>
      <c r="N573" s="45" t="s">
        <v>15</v>
      </c>
      <c r="O573" s="45" t="s">
        <v>55</v>
      </c>
      <c r="P573" s="51"/>
      <c r="Q573" s="52">
        <f>IF(ISBLANK(P573:P1572), "", DATEDIF(J573:J1572, P573:P1572, "Y"))</f>
      </c>
    </row>
    <row x14ac:dyDescent="0.25" r="574" customHeight="1" ht="15.75">
      <c r="A574" s="45" t="s">
        <v>1667</v>
      </c>
      <c r="B574" s="45" t="s">
        <v>983</v>
      </c>
      <c r="C574" s="45" t="s">
        <v>142</v>
      </c>
      <c r="D574" s="45" t="s">
        <v>34</v>
      </c>
      <c r="E574" s="45" t="s">
        <v>1100</v>
      </c>
      <c r="F574" s="45" t="s">
        <v>10</v>
      </c>
      <c r="G574" s="45" t="s">
        <v>8</v>
      </c>
      <c r="H574" s="53">
        <v>60</v>
      </c>
      <c r="I574" s="54">
        <f>IF(H574:H1573&lt;45, "Adult", IF(H574:H1573&lt;60, "Middle Age", IF(H574:H1573&lt;70, "Old", "Very Old")))</f>
      </c>
      <c r="J574" s="55">
        <v>39109</v>
      </c>
      <c r="K574" s="56">
        <v>234311</v>
      </c>
      <c r="L574" s="54">
        <f>IF(K574:K1573&lt;50000,"0-50",IF(K574:K1573&lt;100001,"51-100",IF(K574:K1573&lt;150001,"101-150",IF(K574:K1573&lt;200001,"151-200",IF(K574:K1573&lt;250001,"201-250","above 250")))))</f>
      </c>
      <c r="M574" s="57">
        <v>0.37</v>
      </c>
      <c r="N574" s="45" t="s">
        <v>15</v>
      </c>
      <c r="O574" s="45" t="s">
        <v>59</v>
      </c>
      <c r="P574" s="51"/>
      <c r="Q574" s="52">
        <f>IF(ISBLANK(P574:P1573), "", DATEDIF(J574:J1573, P574:P1573, "Y"))</f>
      </c>
    </row>
    <row x14ac:dyDescent="0.25" r="575" customHeight="1" ht="15.75">
      <c r="A575" s="45" t="s">
        <v>1668</v>
      </c>
      <c r="B575" s="45" t="s">
        <v>600</v>
      </c>
      <c r="C575" s="45" t="s">
        <v>132</v>
      </c>
      <c r="D575" s="45" t="s">
        <v>30</v>
      </c>
      <c r="E575" s="45" t="s">
        <v>1096</v>
      </c>
      <c r="F575" s="45" t="s">
        <v>7</v>
      </c>
      <c r="G575" s="45" t="s">
        <v>17</v>
      </c>
      <c r="H575" s="53">
        <v>45</v>
      </c>
      <c r="I575" s="54">
        <f>IF(H575:H1574&lt;45, "Adult", IF(H575:H1574&lt;60, "Middle Age", IF(H575:H1574&lt;70, "Old", "Very Old")))</f>
      </c>
      <c r="J575" s="55">
        <v>40685</v>
      </c>
      <c r="K575" s="56">
        <v>152353</v>
      </c>
      <c r="L575" s="54">
        <f>IF(K575:K1574&lt;50000,"0-50",IF(K575:K1574&lt;100001,"51-100",IF(K575:K1574&lt;150001,"101-150",IF(K575:K1574&lt;200001,"151-200",IF(K575:K1574&lt;250001,"201-250","above 250")))))</f>
      </c>
      <c r="M575" s="57">
        <v>0.14</v>
      </c>
      <c r="N575" s="45" t="s">
        <v>15</v>
      </c>
      <c r="O575" s="45" t="s">
        <v>67</v>
      </c>
      <c r="P575" s="51"/>
      <c r="Q575" s="52">
        <f>IF(ISBLANK(P575:P1574), "", DATEDIF(J575:J1574, P575:P1574, "Y"))</f>
      </c>
    </row>
    <row x14ac:dyDescent="0.25" r="576" customHeight="1" ht="15.75">
      <c r="A576" s="45" t="s">
        <v>1669</v>
      </c>
      <c r="B576" s="45" t="s">
        <v>693</v>
      </c>
      <c r="C576" s="45" t="s">
        <v>132</v>
      </c>
      <c r="D576" s="45" t="s">
        <v>24</v>
      </c>
      <c r="E576" s="45" t="s">
        <v>1096</v>
      </c>
      <c r="F576" s="45" t="s">
        <v>7</v>
      </c>
      <c r="G576" s="45" t="s">
        <v>14</v>
      </c>
      <c r="H576" s="53">
        <v>48</v>
      </c>
      <c r="I576" s="54">
        <f>IF(H576:H1575&lt;45, "Adult", IF(H576:H1575&lt;60, "Middle Age", IF(H576:H1575&lt;70, "Old", "Very Old")))</f>
      </c>
      <c r="J576" s="55">
        <v>40389</v>
      </c>
      <c r="K576" s="56">
        <v>124774</v>
      </c>
      <c r="L576" s="54">
        <f>IF(K576:K1575&lt;50000,"0-50",IF(K576:K1575&lt;100001,"51-100",IF(K576:K1575&lt;150001,"101-150",IF(K576:K1575&lt;200001,"151-200",IF(K576:K1575&lt;250001,"201-250","above 250")))))</f>
      </c>
      <c r="M576" s="57">
        <v>0.12</v>
      </c>
      <c r="N576" s="45" t="s">
        <v>15</v>
      </c>
      <c r="O576" s="45" t="s">
        <v>61</v>
      </c>
      <c r="P576" s="51"/>
      <c r="Q576" s="52">
        <f>IF(ISBLANK(P576:P1575), "", DATEDIF(J576:J1575, P576:P1575, "Y"))</f>
      </c>
    </row>
    <row x14ac:dyDescent="0.25" r="577" customHeight="1" ht="15.75">
      <c r="A577" s="45" t="s">
        <v>1670</v>
      </c>
      <c r="B577" s="45" t="s">
        <v>363</v>
      </c>
      <c r="C577" s="45" t="s">
        <v>96</v>
      </c>
      <c r="D577" s="45" t="s">
        <v>34</v>
      </c>
      <c r="E577" s="45" t="s">
        <v>1100</v>
      </c>
      <c r="F577" s="45" t="s">
        <v>7</v>
      </c>
      <c r="G577" s="45" t="s">
        <v>8</v>
      </c>
      <c r="H577" s="53">
        <v>36</v>
      </c>
      <c r="I577" s="54">
        <f>IF(H577:H1576&lt;45, "Adult", IF(H577:H1576&lt;60, "Middle Age", IF(H577:H1576&lt;70, "Old", "Very Old")))</f>
      </c>
      <c r="J577" s="55">
        <v>40434</v>
      </c>
      <c r="K577" s="56">
        <v>157070</v>
      </c>
      <c r="L577" s="54">
        <f>IF(K577:K1576&lt;50000,"0-50",IF(K577:K1576&lt;100001,"51-100",IF(K577:K1576&lt;150001,"101-150",IF(K577:K1576&lt;200001,"151-200",IF(K577:K1576&lt;250001,"201-250","above 250")))))</f>
      </c>
      <c r="M577" s="57">
        <v>0.28</v>
      </c>
      <c r="N577" s="45" t="s">
        <v>12</v>
      </c>
      <c r="O577" s="45" t="s">
        <v>53</v>
      </c>
      <c r="P577" s="51"/>
      <c r="Q577" s="52">
        <f>IF(ISBLANK(P577:P1576), "", DATEDIF(J577:J1576, P577:P1576, "Y"))</f>
      </c>
    </row>
    <row x14ac:dyDescent="0.25" r="578" customHeight="1" ht="15.75">
      <c r="A578" s="45" t="s">
        <v>1671</v>
      </c>
      <c r="B578" s="45" t="s">
        <v>546</v>
      </c>
      <c r="C578" s="45" t="s">
        <v>132</v>
      </c>
      <c r="D578" s="45" t="s">
        <v>28</v>
      </c>
      <c r="E578" s="45" t="s">
        <v>1096</v>
      </c>
      <c r="F578" s="45" t="s">
        <v>10</v>
      </c>
      <c r="G578" s="45" t="s">
        <v>17</v>
      </c>
      <c r="H578" s="53">
        <v>44</v>
      </c>
      <c r="I578" s="54">
        <f>IF(H578:H1577&lt;45, "Adult", IF(H578:H1577&lt;60, "Middle Age", IF(H578:H1577&lt;70, "Old", "Very Old")))</f>
      </c>
      <c r="J578" s="55">
        <v>43685</v>
      </c>
      <c r="K578" s="56">
        <v>130133</v>
      </c>
      <c r="L578" s="54">
        <f>IF(K578:K1577&lt;50000,"0-50",IF(K578:K1577&lt;100001,"51-100",IF(K578:K1577&lt;150001,"101-150",IF(K578:K1577&lt;200001,"151-200",IF(K578:K1577&lt;250001,"201-250","above 250")))))</f>
      </c>
      <c r="M578" s="57">
        <v>0.15</v>
      </c>
      <c r="N578" s="45" t="s">
        <v>15</v>
      </c>
      <c r="O578" s="45" t="s">
        <v>42</v>
      </c>
      <c r="P578" s="58">
        <v>44699</v>
      </c>
      <c r="Q578" s="53">
        <f>IF(ISBLANK(P578:P1577), "", DATEDIF(J578:J1577, P578:P1577, "Y"))</f>
      </c>
    </row>
    <row x14ac:dyDescent="0.25" r="579" customHeight="1" ht="15.75">
      <c r="A579" s="45" t="s">
        <v>1672</v>
      </c>
      <c r="B579" s="45" t="s">
        <v>1057</v>
      </c>
      <c r="C579" s="45" t="s">
        <v>110</v>
      </c>
      <c r="D579" s="45" t="s">
        <v>34</v>
      </c>
      <c r="E579" s="45" t="s">
        <v>1094</v>
      </c>
      <c r="F579" s="45" t="s">
        <v>7</v>
      </c>
      <c r="G579" s="45" t="s">
        <v>8</v>
      </c>
      <c r="H579" s="53">
        <v>64</v>
      </c>
      <c r="I579" s="54">
        <f>IF(H579:H1578&lt;45, "Adult", IF(H579:H1578&lt;60, "Middle Age", IF(H579:H1578&lt;70, "Old", "Very Old")))</f>
      </c>
      <c r="J579" s="55">
        <v>43729</v>
      </c>
      <c r="K579" s="56">
        <v>108780</v>
      </c>
      <c r="L579" s="54">
        <f>IF(K579:K1578&lt;50000,"0-50",IF(K579:K1578&lt;100001,"51-100",IF(K579:K1578&lt;150001,"101-150",IF(K579:K1578&lt;200001,"151-200",IF(K579:K1578&lt;250001,"201-250","above 250")))))</f>
      </c>
      <c r="M579" s="57">
        <v>0.06</v>
      </c>
      <c r="N579" s="45" t="s">
        <v>12</v>
      </c>
      <c r="O579" s="45" t="s">
        <v>69</v>
      </c>
      <c r="P579" s="51"/>
      <c r="Q579" s="52">
        <f>IF(ISBLANK(P579:P1578), "", DATEDIF(J579:J1578, P579:P1578, "Y"))</f>
      </c>
    </row>
    <row x14ac:dyDescent="0.25" r="580" customHeight="1" ht="15.75">
      <c r="A580" s="45" t="s">
        <v>1673</v>
      </c>
      <c r="B580" s="45" t="s">
        <v>647</v>
      </c>
      <c r="C580" s="45" t="s">
        <v>96</v>
      </c>
      <c r="D580" s="45" t="s">
        <v>26</v>
      </c>
      <c r="E580" s="45" t="s">
        <v>1096</v>
      </c>
      <c r="F580" s="45" t="s">
        <v>7</v>
      </c>
      <c r="G580" s="45" t="s">
        <v>8</v>
      </c>
      <c r="H580" s="53">
        <v>46</v>
      </c>
      <c r="I580" s="54">
        <f>IF(H580:H1579&lt;45, "Adult", IF(H580:H1579&lt;60, "Middle Age", IF(H580:H1579&lt;70, "Old", "Very Old")))</f>
      </c>
      <c r="J580" s="55">
        <v>44125</v>
      </c>
      <c r="K580" s="56">
        <v>151853</v>
      </c>
      <c r="L580" s="54">
        <f>IF(K580:K1579&lt;50000,"0-50",IF(K580:K1579&lt;100001,"51-100",IF(K580:K1579&lt;150001,"101-150",IF(K580:K1579&lt;200001,"151-200",IF(K580:K1579&lt;250001,"201-250","above 250")))))</f>
      </c>
      <c r="M580" s="57">
        <v>0.16</v>
      </c>
      <c r="N580" s="45" t="s">
        <v>12</v>
      </c>
      <c r="O580" s="45" t="s">
        <v>49</v>
      </c>
      <c r="P580" s="51"/>
      <c r="Q580" s="52">
        <f>IF(ISBLANK(P580:P1579), "", DATEDIF(J580:J1579, P580:P1579, "Y"))</f>
      </c>
    </row>
    <row x14ac:dyDescent="0.25" r="581" customHeight="1" ht="15.75">
      <c r="A581" s="45" t="s">
        <v>1674</v>
      </c>
      <c r="B581" s="45" t="s">
        <v>1019</v>
      </c>
      <c r="C581" s="45" t="s">
        <v>78</v>
      </c>
      <c r="D581" s="45" t="s">
        <v>36</v>
      </c>
      <c r="E581" s="45" t="s">
        <v>1094</v>
      </c>
      <c r="F581" s="45" t="s">
        <v>7</v>
      </c>
      <c r="G581" s="45" t="s">
        <v>8</v>
      </c>
      <c r="H581" s="53">
        <v>62</v>
      </c>
      <c r="I581" s="54">
        <f>IF(H581:H1580&lt;45, "Adult", IF(H581:H1580&lt;60, "Middle Age", IF(H581:H1580&lt;70, "Old", "Very Old")))</f>
      </c>
      <c r="J581" s="55">
        <v>38977</v>
      </c>
      <c r="K581" s="56">
        <v>64669</v>
      </c>
      <c r="L581" s="54">
        <f>IF(K581:K1580&lt;50000,"0-50",IF(K581:K1580&lt;100001,"51-100",IF(K581:K1580&lt;150001,"101-150",IF(K581:K1580&lt;200001,"151-200",IF(K581:K1580&lt;250001,"201-250","above 250")))))</f>
      </c>
      <c r="M581" s="57">
        <v>0</v>
      </c>
      <c r="N581" s="45" t="s">
        <v>12</v>
      </c>
      <c r="O581" s="45" t="s">
        <v>53</v>
      </c>
      <c r="P581" s="51"/>
      <c r="Q581" s="52">
        <f>IF(ISBLANK(P581:P1580), "", DATEDIF(J581:J1580, P581:P1580, "Y"))</f>
      </c>
    </row>
    <row x14ac:dyDescent="0.25" r="582" customHeight="1" ht="15.75">
      <c r="A582" s="45" t="s">
        <v>1675</v>
      </c>
      <c r="B582" s="45" t="s">
        <v>1001</v>
      </c>
      <c r="C582" s="45" t="s">
        <v>82</v>
      </c>
      <c r="D582" s="45" t="s">
        <v>34</v>
      </c>
      <c r="E582" s="45" t="s">
        <v>1092</v>
      </c>
      <c r="F582" s="45" t="s">
        <v>10</v>
      </c>
      <c r="G582" s="45" t="s">
        <v>17</v>
      </c>
      <c r="H582" s="53">
        <v>61</v>
      </c>
      <c r="I582" s="54">
        <f>IF(H582:H1581&lt;45, "Adult", IF(H582:H1581&lt;60, "Middle Age", IF(H582:H1581&lt;70, "Old", "Very Old")))</f>
      </c>
      <c r="J582" s="55">
        <v>39568</v>
      </c>
      <c r="K582" s="56">
        <v>69352</v>
      </c>
      <c r="L582" s="54">
        <f>IF(K582:K1581&lt;50000,"0-50",IF(K582:K1581&lt;100001,"51-100",IF(K582:K1581&lt;150001,"101-150",IF(K582:K1581&lt;200001,"151-200",IF(K582:K1581&lt;250001,"201-250","above 250")))))</f>
      </c>
      <c r="M582" s="57">
        <v>0</v>
      </c>
      <c r="N582" s="45" t="s">
        <v>9</v>
      </c>
      <c r="O582" s="45" t="s">
        <v>63</v>
      </c>
      <c r="P582" s="51"/>
      <c r="Q582" s="52">
        <f>IF(ISBLANK(P582:P1581), "", DATEDIF(J582:J1581, P582:P1581, "Y"))</f>
      </c>
    </row>
    <row x14ac:dyDescent="0.25" r="583" customHeight="1" ht="15.75">
      <c r="A583" s="45" t="s">
        <v>1676</v>
      </c>
      <c r="B583" s="45" t="s">
        <v>1076</v>
      </c>
      <c r="C583" s="45" t="s">
        <v>82</v>
      </c>
      <c r="D583" s="45" t="s">
        <v>34</v>
      </c>
      <c r="E583" s="45" t="s">
        <v>1092</v>
      </c>
      <c r="F583" s="45" t="s">
        <v>10</v>
      </c>
      <c r="G583" s="45" t="s">
        <v>8</v>
      </c>
      <c r="H583" s="53">
        <v>65</v>
      </c>
      <c r="I583" s="54">
        <f>IF(H583:H1582&lt;45, "Adult", IF(H583:H1582&lt;60, "Middle Age", IF(H583:H1582&lt;70, "Old", "Very Old")))</f>
      </c>
      <c r="J583" s="55">
        <v>37181</v>
      </c>
      <c r="K583" s="56">
        <v>74631</v>
      </c>
      <c r="L583" s="54">
        <f>IF(K583:K1582&lt;50000,"0-50",IF(K583:K1582&lt;100001,"51-100",IF(K583:K1582&lt;150001,"101-150",IF(K583:K1582&lt;200001,"151-200",IF(K583:K1582&lt;250001,"201-250","above 250")))))</f>
      </c>
      <c r="M583" s="57">
        <v>0</v>
      </c>
      <c r="N583" s="45" t="s">
        <v>12</v>
      </c>
      <c r="O583" s="45" t="s">
        <v>53</v>
      </c>
      <c r="P583" s="51"/>
      <c r="Q583" s="52">
        <f>IF(ISBLANK(P583:P1582), "", DATEDIF(J583:J1582, P583:P1582, "Y"))</f>
      </c>
    </row>
    <row x14ac:dyDescent="0.25" r="584" customHeight="1" ht="15.75">
      <c r="A584" s="45" t="s">
        <v>1677</v>
      </c>
      <c r="B584" s="45" t="s">
        <v>842</v>
      </c>
      <c r="C584" s="45" t="s">
        <v>120</v>
      </c>
      <c r="D584" s="45" t="s">
        <v>26</v>
      </c>
      <c r="E584" s="45" t="s">
        <v>1096</v>
      </c>
      <c r="F584" s="45" t="s">
        <v>10</v>
      </c>
      <c r="G584" s="45" t="s">
        <v>17</v>
      </c>
      <c r="H584" s="53">
        <v>54</v>
      </c>
      <c r="I584" s="54">
        <f>IF(H584:H1583&lt;45, "Adult", IF(H584:H1583&lt;60, "Middle Age", IF(H584:H1583&lt;70, "Old", "Very Old")))</f>
      </c>
      <c r="J584" s="55">
        <v>41028</v>
      </c>
      <c r="K584" s="56">
        <v>96441</v>
      </c>
      <c r="L584" s="54">
        <f>IF(K584:K1583&lt;50000,"0-50",IF(K584:K1583&lt;100001,"51-100",IF(K584:K1583&lt;150001,"101-150",IF(K584:K1583&lt;200001,"151-200",IF(K584:K1583&lt;250001,"201-250","above 250")))))</f>
      </c>
      <c r="M584" s="57">
        <v>0</v>
      </c>
      <c r="N584" s="45" t="s">
        <v>9</v>
      </c>
      <c r="O584" s="45" t="s">
        <v>65</v>
      </c>
      <c r="P584" s="51"/>
      <c r="Q584" s="52">
        <f>IF(ISBLANK(P584:P1583), "", DATEDIF(J584:J1583, P584:P1583, "Y"))</f>
      </c>
    </row>
    <row x14ac:dyDescent="0.25" r="585" customHeight="1" ht="15.75">
      <c r="A585" s="45" t="s">
        <v>1678</v>
      </c>
      <c r="B585" s="45" t="s">
        <v>650</v>
      </c>
      <c r="C585" s="45" t="s">
        <v>98</v>
      </c>
      <c r="D585" s="45" t="s">
        <v>26</v>
      </c>
      <c r="E585" s="45" t="s">
        <v>1096</v>
      </c>
      <c r="F585" s="45" t="s">
        <v>10</v>
      </c>
      <c r="G585" s="45" t="s">
        <v>8</v>
      </c>
      <c r="H585" s="53">
        <v>46</v>
      </c>
      <c r="I585" s="54">
        <f>IF(H585:H1584&lt;45, "Adult", IF(H585:H1584&lt;60, "Middle Age", IF(H585:H1584&lt;70, "Old", "Very Old")))</f>
      </c>
      <c r="J585" s="55">
        <v>40836</v>
      </c>
      <c r="K585" s="56">
        <v>114250</v>
      </c>
      <c r="L585" s="54">
        <f>IF(K585:K1584&lt;50000,"0-50",IF(K585:K1584&lt;100001,"51-100",IF(K585:K1584&lt;150001,"101-150",IF(K585:K1584&lt;200001,"151-200",IF(K585:K1584&lt;250001,"201-250","above 250")))))</f>
      </c>
      <c r="M585" s="57">
        <v>0.14</v>
      </c>
      <c r="N585" s="45" t="s">
        <v>12</v>
      </c>
      <c r="O585" s="45" t="s">
        <v>49</v>
      </c>
      <c r="P585" s="51"/>
      <c r="Q585" s="52">
        <f>IF(ISBLANK(P585:P1584), "", DATEDIF(J585:J1584, P585:P1584, "Y"))</f>
      </c>
    </row>
    <row x14ac:dyDescent="0.25" r="586" customHeight="1" ht="15.75">
      <c r="A586" s="45" t="s">
        <v>1679</v>
      </c>
      <c r="B586" s="45" t="s">
        <v>368</v>
      </c>
      <c r="C586" s="45" t="s">
        <v>90</v>
      </c>
      <c r="D586" s="45" t="s">
        <v>32</v>
      </c>
      <c r="E586" s="45" t="s">
        <v>1100</v>
      </c>
      <c r="F586" s="45" t="s">
        <v>10</v>
      </c>
      <c r="G586" s="45" t="s">
        <v>17</v>
      </c>
      <c r="H586" s="53">
        <v>36</v>
      </c>
      <c r="I586" s="54">
        <f>IF(H586:H1585&lt;45, "Adult", IF(H586:H1585&lt;60, "Middle Age", IF(H586:H1585&lt;70, "Old", "Very Old")))</f>
      </c>
      <c r="J586" s="55">
        <v>44192</v>
      </c>
      <c r="K586" s="56">
        <v>70165</v>
      </c>
      <c r="L586" s="54">
        <f>IF(K586:K1585&lt;50000,"0-50",IF(K586:K1585&lt;100001,"51-100",IF(K586:K1585&lt;150001,"101-150",IF(K586:K1585&lt;200001,"151-200",IF(K586:K1585&lt;250001,"201-250","above 250")))))</f>
      </c>
      <c r="M586" s="57">
        <v>0.07</v>
      </c>
      <c r="N586" s="45" t="s">
        <v>9</v>
      </c>
      <c r="O586" s="45" t="s">
        <v>57</v>
      </c>
      <c r="P586" s="51"/>
      <c r="Q586" s="52">
        <f>IF(ISBLANK(P586:P1585), "", DATEDIF(J586:J1585, P586:P1585, "Y"))</f>
      </c>
    </row>
    <row x14ac:dyDescent="0.25" r="587" customHeight="1" ht="15.75">
      <c r="A587" s="45" t="s">
        <v>1680</v>
      </c>
      <c r="B587" s="45" t="s">
        <v>981</v>
      </c>
      <c r="C587" s="45" t="s">
        <v>110</v>
      </c>
      <c r="D587" s="45" t="s">
        <v>32</v>
      </c>
      <c r="E587" s="45" t="s">
        <v>1100</v>
      </c>
      <c r="F587" s="45" t="s">
        <v>10</v>
      </c>
      <c r="G587" s="45" t="s">
        <v>8</v>
      </c>
      <c r="H587" s="53">
        <v>60</v>
      </c>
      <c r="I587" s="54">
        <f>IF(H587:H1586&lt;45, "Adult", IF(H587:H1586&lt;60, "Middle Age", IF(H587:H1586&lt;70, "Old", "Very Old")))</f>
      </c>
      <c r="J587" s="55">
        <v>36554</v>
      </c>
      <c r="K587" s="56">
        <v>109059</v>
      </c>
      <c r="L587" s="54">
        <f>IF(K587:K1586&lt;50000,"0-50",IF(K587:K1586&lt;100001,"51-100",IF(K587:K1586&lt;150001,"101-150",IF(K587:K1586&lt;200001,"151-200",IF(K587:K1586&lt;250001,"201-250","above 250")))))</f>
      </c>
      <c r="M587" s="57">
        <v>0.07</v>
      </c>
      <c r="N587" s="45" t="s">
        <v>12</v>
      </c>
      <c r="O587" s="45" t="s">
        <v>49</v>
      </c>
      <c r="P587" s="51"/>
      <c r="Q587" s="52">
        <f>IF(ISBLANK(P587:P1586), "", DATEDIF(J587:J1586, P587:P1586, "Y"))</f>
      </c>
    </row>
    <row x14ac:dyDescent="0.25" r="588" customHeight="1" ht="15.75">
      <c r="A588" s="45" t="s">
        <v>1681</v>
      </c>
      <c r="B588" s="45" t="s">
        <v>229</v>
      </c>
      <c r="C588" s="45" t="s">
        <v>118</v>
      </c>
      <c r="D588" s="45" t="s">
        <v>26</v>
      </c>
      <c r="E588" s="45" t="s">
        <v>1092</v>
      </c>
      <c r="F588" s="45" t="s">
        <v>7</v>
      </c>
      <c r="G588" s="45" t="s">
        <v>8</v>
      </c>
      <c r="H588" s="53">
        <v>30</v>
      </c>
      <c r="I588" s="54">
        <f>IF(H588:H1587&lt;45, "Adult", IF(H588:H1587&lt;60, "Middle Age", IF(H588:H1587&lt;70, "Old", "Very Old")))</f>
      </c>
      <c r="J588" s="55">
        <v>42322</v>
      </c>
      <c r="K588" s="56">
        <v>77442</v>
      </c>
      <c r="L588" s="54">
        <f>IF(K588:K1587&lt;50000,"0-50",IF(K588:K1587&lt;100001,"51-100",IF(K588:K1587&lt;150001,"101-150",IF(K588:K1587&lt;200001,"151-200",IF(K588:K1587&lt;250001,"201-250","above 250")))))</f>
      </c>
      <c r="M588" s="57">
        <v>0</v>
      </c>
      <c r="N588" s="45" t="s">
        <v>15</v>
      </c>
      <c r="O588" s="45" t="s">
        <v>55</v>
      </c>
      <c r="P588" s="51"/>
      <c r="Q588" s="52">
        <f>IF(ISBLANK(P588:P1587), "", DATEDIF(J588:J1587, P588:P1587, "Y"))</f>
      </c>
    </row>
    <row x14ac:dyDescent="0.25" r="589" customHeight="1" ht="15.75">
      <c r="A589" s="45" t="s">
        <v>1682</v>
      </c>
      <c r="B589" s="45" t="s">
        <v>322</v>
      </c>
      <c r="C589" s="45" t="s">
        <v>82</v>
      </c>
      <c r="D589" s="45" t="s">
        <v>36</v>
      </c>
      <c r="E589" s="45" t="s">
        <v>1100</v>
      </c>
      <c r="F589" s="45" t="s">
        <v>7</v>
      </c>
      <c r="G589" s="45" t="s">
        <v>17</v>
      </c>
      <c r="H589" s="53">
        <v>34</v>
      </c>
      <c r="I589" s="54">
        <f>IF(H589:H1588&lt;45, "Adult", IF(H589:H1588&lt;60, "Middle Age", IF(H589:H1588&lt;70, "Old", "Very Old")))</f>
      </c>
      <c r="J589" s="55">
        <v>41066</v>
      </c>
      <c r="K589" s="56">
        <v>72126</v>
      </c>
      <c r="L589" s="54">
        <f>IF(K589:K1588&lt;50000,"0-50",IF(K589:K1588&lt;100001,"51-100",IF(K589:K1588&lt;150001,"101-150",IF(K589:K1588&lt;200001,"151-200",IF(K589:K1588&lt;250001,"201-250","above 250")))))</f>
      </c>
      <c r="M589" s="57">
        <v>0</v>
      </c>
      <c r="N589" s="45" t="s">
        <v>9</v>
      </c>
      <c r="O589" s="45" t="s">
        <v>57</v>
      </c>
      <c r="P589" s="51"/>
      <c r="Q589" s="52">
        <f>IF(ISBLANK(P589:P1588), "", DATEDIF(J589:J1588, P589:P1588, "Y"))</f>
      </c>
    </row>
    <row x14ac:dyDescent="0.25" r="590" customHeight="1" ht="15.75">
      <c r="A590" s="45" t="s">
        <v>1683</v>
      </c>
      <c r="B590" s="45" t="s">
        <v>875</v>
      </c>
      <c r="C590" s="45" t="s">
        <v>122</v>
      </c>
      <c r="D590" s="45" t="s">
        <v>32</v>
      </c>
      <c r="E590" s="45" t="s">
        <v>1094</v>
      </c>
      <c r="F590" s="45" t="s">
        <v>10</v>
      </c>
      <c r="G590" s="45" t="s">
        <v>14</v>
      </c>
      <c r="H590" s="53">
        <v>55</v>
      </c>
      <c r="I590" s="54">
        <f>IF(H590:H1589&lt;45, "Adult", IF(H590:H1589&lt;60, "Middle Age", IF(H590:H1589&lt;70, "Old", "Very Old")))</f>
      </c>
      <c r="J590" s="55">
        <v>41565</v>
      </c>
      <c r="K590" s="56">
        <v>70334</v>
      </c>
      <c r="L590" s="54">
        <f>IF(K590:K1589&lt;50000,"0-50",IF(K590:K1589&lt;100001,"51-100",IF(K590:K1589&lt;150001,"101-150",IF(K590:K1589&lt;200001,"151-200",IF(K590:K1589&lt;250001,"201-250","above 250")))))</f>
      </c>
      <c r="M590" s="57">
        <v>0</v>
      </c>
      <c r="N590" s="45" t="s">
        <v>15</v>
      </c>
      <c r="O590" s="45" t="s">
        <v>59</v>
      </c>
      <c r="P590" s="51"/>
      <c r="Q590" s="52">
        <f>IF(ISBLANK(P590:P1589), "", DATEDIF(J590:J1589, P590:P1589, "Y"))</f>
      </c>
    </row>
    <row x14ac:dyDescent="0.25" r="591" customHeight="1" ht="15.75">
      <c r="A591" s="45" t="s">
        <v>1684</v>
      </c>
      <c r="B591" s="45" t="s">
        <v>965</v>
      </c>
      <c r="C591" s="45" t="s">
        <v>120</v>
      </c>
      <c r="D591" s="45" t="s">
        <v>26</v>
      </c>
      <c r="E591" s="45" t="s">
        <v>1092</v>
      </c>
      <c r="F591" s="45" t="s">
        <v>10</v>
      </c>
      <c r="G591" s="45" t="s">
        <v>8</v>
      </c>
      <c r="H591" s="53">
        <v>59</v>
      </c>
      <c r="I591" s="54">
        <f>IF(H591:H1590&lt;45, "Adult", IF(H591:H1590&lt;60, "Middle Age", IF(H591:H1590&lt;70, "Old", "Very Old")))</f>
      </c>
      <c r="J591" s="55">
        <v>40170</v>
      </c>
      <c r="K591" s="56">
        <v>78006</v>
      </c>
      <c r="L591" s="54">
        <f>IF(K591:K1590&lt;50000,"0-50",IF(K591:K1590&lt;100001,"51-100",IF(K591:K1590&lt;150001,"101-150",IF(K591:K1590&lt;200001,"151-200",IF(K591:K1590&lt;250001,"201-250","above 250")))))</f>
      </c>
      <c r="M591" s="57">
        <v>0</v>
      </c>
      <c r="N591" s="45" t="s">
        <v>15</v>
      </c>
      <c r="O591" s="45" t="s">
        <v>59</v>
      </c>
      <c r="P591" s="51"/>
      <c r="Q591" s="52">
        <f>IF(ISBLANK(P591:P1590), "", DATEDIF(J591:J1590, P591:P1590, "Y"))</f>
      </c>
    </row>
    <row x14ac:dyDescent="0.25" r="592" customHeight="1" ht="15.75">
      <c r="A592" s="45" t="s">
        <v>1685</v>
      </c>
      <c r="B592" s="45" t="s">
        <v>174</v>
      </c>
      <c r="C592" s="45" t="s">
        <v>96</v>
      </c>
      <c r="D592" s="45" t="s">
        <v>32</v>
      </c>
      <c r="E592" s="45" t="s">
        <v>1094</v>
      </c>
      <c r="F592" s="45" t="s">
        <v>7</v>
      </c>
      <c r="G592" s="45" t="s">
        <v>17</v>
      </c>
      <c r="H592" s="53">
        <v>28</v>
      </c>
      <c r="I592" s="54">
        <f>IF(H592:H1591&lt;45, "Adult", IF(H592:H1591&lt;60, "Middle Age", IF(H592:H1591&lt;70, "Old", "Very Old")))</f>
      </c>
      <c r="J592" s="55">
        <v>44221</v>
      </c>
      <c r="K592" s="56">
        <v>160385</v>
      </c>
      <c r="L592" s="54">
        <f>IF(K592:K1591&lt;50000,"0-50",IF(K592:K1591&lt;100001,"51-100",IF(K592:K1591&lt;150001,"101-150",IF(K592:K1591&lt;200001,"151-200",IF(K592:K1591&lt;250001,"201-250","above 250")))))</f>
      </c>
      <c r="M592" s="57">
        <v>0.23</v>
      </c>
      <c r="N592" s="45" t="s">
        <v>15</v>
      </c>
      <c r="O592" s="45" t="s">
        <v>59</v>
      </c>
      <c r="P592" s="58">
        <v>44334</v>
      </c>
      <c r="Q592" s="53">
        <f>IF(ISBLANK(P592:P1591), "", DATEDIF(J592:J1591, P592:P1591, "Y"))</f>
      </c>
    </row>
    <row x14ac:dyDescent="0.25" r="593" customHeight="1" ht="15.75">
      <c r="A593" s="45" t="s">
        <v>1686</v>
      </c>
      <c r="B593" s="45" t="s">
        <v>698</v>
      </c>
      <c r="C593" s="45" t="s">
        <v>142</v>
      </c>
      <c r="D593" s="45" t="s">
        <v>28</v>
      </c>
      <c r="E593" s="45" t="s">
        <v>1100</v>
      </c>
      <c r="F593" s="45" t="s">
        <v>7</v>
      </c>
      <c r="G593" s="45" t="s">
        <v>14</v>
      </c>
      <c r="H593" s="53">
        <v>36</v>
      </c>
      <c r="I593" s="54">
        <f>IF(H593:H1592&lt;45, "Adult", IF(H593:H1592&lt;60, "Middle Age", IF(H593:H1592&lt;70, "Old", "Very Old")))</f>
      </c>
      <c r="J593" s="55">
        <v>41650</v>
      </c>
      <c r="K593" s="56">
        <v>202323</v>
      </c>
      <c r="L593" s="54">
        <f>IF(K593:K1592&lt;50000,"0-50",IF(K593:K1592&lt;100001,"51-100",IF(K593:K1592&lt;150001,"101-150",IF(K593:K1592&lt;200001,"151-200",IF(K593:K1592&lt;250001,"201-250","above 250")))))</f>
      </c>
      <c r="M593" s="57">
        <v>0.39</v>
      </c>
      <c r="N593" s="45" t="s">
        <v>15</v>
      </c>
      <c r="O593" s="45" t="s">
        <v>51</v>
      </c>
      <c r="P593" s="51"/>
      <c r="Q593" s="52">
        <f>IF(ISBLANK(P593:P1592), "", DATEDIF(J593:J1592, P593:P1592, "Y"))</f>
      </c>
    </row>
    <row x14ac:dyDescent="0.25" r="594" customHeight="1" ht="15.75">
      <c r="A594" s="45" t="s">
        <v>1687</v>
      </c>
      <c r="B594" s="45" t="s">
        <v>200</v>
      </c>
      <c r="C594" s="45" t="s">
        <v>132</v>
      </c>
      <c r="D594" s="45" t="s">
        <v>30</v>
      </c>
      <c r="E594" s="45" t="s">
        <v>1100</v>
      </c>
      <c r="F594" s="45" t="s">
        <v>7</v>
      </c>
      <c r="G594" s="45" t="s">
        <v>17</v>
      </c>
      <c r="H594" s="53">
        <v>29</v>
      </c>
      <c r="I594" s="54">
        <f>IF(H594:H1593&lt;45, "Adult", IF(H594:H1593&lt;60, "Middle Age", IF(H594:H1593&lt;70, "Old", "Very Old")))</f>
      </c>
      <c r="J594" s="55">
        <v>44025</v>
      </c>
      <c r="K594" s="56">
        <v>141555</v>
      </c>
      <c r="L594" s="54">
        <f>IF(K594:K1593&lt;50000,"0-50",IF(K594:K1593&lt;100001,"51-100",IF(K594:K1593&lt;150001,"101-150",IF(K594:K1593&lt;200001,"151-200",IF(K594:K1593&lt;250001,"201-250","above 250")))))</f>
      </c>
      <c r="M594" s="57">
        <v>0.11</v>
      </c>
      <c r="N594" s="45" t="s">
        <v>9</v>
      </c>
      <c r="O594" s="45" t="s">
        <v>57</v>
      </c>
      <c r="P594" s="51"/>
      <c r="Q594" s="52">
        <f>IF(ISBLANK(P594:P1593), "", DATEDIF(J594:J1593, P594:P1593, "Y"))</f>
      </c>
    </row>
    <row x14ac:dyDescent="0.25" r="595" customHeight="1" ht="15.75">
      <c r="A595" s="45" t="s">
        <v>1688</v>
      </c>
      <c r="B595" s="45" t="s">
        <v>323</v>
      </c>
      <c r="C595" s="45" t="s">
        <v>96</v>
      </c>
      <c r="D595" s="45" t="s">
        <v>28</v>
      </c>
      <c r="E595" s="45" t="s">
        <v>1096</v>
      </c>
      <c r="F595" s="45" t="s">
        <v>7</v>
      </c>
      <c r="G595" s="45" t="s">
        <v>8</v>
      </c>
      <c r="H595" s="53">
        <v>34</v>
      </c>
      <c r="I595" s="54">
        <f>IF(H595:H1594&lt;45, "Adult", IF(H595:H1594&lt;60, "Middle Age", IF(H595:H1594&lt;70, "Old", "Very Old")))</f>
      </c>
      <c r="J595" s="55">
        <v>44032</v>
      </c>
      <c r="K595" s="56">
        <v>184960</v>
      </c>
      <c r="L595" s="54">
        <f>IF(K595:K1594&lt;50000,"0-50",IF(K595:K1594&lt;100001,"51-100",IF(K595:K1594&lt;150001,"101-150",IF(K595:K1594&lt;200001,"151-200",IF(K595:K1594&lt;250001,"201-250","above 250")))))</f>
      </c>
      <c r="M595" s="57">
        <v>0.18</v>
      </c>
      <c r="N595" s="45" t="s">
        <v>15</v>
      </c>
      <c r="O595" s="45" t="s">
        <v>67</v>
      </c>
      <c r="P595" s="51"/>
      <c r="Q595" s="52">
        <f>IF(ISBLANK(P595:P1594), "", DATEDIF(J595:J1594, P595:P1594, "Y"))</f>
      </c>
    </row>
    <row x14ac:dyDescent="0.25" r="596" customHeight="1" ht="15.75">
      <c r="A596" s="45" t="s">
        <v>1689</v>
      </c>
      <c r="B596" s="45" t="s">
        <v>394</v>
      </c>
      <c r="C596" s="45" t="s">
        <v>142</v>
      </c>
      <c r="D596" s="45" t="s">
        <v>32</v>
      </c>
      <c r="E596" s="45" t="s">
        <v>1094</v>
      </c>
      <c r="F596" s="45" t="s">
        <v>10</v>
      </c>
      <c r="G596" s="45" t="s">
        <v>8</v>
      </c>
      <c r="H596" s="53">
        <v>37</v>
      </c>
      <c r="I596" s="54">
        <f>IF(H596:H1595&lt;45, "Adult", IF(H596:H1595&lt;60, "Middle Age", IF(H596:H1595&lt;70, "Old", "Very Old")))</f>
      </c>
      <c r="J596" s="55">
        <v>40719</v>
      </c>
      <c r="K596" s="56">
        <v>221592</v>
      </c>
      <c r="L596" s="54">
        <f>IF(K596:K1595&lt;50000,"0-50",IF(K596:K1595&lt;100001,"51-100",IF(K596:K1595&lt;150001,"101-150",IF(K596:K1595&lt;200001,"151-200",IF(K596:K1595&lt;250001,"201-250","above 250")))))</f>
      </c>
      <c r="M596" s="57">
        <v>0.31</v>
      </c>
      <c r="N596" s="45" t="s">
        <v>15</v>
      </c>
      <c r="O596" s="45" t="s">
        <v>55</v>
      </c>
      <c r="P596" s="51"/>
      <c r="Q596" s="52">
        <f>IF(ISBLANK(P596:P1595), "", DATEDIF(J596:J1595, P596:P1595, "Y"))</f>
      </c>
    </row>
    <row x14ac:dyDescent="0.25" r="597" customHeight="1" ht="15.75">
      <c r="A597" s="45" t="s">
        <v>1690</v>
      </c>
      <c r="B597" s="45" t="s">
        <v>548</v>
      </c>
      <c r="C597" s="45" t="s">
        <v>104</v>
      </c>
      <c r="D597" s="45" t="s">
        <v>30</v>
      </c>
      <c r="E597" s="45" t="s">
        <v>1094</v>
      </c>
      <c r="F597" s="45" t="s">
        <v>7</v>
      </c>
      <c r="G597" s="45" t="s">
        <v>8</v>
      </c>
      <c r="H597" s="53">
        <v>44</v>
      </c>
      <c r="I597" s="54">
        <f>IF(H597:H1596&lt;45, "Adult", IF(H597:H1596&lt;60, "Middle Age", IF(H597:H1596&lt;70, "Old", "Very Old")))</f>
      </c>
      <c r="J597" s="55">
        <v>39841</v>
      </c>
      <c r="K597" s="56">
        <v>53301</v>
      </c>
      <c r="L597" s="54">
        <f>IF(K597:K1596&lt;50000,"0-50",IF(K597:K1596&lt;100001,"51-100",IF(K597:K1596&lt;150001,"101-150",IF(K597:K1596&lt;200001,"151-200",IF(K597:K1596&lt;250001,"201-250","above 250")))))</f>
      </c>
      <c r="M597" s="57">
        <v>0</v>
      </c>
      <c r="N597" s="45" t="s">
        <v>15</v>
      </c>
      <c r="O597" s="45" t="s">
        <v>67</v>
      </c>
      <c r="P597" s="51"/>
      <c r="Q597" s="52">
        <f>IF(ISBLANK(P597:P1596), "", DATEDIF(J597:J1596, P597:P1596, "Y"))</f>
      </c>
    </row>
    <row x14ac:dyDescent="0.25" r="598" customHeight="1" ht="15.75">
      <c r="A598" s="45" t="s">
        <v>1691</v>
      </c>
      <c r="B598" s="45" t="s">
        <v>604</v>
      </c>
      <c r="C598" s="45" t="s">
        <v>88</v>
      </c>
      <c r="D598" s="45" t="s">
        <v>32</v>
      </c>
      <c r="E598" s="45" t="s">
        <v>1100</v>
      </c>
      <c r="F598" s="45" t="s">
        <v>10</v>
      </c>
      <c r="G598" s="45" t="s">
        <v>8</v>
      </c>
      <c r="H598" s="53">
        <v>45</v>
      </c>
      <c r="I598" s="54">
        <f>IF(H598:H1597&lt;45, "Adult", IF(H598:H1597&lt;60, "Middle Age", IF(H598:H1597&lt;70, "Old", "Very Old")))</f>
      </c>
      <c r="J598" s="55">
        <v>36587</v>
      </c>
      <c r="K598" s="56">
        <v>91276</v>
      </c>
      <c r="L598" s="54">
        <f>IF(K598:K1597&lt;50000,"0-50",IF(K598:K1597&lt;100001,"51-100",IF(K598:K1597&lt;150001,"101-150",IF(K598:K1597&lt;200001,"151-200",IF(K598:K1597&lt;250001,"201-250","above 250")))))</f>
      </c>
      <c r="M598" s="57">
        <v>0</v>
      </c>
      <c r="N598" s="45" t="s">
        <v>15</v>
      </c>
      <c r="O598" s="45" t="s">
        <v>67</v>
      </c>
      <c r="P598" s="51"/>
      <c r="Q598" s="52">
        <f>IF(ISBLANK(P598:P1597), "", DATEDIF(J598:J1597, P598:P1597, "Y"))</f>
      </c>
    </row>
    <row x14ac:dyDescent="0.25" r="599" customHeight="1" ht="15.75">
      <c r="A599" s="45" t="s">
        <v>1692</v>
      </c>
      <c r="B599" s="45" t="s">
        <v>789</v>
      </c>
      <c r="C599" s="45" t="s">
        <v>132</v>
      </c>
      <c r="D599" s="45" t="s">
        <v>30</v>
      </c>
      <c r="E599" s="45" t="s">
        <v>1092</v>
      </c>
      <c r="F599" s="45" t="s">
        <v>7</v>
      </c>
      <c r="G599" s="45" t="s">
        <v>8</v>
      </c>
      <c r="H599" s="53">
        <v>52</v>
      </c>
      <c r="I599" s="54">
        <f>IF(H599:H1598&lt;45, "Adult", IF(H599:H1598&lt;60, "Middle Age", IF(H599:H1598&lt;70, "Old", "Very Old")))</f>
      </c>
      <c r="J599" s="55">
        <v>42983</v>
      </c>
      <c r="K599" s="56">
        <v>140042</v>
      </c>
      <c r="L599" s="54">
        <f>IF(K599:K1598&lt;50000,"0-50",IF(K599:K1598&lt;100001,"51-100",IF(K599:K1598&lt;150001,"101-150",IF(K599:K1598&lt;200001,"151-200",IF(K599:K1598&lt;250001,"201-250","above 250")))))</f>
      </c>
      <c r="M599" s="57">
        <v>0.13</v>
      </c>
      <c r="N599" s="45" t="s">
        <v>15</v>
      </c>
      <c r="O599" s="45" t="s">
        <v>42</v>
      </c>
      <c r="P599" s="51"/>
      <c r="Q599" s="52">
        <f>IF(ISBLANK(P599:P1598), "", DATEDIF(J599:J1598, P599:P1598, "Y"))</f>
      </c>
    </row>
    <row x14ac:dyDescent="0.25" r="600" customHeight="1" ht="15.75">
      <c r="A600" s="45" t="s">
        <v>1693</v>
      </c>
      <c r="B600" s="45" t="s">
        <v>461</v>
      </c>
      <c r="C600" s="45" t="s">
        <v>80</v>
      </c>
      <c r="D600" s="45" t="s">
        <v>24</v>
      </c>
      <c r="E600" s="45" t="s">
        <v>1094</v>
      </c>
      <c r="F600" s="45" t="s">
        <v>7</v>
      </c>
      <c r="G600" s="45" t="s">
        <v>8</v>
      </c>
      <c r="H600" s="53">
        <v>40</v>
      </c>
      <c r="I600" s="54">
        <f>IF(H600:H1599&lt;45, "Adult", IF(H600:H1599&lt;60, "Middle Age", IF(H600:H1599&lt;70, "Old", "Very Old")))</f>
      </c>
      <c r="J600" s="55">
        <v>43440</v>
      </c>
      <c r="K600" s="56">
        <v>57225</v>
      </c>
      <c r="L600" s="54">
        <f>IF(K600:K1599&lt;50000,"0-50",IF(K600:K1599&lt;100001,"51-100",IF(K600:K1599&lt;150001,"101-150",IF(K600:K1599&lt;200001,"151-200",IF(K600:K1599&lt;250001,"201-250","above 250")))))</f>
      </c>
      <c r="M600" s="57">
        <v>0</v>
      </c>
      <c r="N600" s="45" t="s">
        <v>15</v>
      </c>
      <c r="O600" s="45" t="s">
        <v>55</v>
      </c>
      <c r="P600" s="51"/>
      <c r="Q600" s="52">
        <f>IF(ISBLANK(P600:P1599), "", DATEDIF(J600:J1599, P600:P1599, "Y"))</f>
      </c>
    </row>
    <row x14ac:dyDescent="0.25" r="601" customHeight="1" ht="15.75">
      <c r="A601" s="45" t="s">
        <v>1694</v>
      </c>
      <c r="B601" s="45" t="s">
        <v>882</v>
      </c>
      <c r="C601" s="45" t="s">
        <v>110</v>
      </c>
      <c r="D601" s="45" t="s">
        <v>30</v>
      </c>
      <c r="E601" s="45" t="s">
        <v>1096</v>
      </c>
      <c r="F601" s="45" t="s">
        <v>7</v>
      </c>
      <c r="G601" s="45" t="s">
        <v>17</v>
      </c>
      <c r="H601" s="53">
        <v>55</v>
      </c>
      <c r="I601" s="54">
        <f>IF(H601:H1600&lt;45, "Adult", IF(H601:H1600&lt;60, "Middle Age", IF(H601:H1600&lt;70, "Old", "Very Old")))</f>
      </c>
      <c r="J601" s="55">
        <v>40233</v>
      </c>
      <c r="K601" s="56">
        <v>102839</v>
      </c>
      <c r="L601" s="54">
        <f>IF(K601:K1600&lt;50000,"0-50",IF(K601:K1600&lt;100001,"51-100",IF(K601:K1600&lt;150001,"101-150",IF(K601:K1600&lt;200001,"151-200",IF(K601:K1600&lt;250001,"201-250","above 250")))))</f>
      </c>
      <c r="M601" s="57">
        <v>0.05</v>
      </c>
      <c r="N601" s="45" t="s">
        <v>15</v>
      </c>
      <c r="O601" s="45" t="s">
        <v>59</v>
      </c>
      <c r="P601" s="51"/>
      <c r="Q601" s="52">
        <f>IF(ISBLANK(P601:P1600), "", DATEDIF(J601:J1600, P601:P1600, "Y"))</f>
      </c>
    </row>
    <row x14ac:dyDescent="0.25" r="602" customHeight="1" ht="15.75">
      <c r="A602" s="45" t="s">
        <v>1695</v>
      </c>
      <c r="B602" s="45" t="s">
        <v>199</v>
      </c>
      <c r="C602" s="45" t="s">
        <v>96</v>
      </c>
      <c r="D602" s="45" t="s">
        <v>34</v>
      </c>
      <c r="E602" s="45" t="s">
        <v>1092</v>
      </c>
      <c r="F602" s="45" t="s">
        <v>10</v>
      </c>
      <c r="G602" s="45" t="s">
        <v>8</v>
      </c>
      <c r="H602" s="53">
        <v>29</v>
      </c>
      <c r="I602" s="54">
        <f>IF(H602:H1601&lt;45, "Adult", IF(H602:H1601&lt;60, "Middle Age", IF(H602:H1601&lt;70, "Old", "Very Old")))</f>
      </c>
      <c r="J602" s="55">
        <v>44454</v>
      </c>
      <c r="K602" s="56">
        <v>199783</v>
      </c>
      <c r="L602" s="54">
        <f>IF(K602:K1601&lt;50000,"0-50",IF(K602:K1601&lt;100001,"51-100",IF(K602:K1601&lt;150001,"101-150",IF(K602:K1601&lt;200001,"151-200",IF(K602:K1601&lt;250001,"201-250","above 250")))))</f>
      </c>
      <c r="M602" s="57">
        <v>0.21</v>
      </c>
      <c r="N602" s="45" t="s">
        <v>15</v>
      </c>
      <c r="O602" s="45" t="s">
        <v>51</v>
      </c>
      <c r="P602" s="58">
        <v>44661</v>
      </c>
      <c r="Q602" s="53">
        <f>IF(ISBLANK(P602:P1601), "", DATEDIF(J602:J1601, P602:P1601, "Y"))</f>
      </c>
    </row>
    <row x14ac:dyDescent="0.25" r="603" customHeight="1" ht="15.75">
      <c r="A603" s="45" t="s">
        <v>1696</v>
      </c>
      <c r="B603" s="45" t="s">
        <v>275</v>
      </c>
      <c r="C603" s="45" t="s">
        <v>130</v>
      </c>
      <c r="D603" s="45" t="s">
        <v>30</v>
      </c>
      <c r="E603" s="45" t="s">
        <v>1092</v>
      </c>
      <c r="F603" s="45" t="s">
        <v>10</v>
      </c>
      <c r="G603" s="45" t="s">
        <v>17</v>
      </c>
      <c r="H603" s="53">
        <v>32</v>
      </c>
      <c r="I603" s="54">
        <f>IF(H603:H1602&lt;45, "Adult", IF(H603:H1602&lt;60, "Middle Age", IF(H603:H1602&lt;70, "Old", "Very Old")))</f>
      </c>
      <c r="J603" s="55">
        <v>44295</v>
      </c>
      <c r="K603" s="56">
        <v>70980</v>
      </c>
      <c r="L603" s="54">
        <f>IF(K603:K1602&lt;50000,"0-50",IF(K603:K1602&lt;100001,"51-100",IF(K603:K1602&lt;150001,"101-150",IF(K603:K1602&lt;200001,"151-200",IF(K603:K1602&lt;250001,"201-250","above 250")))))</f>
      </c>
      <c r="M603" s="57">
        <v>0</v>
      </c>
      <c r="N603" s="45" t="s">
        <v>9</v>
      </c>
      <c r="O603" s="45" t="s">
        <v>63</v>
      </c>
      <c r="P603" s="51"/>
      <c r="Q603" s="52">
        <f>IF(ISBLANK(P603:P1602), "", DATEDIF(J603:J1602, P603:P1602, "Y"))</f>
      </c>
    </row>
    <row x14ac:dyDescent="0.25" r="604" customHeight="1" ht="15.75">
      <c r="A604" s="45" t="s">
        <v>1697</v>
      </c>
      <c r="B604" s="45" t="s">
        <v>769</v>
      </c>
      <c r="C604" s="45" t="s">
        <v>110</v>
      </c>
      <c r="D604" s="45" t="s">
        <v>34</v>
      </c>
      <c r="E604" s="45" t="s">
        <v>1100</v>
      </c>
      <c r="F604" s="45" t="s">
        <v>10</v>
      </c>
      <c r="G604" s="45" t="s">
        <v>14</v>
      </c>
      <c r="H604" s="53">
        <v>51</v>
      </c>
      <c r="I604" s="54">
        <f>IF(H604:H1603&lt;45, "Adult", IF(H604:H1603&lt;60, "Middle Age", IF(H604:H1603&lt;70, "Old", "Very Old")))</f>
      </c>
      <c r="J604" s="55">
        <v>35456</v>
      </c>
      <c r="K604" s="56">
        <v>104431</v>
      </c>
      <c r="L604" s="54">
        <f>IF(K604:K1603&lt;50000,"0-50",IF(K604:K1603&lt;100001,"51-100",IF(K604:K1603&lt;150001,"101-150",IF(K604:K1603&lt;200001,"151-200",IF(K604:K1603&lt;250001,"201-250","above 250")))))</f>
      </c>
      <c r="M604" s="57">
        <v>0.07</v>
      </c>
      <c r="N604" s="45" t="s">
        <v>15</v>
      </c>
      <c r="O604" s="45" t="s">
        <v>61</v>
      </c>
      <c r="P604" s="51"/>
      <c r="Q604" s="52">
        <f>IF(ISBLANK(P604:P1603), "", DATEDIF(J604:J1603, P604:P1603, "Y"))</f>
      </c>
    </row>
    <row x14ac:dyDescent="0.25" r="605" customHeight="1" ht="15.75">
      <c r="A605" s="45" t="s">
        <v>1698</v>
      </c>
      <c r="B605" s="45" t="s">
        <v>169</v>
      </c>
      <c r="C605" s="45" t="s">
        <v>86</v>
      </c>
      <c r="D605" s="45" t="s">
        <v>30</v>
      </c>
      <c r="E605" s="45" t="s">
        <v>1096</v>
      </c>
      <c r="F605" s="45" t="s">
        <v>10</v>
      </c>
      <c r="G605" s="45" t="s">
        <v>14</v>
      </c>
      <c r="H605" s="53">
        <v>28</v>
      </c>
      <c r="I605" s="54">
        <f>IF(H605:H1604&lt;45, "Adult", IF(H605:H1604&lt;60, "Middle Age", IF(H605:H1604&lt;70, "Old", "Very Old")))</f>
      </c>
      <c r="J605" s="55">
        <v>44374</v>
      </c>
      <c r="K605" s="56">
        <v>48510</v>
      </c>
      <c r="L605" s="54">
        <f>IF(K605:K1604&lt;50000,"0-50",IF(K605:K1604&lt;100001,"51-100",IF(K605:K1604&lt;150001,"101-150",IF(K605:K1604&lt;200001,"151-200",IF(K605:K1604&lt;250001,"201-250","above 250")))))</f>
      </c>
      <c r="M605" s="57">
        <v>0</v>
      </c>
      <c r="N605" s="45" t="s">
        <v>15</v>
      </c>
      <c r="O605" s="45" t="s">
        <v>51</v>
      </c>
      <c r="P605" s="51"/>
      <c r="Q605" s="52">
        <f>IF(ISBLANK(P605:P1604), "", DATEDIF(J605:J1604, P605:P1604, "Y"))</f>
      </c>
    </row>
    <row x14ac:dyDescent="0.25" r="606" customHeight="1" ht="15.75">
      <c r="A606" s="45" t="s">
        <v>1699</v>
      </c>
      <c r="B606" s="45" t="s">
        <v>145</v>
      </c>
      <c r="C606" s="45" t="s">
        <v>120</v>
      </c>
      <c r="D606" s="45" t="s">
        <v>26</v>
      </c>
      <c r="E606" s="45" t="s">
        <v>1096</v>
      </c>
      <c r="F606" s="45" t="s">
        <v>10</v>
      </c>
      <c r="G606" s="45" t="s">
        <v>11</v>
      </c>
      <c r="H606" s="53">
        <v>27</v>
      </c>
      <c r="I606" s="54">
        <f>IF(H606:H1605&lt;45, "Adult", IF(H606:H1605&lt;60, "Middle Age", IF(H606:H1605&lt;70, "Old", "Very Old")))</f>
      </c>
      <c r="J606" s="55">
        <v>43613</v>
      </c>
      <c r="K606" s="56">
        <v>70110</v>
      </c>
      <c r="L606" s="54">
        <f>IF(K606:K1605&lt;50000,"0-50",IF(K606:K1605&lt;100001,"51-100",IF(K606:K1605&lt;150001,"101-150",IF(K606:K1605&lt;200001,"151-200",IF(K606:K1605&lt;250001,"201-250","above 250")))))</f>
      </c>
      <c r="M606" s="57">
        <v>0</v>
      </c>
      <c r="N606" s="45" t="s">
        <v>15</v>
      </c>
      <c r="O606" s="45" t="s">
        <v>59</v>
      </c>
      <c r="P606" s="58">
        <v>44203</v>
      </c>
      <c r="Q606" s="53">
        <f>IF(ISBLANK(P606:P1605), "", DATEDIF(J606:J1605, P606:P1605, "Y"))</f>
      </c>
    </row>
    <row x14ac:dyDescent="0.25" r="607" customHeight="1" ht="15.75">
      <c r="A607" s="45" t="s">
        <v>1700</v>
      </c>
      <c r="B607" s="45" t="s">
        <v>598</v>
      </c>
      <c r="C607" s="45" t="s">
        <v>96</v>
      </c>
      <c r="D607" s="45" t="s">
        <v>34</v>
      </c>
      <c r="E607" s="45" t="s">
        <v>1100</v>
      </c>
      <c r="F607" s="45" t="s">
        <v>10</v>
      </c>
      <c r="G607" s="45" t="s">
        <v>8</v>
      </c>
      <c r="H607" s="53">
        <v>45</v>
      </c>
      <c r="I607" s="54">
        <f>IF(H607:H1606&lt;45, "Adult", IF(H607:H1606&lt;60, "Middle Age", IF(H607:H1606&lt;70, "Old", "Very Old")))</f>
      </c>
      <c r="J607" s="55">
        <v>39519</v>
      </c>
      <c r="K607" s="56">
        <v>186138</v>
      </c>
      <c r="L607" s="54">
        <f>IF(K607:K1606&lt;50000,"0-50",IF(K607:K1606&lt;100001,"51-100",IF(K607:K1606&lt;150001,"101-150",IF(K607:K1606&lt;200001,"151-200",IF(K607:K1606&lt;250001,"201-250","above 250")))))</f>
      </c>
      <c r="M607" s="57">
        <v>0.28</v>
      </c>
      <c r="N607" s="45" t="s">
        <v>12</v>
      </c>
      <c r="O607" s="45" t="s">
        <v>53</v>
      </c>
      <c r="P607" s="51"/>
      <c r="Q607" s="52">
        <f>IF(ISBLANK(P607:P1606), "", DATEDIF(J607:J1606, P607:P1606, "Y"))</f>
      </c>
    </row>
    <row x14ac:dyDescent="0.25" r="608" customHeight="1" ht="15.75">
      <c r="A608" s="45" t="s">
        <v>1701</v>
      </c>
      <c r="B608" s="45" t="s">
        <v>950</v>
      </c>
      <c r="C608" s="45" t="s">
        <v>80</v>
      </c>
      <c r="D608" s="45" t="s">
        <v>24</v>
      </c>
      <c r="E608" s="45" t="s">
        <v>1094</v>
      </c>
      <c r="F608" s="45" t="s">
        <v>10</v>
      </c>
      <c r="G608" s="45" t="s">
        <v>17</v>
      </c>
      <c r="H608" s="53">
        <v>58</v>
      </c>
      <c r="I608" s="54">
        <f>IF(H608:H1607&lt;45, "Adult", IF(H608:H1607&lt;60, "Middle Age", IF(H608:H1607&lt;70, "Old", "Very Old")))</f>
      </c>
      <c r="J608" s="55">
        <v>40287</v>
      </c>
      <c r="K608" s="56">
        <v>56350</v>
      </c>
      <c r="L608" s="54">
        <f>IF(K608:K1607&lt;50000,"0-50",IF(K608:K1607&lt;100001,"51-100",IF(K608:K1607&lt;150001,"101-150",IF(K608:K1607&lt;200001,"151-200",IF(K608:K1607&lt;250001,"201-250","above 250")))))</f>
      </c>
      <c r="M608" s="57">
        <v>0</v>
      </c>
      <c r="N608" s="45" t="s">
        <v>9</v>
      </c>
      <c r="O608" s="45" t="s">
        <v>63</v>
      </c>
      <c r="P608" s="51"/>
      <c r="Q608" s="52">
        <f>IF(ISBLANK(P608:P1607), "", DATEDIF(J608:J1607, P608:P1607, "Y"))</f>
      </c>
    </row>
    <row x14ac:dyDescent="0.25" r="609" customHeight="1" ht="15.75">
      <c r="A609" s="45" t="s">
        <v>1702</v>
      </c>
      <c r="B609" s="45" t="s">
        <v>592</v>
      </c>
      <c r="C609" s="45" t="s">
        <v>132</v>
      </c>
      <c r="D609" s="45" t="s">
        <v>28</v>
      </c>
      <c r="E609" s="45" t="s">
        <v>1092</v>
      </c>
      <c r="F609" s="45" t="s">
        <v>7</v>
      </c>
      <c r="G609" s="45" t="s">
        <v>17</v>
      </c>
      <c r="H609" s="53">
        <v>45</v>
      </c>
      <c r="I609" s="54">
        <f>IF(H609:H1608&lt;45, "Adult", IF(H609:H1608&lt;60, "Middle Age", IF(H609:H1608&lt;70, "Old", "Very Old")))</f>
      </c>
      <c r="J609" s="55">
        <v>42379</v>
      </c>
      <c r="K609" s="56">
        <v>149761</v>
      </c>
      <c r="L609" s="54">
        <f>IF(K609:K1608&lt;50000,"0-50",IF(K609:K1608&lt;100001,"51-100",IF(K609:K1608&lt;150001,"101-150",IF(K609:K1608&lt;200001,"151-200",IF(K609:K1608&lt;250001,"201-250","above 250")))))</f>
      </c>
      <c r="M609" s="57">
        <v>0.12</v>
      </c>
      <c r="N609" s="45" t="s">
        <v>15</v>
      </c>
      <c r="O609" s="45" t="s">
        <v>55</v>
      </c>
      <c r="P609" s="51"/>
      <c r="Q609" s="52">
        <f>IF(ISBLANK(P609:P1608), "", DATEDIF(J609:J1608, P609:P1608, "Y"))</f>
      </c>
    </row>
    <row x14ac:dyDescent="0.25" r="610" customHeight="1" ht="15.75">
      <c r="A610" s="45" t="s">
        <v>1703</v>
      </c>
      <c r="B610" s="45" t="s">
        <v>547</v>
      </c>
      <c r="C610" s="45" t="s">
        <v>132</v>
      </c>
      <c r="D610" s="45" t="s">
        <v>28</v>
      </c>
      <c r="E610" s="45" t="s">
        <v>1100</v>
      </c>
      <c r="F610" s="45" t="s">
        <v>10</v>
      </c>
      <c r="G610" s="45" t="s">
        <v>17</v>
      </c>
      <c r="H610" s="53">
        <v>44</v>
      </c>
      <c r="I610" s="54">
        <f>IF(H610:H1609&lt;45, "Adult", IF(H610:H1609&lt;60, "Middle Age", IF(H610:H1609&lt;70, "Old", "Very Old")))</f>
      </c>
      <c r="J610" s="55">
        <v>39305</v>
      </c>
      <c r="K610" s="56">
        <v>126277</v>
      </c>
      <c r="L610" s="54">
        <f>IF(K610:K1609&lt;50000,"0-50",IF(K610:K1609&lt;100001,"51-100",IF(K610:K1609&lt;150001,"101-150",IF(K610:K1609&lt;200001,"151-200",IF(K610:K1609&lt;250001,"201-250","above 250")))))</f>
      </c>
      <c r="M610" s="57">
        <v>0.13</v>
      </c>
      <c r="N610" s="45" t="s">
        <v>9</v>
      </c>
      <c r="O610" s="45" t="s">
        <v>57</v>
      </c>
      <c r="P610" s="51"/>
      <c r="Q610" s="52">
        <f>IF(ISBLANK(P610:P1609), "", DATEDIF(J610:J1609, P610:P1609, "Y"))</f>
      </c>
    </row>
    <row x14ac:dyDescent="0.25" r="611" customHeight="1" ht="15.75">
      <c r="A611" s="45" t="s">
        <v>1704</v>
      </c>
      <c r="B611" s="45" t="s">
        <v>295</v>
      </c>
      <c r="C611" s="45" t="s">
        <v>110</v>
      </c>
      <c r="D611" s="45" t="s">
        <v>36</v>
      </c>
      <c r="E611" s="45" t="s">
        <v>1096</v>
      </c>
      <c r="F611" s="45" t="s">
        <v>10</v>
      </c>
      <c r="G611" s="45" t="s">
        <v>14</v>
      </c>
      <c r="H611" s="53">
        <v>33</v>
      </c>
      <c r="I611" s="54">
        <f>IF(H611:H1610&lt;45, "Adult", IF(H611:H1610&lt;60, "Middle Age", IF(H611:H1610&lt;70, "Old", "Very Old")))</f>
      </c>
      <c r="J611" s="55">
        <v>41446</v>
      </c>
      <c r="K611" s="56">
        <v>119631</v>
      </c>
      <c r="L611" s="54">
        <f>IF(K611:K1610&lt;50000,"0-50",IF(K611:K1610&lt;100001,"51-100",IF(K611:K1610&lt;150001,"101-150",IF(K611:K1610&lt;200001,"151-200",IF(K611:K1610&lt;250001,"201-250","above 250")))))</f>
      </c>
      <c r="M611" s="57">
        <v>0.06</v>
      </c>
      <c r="N611" s="45" t="s">
        <v>15</v>
      </c>
      <c r="O611" s="45" t="s">
        <v>61</v>
      </c>
      <c r="P611" s="51"/>
      <c r="Q611" s="52">
        <f>IF(ISBLANK(P611:P1610), "", DATEDIF(J611:J1610, P611:P1610, "Y"))</f>
      </c>
    </row>
    <row x14ac:dyDescent="0.25" r="612" customHeight="1" ht="15.75">
      <c r="A612" s="45" t="s">
        <v>1705</v>
      </c>
      <c r="B612" s="45" t="s">
        <v>103</v>
      </c>
      <c r="C612" s="45" t="s">
        <v>142</v>
      </c>
      <c r="D612" s="45" t="s">
        <v>32</v>
      </c>
      <c r="E612" s="45" t="s">
        <v>1092</v>
      </c>
      <c r="F612" s="45" t="s">
        <v>10</v>
      </c>
      <c r="G612" s="45" t="s">
        <v>8</v>
      </c>
      <c r="H612" s="53">
        <v>26</v>
      </c>
      <c r="I612" s="54">
        <f>IF(H612:H1611&lt;45, "Adult", IF(H612:H1611&lt;60, "Middle Age", IF(H612:H1611&lt;70, "Old", "Very Old")))</f>
      </c>
      <c r="J612" s="55">
        <v>43960</v>
      </c>
      <c r="K612" s="56">
        <v>256561</v>
      </c>
      <c r="L612" s="54">
        <f>IF(K612:K1611&lt;50000,"0-50",IF(K612:K1611&lt;100001,"51-100",IF(K612:K1611&lt;150001,"101-150",IF(K612:K1611&lt;200001,"151-200",IF(K612:K1611&lt;250001,"201-250","above 250")))))</f>
      </c>
      <c r="M612" s="57">
        <v>0.39</v>
      </c>
      <c r="N612" s="45" t="s">
        <v>15</v>
      </c>
      <c r="O612" s="45" t="s">
        <v>42</v>
      </c>
      <c r="P612" s="51"/>
      <c r="Q612" s="52">
        <f>IF(ISBLANK(P612:P1611), "", DATEDIF(J612:J1611, P612:P1611, "Y"))</f>
      </c>
    </row>
    <row x14ac:dyDescent="0.25" r="613" customHeight="1" ht="15.75">
      <c r="A613" s="45" t="s">
        <v>1706</v>
      </c>
      <c r="B613" s="45" t="s">
        <v>594</v>
      </c>
      <c r="C613" s="45" t="s">
        <v>124</v>
      </c>
      <c r="D613" s="45" t="s">
        <v>32</v>
      </c>
      <c r="E613" s="45" t="s">
        <v>1096</v>
      </c>
      <c r="F613" s="45" t="s">
        <v>7</v>
      </c>
      <c r="G613" s="45" t="s">
        <v>17</v>
      </c>
      <c r="H613" s="53">
        <v>45</v>
      </c>
      <c r="I613" s="54">
        <f>IF(H613:H1612&lt;45, "Adult", IF(H613:H1612&lt;60, "Middle Age", IF(H613:H1612&lt;70, "Old", "Very Old")))</f>
      </c>
      <c r="J613" s="55">
        <v>43937</v>
      </c>
      <c r="K613" s="56">
        <v>66958</v>
      </c>
      <c r="L613" s="54">
        <f>IF(K613:K1612&lt;50000,"0-50",IF(K613:K1612&lt;100001,"51-100",IF(K613:K1612&lt;150001,"101-150",IF(K613:K1612&lt;200001,"151-200",IF(K613:K1612&lt;250001,"201-250","above 250")))))</f>
      </c>
      <c r="M613" s="57">
        <v>0</v>
      </c>
      <c r="N613" s="45" t="s">
        <v>15</v>
      </c>
      <c r="O613" s="45" t="s">
        <v>59</v>
      </c>
      <c r="P613" s="51"/>
      <c r="Q613" s="52">
        <f>IF(ISBLANK(P613:P1612), "", DATEDIF(J613:J1612, P613:P1612, "Y"))</f>
      </c>
    </row>
    <row x14ac:dyDescent="0.25" r="614" customHeight="1" ht="15.75">
      <c r="A614" s="45" t="s">
        <v>1707</v>
      </c>
      <c r="B614" s="45" t="s">
        <v>651</v>
      </c>
      <c r="C614" s="45" t="s">
        <v>132</v>
      </c>
      <c r="D614" s="45" t="s">
        <v>36</v>
      </c>
      <c r="E614" s="45" t="s">
        <v>1094</v>
      </c>
      <c r="F614" s="45" t="s">
        <v>7</v>
      </c>
      <c r="G614" s="45" t="s">
        <v>8</v>
      </c>
      <c r="H614" s="53">
        <v>46</v>
      </c>
      <c r="I614" s="54">
        <f>IF(H614:H1613&lt;45, "Adult", IF(H614:H1613&lt;60, "Middle Age", IF(H614:H1613&lt;70, "Old", "Very Old")))</f>
      </c>
      <c r="J614" s="55">
        <v>38046</v>
      </c>
      <c r="K614" s="56">
        <v>158897</v>
      </c>
      <c r="L614" s="54">
        <f>IF(K614:K1613&lt;50000,"0-50",IF(K614:K1613&lt;100001,"51-100",IF(K614:K1613&lt;150001,"101-150",IF(K614:K1613&lt;200001,"151-200",IF(K614:K1613&lt;250001,"201-250","above 250")))))</f>
      </c>
      <c r="M614" s="57">
        <v>0.1</v>
      </c>
      <c r="N614" s="45" t="s">
        <v>12</v>
      </c>
      <c r="O614" s="45" t="s">
        <v>53</v>
      </c>
      <c r="P614" s="51"/>
      <c r="Q614" s="52">
        <f>IF(ISBLANK(P614:P1613), "", DATEDIF(J614:J1613, P614:P1613, "Y"))</f>
      </c>
    </row>
    <row x14ac:dyDescent="0.25" r="615" customHeight="1" ht="15.75">
      <c r="A615" s="45" t="s">
        <v>1708</v>
      </c>
      <c r="B615" s="45" t="s">
        <v>391</v>
      </c>
      <c r="C615" s="45" t="s">
        <v>138</v>
      </c>
      <c r="D615" s="45" t="s">
        <v>32</v>
      </c>
      <c r="E615" s="45" t="s">
        <v>1100</v>
      </c>
      <c r="F615" s="45" t="s">
        <v>10</v>
      </c>
      <c r="G615" s="45" t="s">
        <v>14</v>
      </c>
      <c r="H615" s="53">
        <v>37</v>
      </c>
      <c r="I615" s="54">
        <f>IF(H615:H1614&lt;45, "Adult", IF(H615:H1614&lt;60, "Middle Age", IF(H615:H1614&lt;70, "Old", "Very Old")))</f>
      </c>
      <c r="J615" s="55">
        <v>39493</v>
      </c>
      <c r="K615" s="56">
        <v>71695</v>
      </c>
      <c r="L615" s="54">
        <f>IF(K615:K1614&lt;50000,"0-50",IF(K615:K1614&lt;100001,"51-100",IF(K615:K1614&lt;150001,"101-150",IF(K615:K1614&lt;200001,"151-200",IF(K615:K1614&lt;250001,"201-250","above 250")))))</f>
      </c>
      <c r="M615" s="57">
        <v>0</v>
      </c>
      <c r="N615" s="45" t="s">
        <v>15</v>
      </c>
      <c r="O615" s="45" t="s">
        <v>61</v>
      </c>
      <c r="P615" s="51"/>
      <c r="Q615" s="52">
        <f>IF(ISBLANK(P615:P1614), "", DATEDIF(J615:J1614, P615:P1614, "Y"))</f>
      </c>
    </row>
    <row x14ac:dyDescent="0.25" r="616" customHeight="1" ht="15.75">
      <c r="A616" s="45" t="s">
        <v>1709</v>
      </c>
      <c r="B616" s="45" t="s">
        <v>460</v>
      </c>
      <c r="C616" s="45" t="s">
        <v>128</v>
      </c>
      <c r="D616" s="45" t="s">
        <v>34</v>
      </c>
      <c r="E616" s="45" t="s">
        <v>1100</v>
      </c>
      <c r="F616" s="45" t="s">
        <v>10</v>
      </c>
      <c r="G616" s="45" t="s">
        <v>8</v>
      </c>
      <c r="H616" s="53">
        <v>40</v>
      </c>
      <c r="I616" s="54">
        <f>IF(H616:H1615&lt;45, "Adult", IF(H616:H1615&lt;60, "Middle Age", IF(H616:H1615&lt;70, "Old", "Very Old")))</f>
      </c>
      <c r="J616" s="55">
        <v>41904</v>
      </c>
      <c r="K616" s="56">
        <v>73779</v>
      </c>
      <c r="L616" s="54">
        <f>IF(K616:K1615&lt;50000,"0-50",IF(K616:K1615&lt;100001,"51-100",IF(K616:K1615&lt;150001,"101-150",IF(K616:K1615&lt;200001,"151-200",IF(K616:K1615&lt;250001,"201-250","above 250")))))</f>
      </c>
      <c r="M616" s="57">
        <v>0</v>
      </c>
      <c r="N616" s="45" t="s">
        <v>12</v>
      </c>
      <c r="O616" s="45" t="s">
        <v>53</v>
      </c>
      <c r="P616" s="58">
        <v>43594</v>
      </c>
      <c r="Q616" s="53">
        <f>IF(ISBLANK(P616:P1615), "", DATEDIF(J616:J1615, P616:P1615, "Y"))</f>
      </c>
    </row>
    <row x14ac:dyDescent="0.25" r="617" customHeight="1" ht="15.75">
      <c r="A617" s="45" t="s">
        <v>1710</v>
      </c>
      <c r="B617" s="45" t="s">
        <v>584</v>
      </c>
      <c r="C617" s="45" t="s">
        <v>110</v>
      </c>
      <c r="D617" s="45" t="s">
        <v>36</v>
      </c>
      <c r="E617" s="45" t="s">
        <v>1096</v>
      </c>
      <c r="F617" s="45" t="s">
        <v>7</v>
      </c>
      <c r="G617" s="45" t="s">
        <v>8</v>
      </c>
      <c r="H617" s="53">
        <v>45</v>
      </c>
      <c r="I617" s="54">
        <f>IF(H617:H1616&lt;45, "Adult", IF(H617:H1616&lt;60, "Middle Age", IF(H617:H1616&lt;70, "Old", "Very Old")))</f>
      </c>
      <c r="J617" s="55">
        <v>40836</v>
      </c>
      <c r="K617" s="56">
        <v>123640</v>
      </c>
      <c r="L617" s="54">
        <f>IF(K617:K1616&lt;50000,"0-50",IF(K617:K1616&lt;100001,"51-100",IF(K617:K1616&lt;150001,"101-150",IF(K617:K1616&lt;200001,"151-200",IF(K617:K1616&lt;250001,"201-250","above 250")))))</f>
      </c>
      <c r="M617" s="57">
        <v>0.07</v>
      </c>
      <c r="N617" s="45" t="s">
        <v>12</v>
      </c>
      <c r="O617" s="45" t="s">
        <v>69</v>
      </c>
      <c r="P617" s="51"/>
      <c r="Q617" s="52">
        <f>IF(ISBLANK(P617:P1616), "", DATEDIF(J617:J1616, P617:P1616, "Y"))</f>
      </c>
    </row>
    <row x14ac:dyDescent="0.25" r="618" customHeight="1" ht="15.75">
      <c r="A618" s="45" t="s">
        <v>1711</v>
      </c>
      <c r="B618" s="45" t="s">
        <v>297</v>
      </c>
      <c r="C618" s="45" t="s">
        <v>80</v>
      </c>
      <c r="D618" s="45" t="s">
        <v>36</v>
      </c>
      <c r="E618" s="45" t="s">
        <v>1096</v>
      </c>
      <c r="F618" s="45" t="s">
        <v>7</v>
      </c>
      <c r="G618" s="45" t="s">
        <v>14</v>
      </c>
      <c r="H618" s="53">
        <v>33</v>
      </c>
      <c r="I618" s="54">
        <f>IF(H618:H1617&lt;45, "Adult", IF(H618:H1617&lt;60, "Middle Age", IF(H618:H1617&lt;70, "Old", "Very Old")))</f>
      </c>
      <c r="J618" s="55">
        <v>41742</v>
      </c>
      <c r="K618" s="56">
        <v>46878</v>
      </c>
      <c r="L618" s="54">
        <f>IF(K618:K1617&lt;50000,"0-50",IF(K618:K1617&lt;100001,"51-100",IF(K618:K1617&lt;150001,"101-150",IF(K618:K1617&lt;200001,"151-200",IF(K618:K1617&lt;250001,"201-250","above 250")))))</f>
      </c>
      <c r="M618" s="57">
        <v>0</v>
      </c>
      <c r="N618" s="45" t="s">
        <v>15</v>
      </c>
      <c r="O618" s="45" t="s">
        <v>59</v>
      </c>
      <c r="P618" s="51"/>
      <c r="Q618" s="52">
        <f>IF(ISBLANK(P618:P1617), "", DATEDIF(J618:J1617, P618:P1617, "Y"))</f>
      </c>
    </row>
    <row x14ac:dyDescent="0.25" r="619" customHeight="1" ht="15.75">
      <c r="A619" s="45" t="s">
        <v>1712</v>
      </c>
      <c r="B619" s="45" t="s">
        <v>1060</v>
      </c>
      <c r="C619" s="45" t="s">
        <v>80</v>
      </c>
      <c r="D619" s="45" t="s">
        <v>34</v>
      </c>
      <c r="E619" s="45" t="s">
        <v>1096</v>
      </c>
      <c r="F619" s="45" t="s">
        <v>7</v>
      </c>
      <c r="G619" s="45" t="s">
        <v>14</v>
      </c>
      <c r="H619" s="53">
        <v>64</v>
      </c>
      <c r="I619" s="54">
        <f>IF(H619:H1618&lt;45, "Adult", IF(H619:H1618&lt;60, "Middle Age", IF(H619:H1618&lt;70, "Old", "Very Old")))</f>
      </c>
      <c r="J619" s="55">
        <v>37662</v>
      </c>
      <c r="K619" s="56">
        <v>57032</v>
      </c>
      <c r="L619" s="54">
        <f>IF(K619:K1618&lt;50000,"0-50",IF(K619:K1618&lt;100001,"51-100",IF(K619:K1618&lt;150001,"101-150",IF(K619:K1618&lt;200001,"151-200",IF(K619:K1618&lt;250001,"201-250","above 250")))))</f>
      </c>
      <c r="M619" s="57">
        <v>0</v>
      </c>
      <c r="N619" s="45" t="s">
        <v>15</v>
      </c>
      <c r="O619" s="45" t="s">
        <v>59</v>
      </c>
      <c r="P619" s="51"/>
      <c r="Q619" s="52">
        <f>IF(ISBLANK(P619:P1618), "", DATEDIF(J619:J1618, P619:P1618, "Y"))</f>
      </c>
    </row>
    <row x14ac:dyDescent="0.25" r="620" customHeight="1" ht="15.75">
      <c r="A620" s="45" t="s">
        <v>1713</v>
      </c>
      <c r="B620" s="45" t="s">
        <v>929</v>
      </c>
      <c r="C620" s="45" t="s">
        <v>128</v>
      </c>
      <c r="D620" s="45" t="s">
        <v>36</v>
      </c>
      <c r="E620" s="45" t="s">
        <v>1094</v>
      </c>
      <c r="F620" s="45" t="s">
        <v>7</v>
      </c>
      <c r="G620" s="45" t="s">
        <v>17</v>
      </c>
      <c r="H620" s="53">
        <v>57</v>
      </c>
      <c r="I620" s="54">
        <f>IF(H620:H1619&lt;45, "Adult", IF(H620:H1619&lt;60, "Middle Age", IF(H620:H1619&lt;70, "Old", "Very Old")))</f>
      </c>
      <c r="J620" s="55">
        <v>39357</v>
      </c>
      <c r="K620" s="56">
        <v>98150</v>
      </c>
      <c r="L620" s="54">
        <f>IF(K620:K1619&lt;50000,"0-50",IF(K620:K1619&lt;100001,"51-100",IF(K620:K1619&lt;150001,"101-150",IF(K620:K1619&lt;200001,"151-200",IF(K620:K1619&lt;250001,"201-250","above 250")))))</f>
      </c>
      <c r="M620" s="57">
        <v>0</v>
      </c>
      <c r="N620" s="45" t="s">
        <v>9</v>
      </c>
      <c r="O620" s="45" t="s">
        <v>63</v>
      </c>
      <c r="P620" s="51"/>
      <c r="Q620" s="52">
        <f>IF(ISBLANK(P620:P1619), "", DATEDIF(J620:J1619, P620:P1619, "Y"))</f>
      </c>
    </row>
    <row x14ac:dyDescent="0.25" r="621" customHeight="1" ht="15.75">
      <c r="A621" s="45" t="s">
        <v>1714</v>
      </c>
      <c r="B621" s="45" t="s">
        <v>345</v>
      </c>
      <c r="C621" s="45" t="s">
        <v>96</v>
      </c>
      <c r="D621" s="45" t="s">
        <v>34</v>
      </c>
      <c r="E621" s="45" t="s">
        <v>1094</v>
      </c>
      <c r="F621" s="45" t="s">
        <v>7</v>
      </c>
      <c r="G621" s="45" t="s">
        <v>8</v>
      </c>
      <c r="H621" s="53">
        <v>35</v>
      </c>
      <c r="I621" s="54">
        <f>IF(H621:H1620&lt;45, "Adult", IF(H621:H1620&lt;60, "Middle Age", IF(H621:H1620&lt;70, "Old", "Very Old")))</f>
      </c>
      <c r="J621" s="55">
        <v>42800</v>
      </c>
      <c r="K621" s="56">
        <v>171426</v>
      </c>
      <c r="L621" s="54">
        <f>IF(K621:K1620&lt;50000,"0-50",IF(K621:K1620&lt;100001,"51-100",IF(K621:K1620&lt;150001,"101-150",IF(K621:K1620&lt;200001,"151-200",IF(K621:K1620&lt;250001,"201-250","above 250")))))</f>
      </c>
      <c r="M621" s="57">
        <v>0.15</v>
      </c>
      <c r="N621" s="45" t="s">
        <v>12</v>
      </c>
      <c r="O621" s="45" t="s">
        <v>47</v>
      </c>
      <c r="P621" s="58">
        <v>43000</v>
      </c>
      <c r="Q621" s="53">
        <f>IF(ISBLANK(P621:P1620), "", DATEDIF(J621:J1620, P621:P1620, "Y"))</f>
      </c>
    </row>
    <row x14ac:dyDescent="0.25" r="622" customHeight="1" ht="15.75">
      <c r="A622" s="45" t="s">
        <v>1715</v>
      </c>
      <c r="B622" s="45" t="s">
        <v>893</v>
      </c>
      <c r="C622" s="45" t="s">
        <v>80</v>
      </c>
      <c r="D622" s="45" t="s">
        <v>28</v>
      </c>
      <c r="E622" s="45" t="s">
        <v>1094</v>
      </c>
      <c r="F622" s="45" t="s">
        <v>7</v>
      </c>
      <c r="G622" s="45" t="s">
        <v>14</v>
      </c>
      <c r="H622" s="53">
        <v>55</v>
      </c>
      <c r="I622" s="54">
        <f>IF(H622:H1621&lt;45, "Adult", IF(H622:H1621&lt;60, "Middle Age", IF(H622:H1621&lt;70, "Old", "Very Old")))</f>
      </c>
      <c r="J622" s="55">
        <v>44302</v>
      </c>
      <c r="K622" s="56">
        <v>48266</v>
      </c>
      <c r="L622" s="54">
        <f>IF(K622:K1621&lt;50000,"0-50",IF(K622:K1621&lt;100001,"51-100",IF(K622:K1621&lt;150001,"101-150",IF(K622:K1621&lt;200001,"151-200",IF(K622:K1621&lt;250001,"201-250","above 250")))))</f>
      </c>
      <c r="M622" s="57">
        <v>0</v>
      </c>
      <c r="N622" s="45" t="s">
        <v>15</v>
      </c>
      <c r="O622" s="45" t="s">
        <v>51</v>
      </c>
      <c r="P622" s="51"/>
      <c r="Q622" s="52">
        <f>IF(ISBLANK(P622:P1621), "", DATEDIF(J622:J1621, P622:P1621, "Y"))</f>
      </c>
    </row>
    <row x14ac:dyDescent="0.25" r="623" customHeight="1" ht="15.75">
      <c r="A623" s="45" t="s">
        <v>1716</v>
      </c>
      <c r="B623" s="45" t="s">
        <v>369</v>
      </c>
      <c r="C623" s="45" t="s">
        <v>142</v>
      </c>
      <c r="D623" s="45" t="s">
        <v>28</v>
      </c>
      <c r="E623" s="45" t="s">
        <v>1092</v>
      </c>
      <c r="F623" s="45" t="s">
        <v>10</v>
      </c>
      <c r="G623" s="45" t="s">
        <v>17</v>
      </c>
      <c r="H623" s="53">
        <v>36</v>
      </c>
      <c r="I623" s="54">
        <f>IF(H623:H1622&lt;45, "Adult", IF(H623:H1622&lt;60, "Middle Age", IF(H623:H1622&lt;70, "Old", "Very Old")))</f>
      </c>
      <c r="J623" s="55">
        <v>43330</v>
      </c>
      <c r="K623" s="56">
        <v>223404</v>
      </c>
      <c r="L623" s="54">
        <f>IF(K623:K1622&lt;50000,"0-50",IF(K623:K1622&lt;100001,"51-100",IF(K623:K1622&lt;150001,"101-150",IF(K623:K1622&lt;200001,"151-200",IF(K623:K1622&lt;250001,"201-250","above 250")))))</f>
      </c>
      <c r="M623" s="57">
        <v>0.32</v>
      </c>
      <c r="N623" s="45" t="s">
        <v>15</v>
      </c>
      <c r="O623" s="45" t="s">
        <v>55</v>
      </c>
      <c r="P623" s="51"/>
      <c r="Q623" s="52">
        <f>IF(ISBLANK(P623:P1622), "", DATEDIF(J623:J1622, P623:P1622, "Y"))</f>
      </c>
    </row>
    <row x14ac:dyDescent="0.25" r="624" customHeight="1" ht="15.75">
      <c r="A624" s="45" t="s">
        <v>1717</v>
      </c>
      <c r="B624" s="45" t="s">
        <v>931</v>
      </c>
      <c r="C624" s="45" t="s">
        <v>134</v>
      </c>
      <c r="D624" s="45" t="s">
        <v>32</v>
      </c>
      <c r="E624" s="45" t="s">
        <v>1096</v>
      </c>
      <c r="F624" s="45" t="s">
        <v>7</v>
      </c>
      <c r="G624" s="45" t="s">
        <v>8</v>
      </c>
      <c r="H624" s="53">
        <v>57</v>
      </c>
      <c r="I624" s="54">
        <f>IF(H624:H1623&lt;45, "Adult", IF(H624:H1623&lt;60, "Middle Age", IF(H624:H1623&lt;70, "Old", "Very Old")))</f>
      </c>
      <c r="J624" s="55">
        <v>41649</v>
      </c>
      <c r="K624" s="56">
        <v>74854</v>
      </c>
      <c r="L624" s="54">
        <f>IF(K624:K1623&lt;50000,"0-50",IF(K624:K1623&lt;100001,"51-100",IF(K624:K1623&lt;150001,"101-150",IF(K624:K1623&lt;200001,"151-200",IF(K624:K1623&lt;250001,"201-250","above 250")))))</f>
      </c>
      <c r="M624" s="57">
        <v>0</v>
      </c>
      <c r="N624" s="45" t="s">
        <v>15</v>
      </c>
      <c r="O624" s="45" t="s">
        <v>67</v>
      </c>
      <c r="P624" s="51"/>
      <c r="Q624" s="52">
        <f>IF(ISBLANK(P624:P1623), "", DATEDIF(J624:J1623, P624:P1623, "Y"))</f>
      </c>
    </row>
    <row x14ac:dyDescent="0.25" r="625" customHeight="1" ht="15.75">
      <c r="A625" s="45" t="s">
        <v>1718</v>
      </c>
      <c r="B625" s="45" t="s">
        <v>692</v>
      </c>
      <c r="C625" s="45" t="s">
        <v>142</v>
      </c>
      <c r="D625" s="45" t="s">
        <v>24</v>
      </c>
      <c r="E625" s="45" t="s">
        <v>1096</v>
      </c>
      <c r="F625" s="45" t="s">
        <v>7</v>
      </c>
      <c r="G625" s="45" t="s">
        <v>14</v>
      </c>
      <c r="H625" s="53">
        <v>48</v>
      </c>
      <c r="I625" s="54">
        <f>IF(H625:H1624&lt;45, "Adult", IF(H625:H1624&lt;60, "Middle Age", IF(H625:H1624&lt;70, "Old", "Very Old")))</f>
      </c>
      <c r="J625" s="55">
        <v>39197</v>
      </c>
      <c r="K625" s="56">
        <v>217783</v>
      </c>
      <c r="L625" s="54">
        <f>IF(K625:K1624&lt;50000,"0-50",IF(K625:K1624&lt;100001,"51-100",IF(K625:K1624&lt;150001,"101-150",IF(K625:K1624&lt;200001,"151-200",IF(K625:K1624&lt;250001,"201-250","above 250")))))</f>
      </c>
      <c r="M625" s="57">
        <v>0.36</v>
      </c>
      <c r="N625" s="45" t="s">
        <v>15</v>
      </c>
      <c r="O625" s="45" t="s">
        <v>67</v>
      </c>
      <c r="P625" s="51"/>
      <c r="Q625" s="52">
        <f>IF(ISBLANK(P625:P1624), "", DATEDIF(J625:J1624, P625:P1624, "Y"))</f>
      </c>
    </row>
    <row x14ac:dyDescent="0.25" r="626" customHeight="1" ht="15.75">
      <c r="A626" s="45" t="s">
        <v>1719</v>
      </c>
      <c r="B626" s="45" t="s">
        <v>816</v>
      </c>
      <c r="C626" s="45" t="s">
        <v>136</v>
      </c>
      <c r="D626" s="45" t="s">
        <v>32</v>
      </c>
      <c r="E626" s="45" t="s">
        <v>1094</v>
      </c>
      <c r="F626" s="45" t="s">
        <v>7</v>
      </c>
      <c r="G626" s="45" t="s">
        <v>17</v>
      </c>
      <c r="H626" s="53">
        <v>53</v>
      </c>
      <c r="I626" s="54">
        <f>IF(H626:H1625&lt;45, "Adult", IF(H626:H1625&lt;60, "Middle Age", IF(H626:H1625&lt;70, "Old", "Very Old")))</f>
      </c>
      <c r="J626" s="55">
        <v>38214</v>
      </c>
      <c r="K626" s="56">
        <v>44735</v>
      </c>
      <c r="L626" s="54">
        <f>IF(K626:K1625&lt;50000,"0-50",IF(K626:K1625&lt;100001,"51-100",IF(K626:K1625&lt;150001,"101-150",IF(K626:K1625&lt;200001,"151-200",IF(K626:K1625&lt;250001,"201-250","above 250")))))</f>
      </c>
      <c r="M626" s="57">
        <v>0</v>
      </c>
      <c r="N626" s="45" t="s">
        <v>9</v>
      </c>
      <c r="O626" s="45" t="s">
        <v>57</v>
      </c>
      <c r="P626" s="51"/>
      <c r="Q626" s="52">
        <f>IF(ISBLANK(P626:P1625), "", DATEDIF(J626:J1625, P626:P1625, "Y"))</f>
      </c>
    </row>
    <row x14ac:dyDescent="0.25" r="627" customHeight="1" ht="15.75">
      <c r="A627" s="45" t="s">
        <v>1720</v>
      </c>
      <c r="B627" s="45" t="s">
        <v>480</v>
      </c>
      <c r="C627" s="45" t="s">
        <v>82</v>
      </c>
      <c r="D627" s="45" t="s">
        <v>28</v>
      </c>
      <c r="E627" s="45" t="s">
        <v>1094</v>
      </c>
      <c r="F627" s="45" t="s">
        <v>7</v>
      </c>
      <c r="G627" s="45" t="s">
        <v>14</v>
      </c>
      <c r="H627" s="53">
        <v>41</v>
      </c>
      <c r="I627" s="54">
        <f>IF(H627:H1626&lt;45, "Adult", IF(H627:H1626&lt;60, "Middle Age", IF(H627:H1626&lt;70, "Old", "Very Old")))</f>
      </c>
      <c r="J627" s="55">
        <v>39091</v>
      </c>
      <c r="K627" s="56">
        <v>50685</v>
      </c>
      <c r="L627" s="54">
        <f>IF(K627:K1626&lt;50000,"0-50",IF(K627:K1626&lt;100001,"51-100",IF(K627:K1626&lt;150001,"101-150",IF(K627:K1626&lt;200001,"151-200",IF(K627:K1626&lt;250001,"201-250","above 250")))))</f>
      </c>
      <c r="M627" s="57">
        <v>0</v>
      </c>
      <c r="N627" s="45" t="s">
        <v>15</v>
      </c>
      <c r="O627" s="45" t="s">
        <v>55</v>
      </c>
      <c r="P627" s="51"/>
      <c r="Q627" s="52">
        <f>IF(ISBLANK(P627:P1626), "", DATEDIF(J627:J1626, P627:P1626, "Y"))</f>
      </c>
    </row>
    <row x14ac:dyDescent="0.25" r="628" customHeight="1" ht="15.75">
      <c r="A628" s="45" t="s">
        <v>1721</v>
      </c>
      <c r="B628" s="45" t="s">
        <v>326</v>
      </c>
      <c r="C628" s="45" t="s">
        <v>82</v>
      </c>
      <c r="D628" s="45" t="s">
        <v>36</v>
      </c>
      <c r="E628" s="45" t="s">
        <v>1092</v>
      </c>
      <c r="F628" s="45" t="s">
        <v>10</v>
      </c>
      <c r="G628" s="45" t="s">
        <v>8</v>
      </c>
      <c r="H628" s="53">
        <v>34</v>
      </c>
      <c r="I628" s="54">
        <f>IF(H628:H1627&lt;45, "Adult", IF(H628:H1627&lt;60, "Middle Age", IF(H628:H1627&lt;70, "Old", "Very Old")))</f>
      </c>
      <c r="J628" s="55">
        <v>43169</v>
      </c>
      <c r="K628" s="56">
        <v>58993</v>
      </c>
      <c r="L628" s="54">
        <f>IF(K628:K1627&lt;50000,"0-50",IF(K628:K1627&lt;100001,"51-100",IF(K628:K1627&lt;150001,"101-150",IF(K628:K1627&lt;200001,"151-200",IF(K628:K1627&lt;250001,"201-250","above 250")))))</f>
      </c>
      <c r="M628" s="57">
        <v>0</v>
      </c>
      <c r="N628" s="45" t="s">
        <v>15</v>
      </c>
      <c r="O628" s="45" t="s">
        <v>42</v>
      </c>
      <c r="P628" s="51"/>
      <c r="Q628" s="52">
        <f>IF(ISBLANK(P628:P1627), "", DATEDIF(J628:J1627, P628:P1627, "Y"))</f>
      </c>
    </row>
    <row x14ac:dyDescent="0.25" r="629" customHeight="1" ht="15.75">
      <c r="A629" s="45" t="s">
        <v>1722</v>
      </c>
      <c r="B629" s="45" t="s">
        <v>675</v>
      </c>
      <c r="C629" s="45" t="s">
        <v>118</v>
      </c>
      <c r="D629" s="45" t="s">
        <v>26</v>
      </c>
      <c r="E629" s="45" t="s">
        <v>1100</v>
      </c>
      <c r="F629" s="45" t="s">
        <v>10</v>
      </c>
      <c r="G629" s="45" t="s">
        <v>14</v>
      </c>
      <c r="H629" s="53">
        <v>47</v>
      </c>
      <c r="I629" s="54">
        <f>IF(H629:H1628&lt;45, "Adult", IF(H629:H1628&lt;60, "Middle Age", IF(H629:H1628&lt;70, "Old", "Very Old")))</f>
      </c>
      <c r="J629" s="55">
        <v>43990</v>
      </c>
      <c r="K629" s="56">
        <v>115765</v>
      </c>
      <c r="L629" s="54">
        <f>IF(K629:K1628&lt;50000,"0-50",IF(K629:K1628&lt;100001,"51-100",IF(K629:K1628&lt;150001,"101-150",IF(K629:K1628&lt;200001,"151-200",IF(K629:K1628&lt;250001,"201-250","above 250")))))</f>
      </c>
      <c r="M629" s="57">
        <v>0</v>
      </c>
      <c r="N629" s="45" t="s">
        <v>15</v>
      </c>
      <c r="O629" s="45" t="s">
        <v>59</v>
      </c>
      <c r="P629" s="58">
        <v>44229</v>
      </c>
      <c r="Q629" s="53">
        <f>IF(ISBLANK(P629:P1628), "", DATEDIF(J629:J1628, P629:P1628, "Y"))</f>
      </c>
    </row>
    <row x14ac:dyDescent="0.25" r="630" customHeight="1" ht="15.75">
      <c r="A630" s="45" t="s">
        <v>1723</v>
      </c>
      <c r="B630" s="45" t="s">
        <v>1033</v>
      </c>
      <c r="C630" s="45" t="s">
        <v>96</v>
      </c>
      <c r="D630" s="45" t="s">
        <v>24</v>
      </c>
      <c r="E630" s="45" t="s">
        <v>1094</v>
      </c>
      <c r="F630" s="45" t="s">
        <v>7</v>
      </c>
      <c r="G630" s="45" t="s">
        <v>8</v>
      </c>
      <c r="H630" s="53">
        <v>63</v>
      </c>
      <c r="I630" s="54">
        <f>IF(H630:H1629&lt;45, "Adult", IF(H630:H1629&lt;60, "Middle Age", IF(H630:H1629&lt;70, "Old", "Very Old")))</f>
      </c>
      <c r="J630" s="55">
        <v>39147</v>
      </c>
      <c r="K630" s="56">
        <v>193044</v>
      </c>
      <c r="L630" s="54">
        <f>IF(K630:K1629&lt;50000,"0-50",IF(K630:K1629&lt;100001,"51-100",IF(K630:K1629&lt;150001,"101-150",IF(K630:K1629&lt;200001,"151-200",IF(K630:K1629&lt;250001,"201-250","above 250")))))</f>
      </c>
      <c r="M630" s="57">
        <v>0.15</v>
      </c>
      <c r="N630" s="45" t="s">
        <v>15</v>
      </c>
      <c r="O630" s="45" t="s">
        <v>59</v>
      </c>
      <c r="P630" s="51"/>
      <c r="Q630" s="52">
        <f>IF(ISBLANK(P630:P1629), "", DATEDIF(J630:J1629, P630:P1629, "Y"))</f>
      </c>
    </row>
    <row x14ac:dyDescent="0.25" r="631" customHeight="1" ht="15.75">
      <c r="A631" s="45" t="s">
        <v>1724</v>
      </c>
      <c r="B631" s="45" t="s">
        <v>1075</v>
      </c>
      <c r="C631" s="45" t="s">
        <v>80</v>
      </c>
      <c r="D631" s="45" t="s">
        <v>34</v>
      </c>
      <c r="E631" s="45" t="s">
        <v>1092</v>
      </c>
      <c r="F631" s="45" t="s">
        <v>7</v>
      </c>
      <c r="G631" s="45" t="s">
        <v>11</v>
      </c>
      <c r="H631" s="53">
        <v>65</v>
      </c>
      <c r="I631" s="54">
        <f>IF(H631:H1630&lt;45, "Adult", IF(H631:H1630&lt;60, "Middle Age", IF(H631:H1630&lt;70, "Old", "Very Old")))</f>
      </c>
      <c r="J631" s="55">
        <v>40711</v>
      </c>
      <c r="K631" s="56">
        <v>56686</v>
      </c>
      <c r="L631" s="54">
        <f>IF(K631:K1630&lt;50000,"0-50",IF(K631:K1630&lt;100001,"51-100",IF(K631:K1630&lt;150001,"101-150",IF(K631:K1630&lt;200001,"151-200",IF(K631:K1630&lt;250001,"201-250","above 250")))))</f>
      </c>
      <c r="M631" s="57">
        <v>0</v>
      </c>
      <c r="N631" s="45" t="s">
        <v>15</v>
      </c>
      <c r="O631" s="45" t="s">
        <v>67</v>
      </c>
      <c r="P631" s="58">
        <v>42164</v>
      </c>
      <c r="Q631" s="53">
        <f>IF(ISBLANK(P631:P1630), "", DATEDIF(J631:J1630, P631:P1630, "Y"))</f>
      </c>
    </row>
    <row x14ac:dyDescent="0.25" r="632" customHeight="1" ht="15.75">
      <c r="A632" s="45" t="s">
        <v>1725</v>
      </c>
      <c r="B632" s="45" t="s">
        <v>299</v>
      </c>
      <c r="C632" s="45" t="s">
        <v>132</v>
      </c>
      <c r="D632" s="45" t="s">
        <v>28</v>
      </c>
      <c r="E632" s="45" t="s">
        <v>1094</v>
      </c>
      <c r="F632" s="45" t="s">
        <v>7</v>
      </c>
      <c r="G632" s="45" t="s">
        <v>11</v>
      </c>
      <c r="H632" s="53">
        <v>33</v>
      </c>
      <c r="I632" s="54">
        <f>IF(H632:H1631&lt;45, "Adult", IF(H632:H1631&lt;60, "Middle Age", IF(H632:H1631&lt;70, "Old", "Very Old")))</f>
      </c>
      <c r="J632" s="55">
        <v>43763</v>
      </c>
      <c r="K632" s="56">
        <v>131652</v>
      </c>
      <c r="L632" s="54">
        <f>IF(K632:K1631&lt;50000,"0-50",IF(K632:K1631&lt;100001,"51-100",IF(K632:K1631&lt;150001,"101-150",IF(K632:K1631&lt;200001,"151-200",IF(K632:K1631&lt;250001,"201-250","above 250")))))</f>
      </c>
      <c r="M632" s="57">
        <v>0.11</v>
      </c>
      <c r="N632" s="45" t="s">
        <v>15</v>
      </c>
      <c r="O632" s="45" t="s">
        <v>67</v>
      </c>
      <c r="P632" s="51"/>
      <c r="Q632" s="52">
        <f>IF(ISBLANK(P632:P1631), "", DATEDIF(J632:J1631, P632:P1631, "Y"))</f>
      </c>
    </row>
    <row x14ac:dyDescent="0.25" r="633" customHeight="1" ht="15.75">
      <c r="A633" s="45" t="s">
        <v>1726</v>
      </c>
      <c r="B633" s="45" t="s">
        <v>589</v>
      </c>
      <c r="C633" s="45" t="s">
        <v>96</v>
      </c>
      <c r="D633" s="45" t="s">
        <v>34</v>
      </c>
      <c r="E633" s="45" t="s">
        <v>1094</v>
      </c>
      <c r="F633" s="45" t="s">
        <v>7</v>
      </c>
      <c r="G633" s="45" t="s">
        <v>11</v>
      </c>
      <c r="H633" s="53">
        <v>45</v>
      </c>
      <c r="I633" s="54">
        <f>IF(H633:H1632&lt;45, "Adult", IF(H633:H1632&lt;60, "Middle Age", IF(H633:H1632&lt;70, "Old", "Very Old")))</f>
      </c>
      <c r="J633" s="55">
        <v>39507</v>
      </c>
      <c r="K633" s="56">
        <v>150577</v>
      </c>
      <c r="L633" s="54">
        <f>IF(K633:K1632&lt;50000,"0-50",IF(K633:K1632&lt;100001,"51-100",IF(K633:K1632&lt;150001,"101-150",IF(K633:K1632&lt;200001,"151-200",IF(K633:K1632&lt;250001,"201-250","above 250")))))</f>
      </c>
      <c r="M633" s="57">
        <v>0.25</v>
      </c>
      <c r="N633" s="45" t="s">
        <v>15</v>
      </c>
      <c r="O633" s="45" t="s">
        <v>59</v>
      </c>
      <c r="P633" s="51"/>
      <c r="Q633" s="52">
        <f>IF(ISBLANK(P633:P1632), "", DATEDIF(J633:J1632, P633:P1632, "Y"))</f>
      </c>
    </row>
    <row x14ac:dyDescent="0.25" r="634" customHeight="1" ht="15.75">
      <c r="A634" s="45" t="s">
        <v>1727</v>
      </c>
      <c r="B634" s="45" t="s">
        <v>395</v>
      </c>
      <c r="C634" s="45" t="s">
        <v>98</v>
      </c>
      <c r="D634" s="45" t="s">
        <v>26</v>
      </c>
      <c r="E634" s="45" t="s">
        <v>1092</v>
      </c>
      <c r="F634" s="45" t="s">
        <v>7</v>
      </c>
      <c r="G634" s="45" t="s">
        <v>17</v>
      </c>
      <c r="H634" s="53">
        <v>37</v>
      </c>
      <c r="I634" s="54">
        <f>IF(H634:H1633&lt;45, "Adult", IF(H634:H1633&lt;60, "Middle Age", IF(H634:H1633&lt;70, "Old", "Very Old")))</f>
      </c>
      <c r="J634" s="55">
        <v>43461</v>
      </c>
      <c r="K634" s="56">
        <v>87359</v>
      </c>
      <c r="L634" s="54">
        <f>IF(K634:K1633&lt;50000,"0-50",IF(K634:K1633&lt;100001,"51-100",IF(K634:K1633&lt;150001,"101-150",IF(K634:K1633&lt;200001,"151-200",IF(K634:K1633&lt;250001,"201-250","above 250")))))</f>
      </c>
      <c r="M634" s="57">
        <v>0.11</v>
      </c>
      <c r="N634" s="45" t="s">
        <v>9</v>
      </c>
      <c r="O634" s="45" t="s">
        <v>63</v>
      </c>
      <c r="P634" s="51"/>
      <c r="Q634" s="52">
        <f>IF(ISBLANK(P634:P1633), "", DATEDIF(J634:J1633, P634:P1633, "Y"))</f>
      </c>
    </row>
    <row x14ac:dyDescent="0.25" r="635" customHeight="1" ht="15.75">
      <c r="A635" s="45" t="s">
        <v>1728</v>
      </c>
      <c r="B635" s="45" t="s">
        <v>982</v>
      </c>
      <c r="C635" s="45" t="s">
        <v>82</v>
      </c>
      <c r="D635" s="45" t="s">
        <v>36</v>
      </c>
      <c r="E635" s="45" t="s">
        <v>1096</v>
      </c>
      <c r="F635" s="45" t="s">
        <v>7</v>
      </c>
      <c r="G635" s="45" t="s">
        <v>8</v>
      </c>
      <c r="H635" s="53">
        <v>60</v>
      </c>
      <c r="I635" s="54">
        <f>IF(H635:H1634&lt;45, "Adult", IF(H635:H1634&lt;60, "Middle Age", IF(H635:H1634&lt;70, "Old", "Very Old")))</f>
      </c>
      <c r="J635" s="55">
        <v>41647</v>
      </c>
      <c r="K635" s="56">
        <v>51877</v>
      </c>
      <c r="L635" s="54">
        <f>IF(K635:K1634&lt;50000,"0-50",IF(K635:K1634&lt;100001,"51-100",IF(K635:K1634&lt;150001,"101-150",IF(K635:K1634&lt;200001,"151-200",IF(K635:K1634&lt;250001,"201-250","above 250")))))</f>
      </c>
      <c r="M635" s="57">
        <v>0</v>
      </c>
      <c r="N635" s="45" t="s">
        <v>12</v>
      </c>
      <c r="O635" s="45" t="s">
        <v>47</v>
      </c>
      <c r="P635" s="51"/>
      <c r="Q635" s="52">
        <f>IF(ISBLANK(P635:P1634), "", DATEDIF(J635:J1634, P635:P1634, "Y"))</f>
      </c>
    </row>
    <row x14ac:dyDescent="0.25" r="636" customHeight="1" ht="15.75">
      <c r="A636" s="45" t="s">
        <v>1729</v>
      </c>
      <c r="B636" s="45" t="s">
        <v>529</v>
      </c>
      <c r="C636" s="45" t="s">
        <v>124</v>
      </c>
      <c r="D636" s="45" t="s">
        <v>32</v>
      </c>
      <c r="E636" s="45" t="s">
        <v>1094</v>
      </c>
      <c r="F636" s="45" t="s">
        <v>10</v>
      </c>
      <c r="G636" s="45" t="s">
        <v>8</v>
      </c>
      <c r="H636" s="53">
        <v>43</v>
      </c>
      <c r="I636" s="54">
        <f>IF(H636:H1635&lt;45, "Adult", IF(H636:H1635&lt;60, "Middle Age", IF(H636:H1635&lt;70, "Old", "Very Old")))</f>
      </c>
      <c r="J636" s="55">
        <v>42753</v>
      </c>
      <c r="K636" s="56">
        <v>86417</v>
      </c>
      <c r="L636" s="54">
        <f>IF(K636:K1635&lt;50000,"0-50",IF(K636:K1635&lt;100001,"51-100",IF(K636:K1635&lt;150001,"101-150",IF(K636:K1635&lt;200001,"151-200",IF(K636:K1635&lt;250001,"201-250","above 250")))))</f>
      </c>
      <c r="M636" s="57">
        <v>0</v>
      </c>
      <c r="N636" s="45" t="s">
        <v>15</v>
      </c>
      <c r="O636" s="45" t="s">
        <v>51</v>
      </c>
      <c r="P636" s="51"/>
      <c r="Q636" s="52">
        <f>IF(ISBLANK(P636:P1635), "", DATEDIF(J636:J1635, P636:P1635, "Y"))</f>
      </c>
    </row>
    <row x14ac:dyDescent="0.25" r="637" customHeight="1" ht="15.75">
      <c r="A637" s="45" t="s">
        <v>1730</v>
      </c>
      <c r="B637" s="45" t="s">
        <v>669</v>
      </c>
      <c r="C637" s="45" t="s">
        <v>134</v>
      </c>
      <c r="D637" s="45" t="s">
        <v>32</v>
      </c>
      <c r="E637" s="45" t="s">
        <v>1092</v>
      </c>
      <c r="F637" s="45" t="s">
        <v>7</v>
      </c>
      <c r="G637" s="45" t="s">
        <v>8</v>
      </c>
      <c r="H637" s="53">
        <v>65</v>
      </c>
      <c r="I637" s="54">
        <f>IF(H637:H1636&lt;45, "Adult", IF(H637:H1636&lt;60, "Middle Age", IF(H637:H1636&lt;70, "Old", "Very Old")))</f>
      </c>
      <c r="J637" s="55">
        <v>37749</v>
      </c>
      <c r="K637" s="56">
        <v>96548</v>
      </c>
      <c r="L637" s="54">
        <f>IF(K637:K1636&lt;50000,"0-50",IF(K637:K1636&lt;100001,"51-100",IF(K637:K1636&lt;150001,"101-150",IF(K637:K1636&lt;200001,"151-200",IF(K637:K1636&lt;250001,"201-250","above 250")))))</f>
      </c>
      <c r="M637" s="57">
        <v>0</v>
      </c>
      <c r="N637" s="45" t="s">
        <v>15</v>
      </c>
      <c r="O637" s="45" t="s">
        <v>42</v>
      </c>
      <c r="P637" s="51"/>
      <c r="Q637" s="52">
        <f>IF(ISBLANK(P637:P1636), "", DATEDIF(J637:J1636, P637:P1636, "Y"))</f>
      </c>
    </row>
    <row x14ac:dyDescent="0.25" r="638" customHeight="1" ht="15.75">
      <c r="A638" s="45" t="s">
        <v>1731</v>
      </c>
      <c r="B638" s="45" t="s">
        <v>531</v>
      </c>
      <c r="C638" s="45" t="s">
        <v>128</v>
      </c>
      <c r="D638" s="45" t="s">
        <v>24</v>
      </c>
      <c r="E638" s="45" t="s">
        <v>1094</v>
      </c>
      <c r="F638" s="45" t="s">
        <v>7</v>
      </c>
      <c r="G638" s="45" t="s">
        <v>8</v>
      </c>
      <c r="H638" s="53">
        <v>43</v>
      </c>
      <c r="I638" s="54">
        <f>IF(H638:H1637&lt;45, "Adult", IF(H638:H1637&lt;60, "Middle Age", IF(H638:H1637&lt;70, "Old", "Very Old")))</f>
      </c>
      <c r="J638" s="55">
        <v>41662</v>
      </c>
      <c r="K638" s="56">
        <v>92940</v>
      </c>
      <c r="L638" s="54">
        <f>IF(K638:K1637&lt;50000,"0-50",IF(K638:K1637&lt;100001,"51-100",IF(K638:K1637&lt;150001,"101-150",IF(K638:K1637&lt;200001,"151-200",IF(K638:K1637&lt;250001,"201-250","above 250")))))</f>
      </c>
      <c r="M638" s="57">
        <v>0</v>
      </c>
      <c r="N638" s="45" t="s">
        <v>12</v>
      </c>
      <c r="O638" s="45" t="s">
        <v>49</v>
      </c>
      <c r="P638" s="51"/>
      <c r="Q638" s="52">
        <f>IF(ISBLANK(P638:P1637), "", DATEDIF(J638:J1637, P638:P1637, "Y"))</f>
      </c>
    </row>
    <row x14ac:dyDescent="0.25" r="639" customHeight="1" ht="15.75">
      <c r="A639" s="45" t="s">
        <v>1732</v>
      </c>
      <c r="B639" s="45" t="s">
        <v>175</v>
      </c>
      <c r="C639" s="45" t="s">
        <v>82</v>
      </c>
      <c r="D639" s="45" t="s">
        <v>24</v>
      </c>
      <c r="E639" s="45" t="s">
        <v>1096</v>
      </c>
      <c r="F639" s="45" t="s">
        <v>10</v>
      </c>
      <c r="G639" s="45" t="s">
        <v>8</v>
      </c>
      <c r="H639" s="53">
        <v>28</v>
      </c>
      <c r="I639" s="54">
        <f>IF(H639:H1638&lt;45, "Adult", IF(H639:H1638&lt;60, "Middle Age", IF(H639:H1638&lt;70, "Old", "Very Old")))</f>
      </c>
      <c r="J639" s="55">
        <v>43336</v>
      </c>
      <c r="K639" s="56">
        <v>61410</v>
      </c>
      <c r="L639" s="54">
        <f>IF(K639:K1638&lt;50000,"0-50",IF(K639:K1638&lt;100001,"51-100",IF(K639:K1638&lt;150001,"101-150",IF(K639:K1638&lt;200001,"151-200",IF(K639:K1638&lt;250001,"201-250","above 250")))))</f>
      </c>
      <c r="M639" s="57">
        <v>0</v>
      </c>
      <c r="N639" s="45" t="s">
        <v>15</v>
      </c>
      <c r="O639" s="45" t="s">
        <v>61</v>
      </c>
      <c r="P639" s="51"/>
      <c r="Q639" s="52">
        <f>IF(ISBLANK(P639:P1638), "", DATEDIF(J639:J1638, P639:P1638, "Y"))</f>
      </c>
    </row>
    <row x14ac:dyDescent="0.25" r="640" customHeight="1" ht="15.75">
      <c r="A640" s="45" t="s">
        <v>1733</v>
      </c>
      <c r="B640" s="45" t="s">
        <v>1003</v>
      </c>
      <c r="C640" s="45" t="s">
        <v>110</v>
      </c>
      <c r="D640" s="45" t="s">
        <v>28</v>
      </c>
      <c r="E640" s="45" t="s">
        <v>1096</v>
      </c>
      <c r="F640" s="45" t="s">
        <v>7</v>
      </c>
      <c r="G640" s="45" t="s">
        <v>11</v>
      </c>
      <c r="H640" s="53">
        <v>61</v>
      </c>
      <c r="I640" s="54">
        <f>IF(H640:H1639&lt;45, "Adult", IF(H640:H1639&lt;60, "Middle Age", IF(H640:H1639&lt;70, "Old", "Very Old")))</f>
      </c>
      <c r="J640" s="55">
        <v>40293</v>
      </c>
      <c r="K640" s="56">
        <v>110302</v>
      </c>
      <c r="L640" s="54">
        <f>IF(K640:K1639&lt;50000,"0-50",IF(K640:K1639&lt;100001,"51-100",IF(K640:K1639&lt;150001,"101-150",IF(K640:K1639&lt;200001,"151-200",IF(K640:K1639&lt;250001,"201-250","above 250")))))</f>
      </c>
      <c r="M640" s="57">
        <v>0.06</v>
      </c>
      <c r="N640" s="45" t="s">
        <v>15</v>
      </c>
      <c r="O640" s="45" t="s">
        <v>59</v>
      </c>
      <c r="P640" s="51"/>
      <c r="Q640" s="52">
        <f>IF(ISBLANK(P640:P1639), "", DATEDIF(J640:J1639, P640:P1639, "Y"))</f>
      </c>
    </row>
    <row x14ac:dyDescent="0.25" r="641" customHeight="1" ht="15.75">
      <c r="A641" s="45" t="s">
        <v>1734</v>
      </c>
      <c r="B641" s="45" t="s">
        <v>593</v>
      </c>
      <c r="C641" s="45" t="s">
        <v>96</v>
      </c>
      <c r="D641" s="45" t="s">
        <v>26</v>
      </c>
      <c r="E641" s="45" t="s">
        <v>1096</v>
      </c>
      <c r="F641" s="45" t="s">
        <v>7</v>
      </c>
      <c r="G641" s="45" t="s">
        <v>11</v>
      </c>
      <c r="H641" s="53">
        <v>45</v>
      </c>
      <c r="I641" s="54">
        <f>IF(H641:H1640&lt;45, "Adult", IF(H641:H1640&lt;60, "Middle Age", IF(H641:H1640&lt;70, "Old", "Very Old")))</f>
      </c>
      <c r="J641" s="55">
        <v>43212</v>
      </c>
      <c r="K641" s="56">
        <v>187205</v>
      </c>
      <c r="L641" s="54">
        <f>IF(K641:K1640&lt;50000,"0-50",IF(K641:K1640&lt;100001,"51-100",IF(K641:K1640&lt;150001,"101-150",IF(K641:K1640&lt;200001,"151-200",IF(K641:K1640&lt;250001,"201-250","above 250")))))</f>
      </c>
      <c r="M641" s="57">
        <v>0.24</v>
      </c>
      <c r="N641" s="45" t="s">
        <v>15</v>
      </c>
      <c r="O641" s="45" t="s">
        <v>55</v>
      </c>
      <c r="P641" s="58">
        <v>44732</v>
      </c>
      <c r="Q641" s="53">
        <f>IF(ISBLANK(P641:P1640), "", DATEDIF(J641:J1640, P641:P1640, "Y"))</f>
      </c>
    </row>
    <row x14ac:dyDescent="0.25" r="642" customHeight="1" ht="15.75">
      <c r="A642" s="45" t="s">
        <v>1735</v>
      </c>
      <c r="B642" s="45" t="s">
        <v>595</v>
      </c>
      <c r="C642" s="45" t="s">
        <v>128</v>
      </c>
      <c r="D642" s="45" t="s">
        <v>36</v>
      </c>
      <c r="E642" s="45" t="s">
        <v>1100</v>
      </c>
      <c r="F642" s="45" t="s">
        <v>10</v>
      </c>
      <c r="G642" s="45" t="s">
        <v>14</v>
      </c>
      <c r="H642" s="53">
        <v>45</v>
      </c>
      <c r="I642" s="54">
        <f>IF(H642:H1641&lt;45, "Adult", IF(H642:H1641&lt;60, "Middle Age", IF(H642:H1641&lt;70, "Old", "Very Old")))</f>
      </c>
      <c r="J642" s="55">
        <v>40618</v>
      </c>
      <c r="K642" s="56">
        <v>81687</v>
      </c>
      <c r="L642" s="54">
        <f>IF(K642:K1641&lt;50000,"0-50",IF(K642:K1641&lt;100001,"51-100",IF(K642:K1641&lt;150001,"101-150",IF(K642:K1641&lt;200001,"151-200",IF(K642:K1641&lt;250001,"201-250","above 250")))))</f>
      </c>
      <c r="M642" s="57">
        <v>0</v>
      </c>
      <c r="N642" s="45" t="s">
        <v>15</v>
      </c>
      <c r="O642" s="45" t="s">
        <v>61</v>
      </c>
      <c r="P642" s="51"/>
      <c r="Q642" s="52">
        <f>IF(ISBLANK(P642:P1641), "", DATEDIF(J642:J1641, P642:P1641, "Y"))</f>
      </c>
    </row>
    <row x14ac:dyDescent="0.25" r="643" customHeight="1" ht="15.75">
      <c r="A643" s="45" t="s">
        <v>1736</v>
      </c>
      <c r="B643" s="45" t="s">
        <v>840</v>
      </c>
      <c r="C643" s="45" t="s">
        <v>142</v>
      </c>
      <c r="D643" s="45" t="s">
        <v>32</v>
      </c>
      <c r="E643" s="45" t="s">
        <v>1096</v>
      </c>
      <c r="F643" s="45" t="s">
        <v>10</v>
      </c>
      <c r="G643" s="45" t="s">
        <v>17</v>
      </c>
      <c r="H643" s="53">
        <v>54</v>
      </c>
      <c r="I643" s="54">
        <f>IF(H643:H1642&lt;45, "Adult", IF(H643:H1642&lt;60, "Middle Age", IF(H643:H1642&lt;70, "Old", "Very Old")))</f>
      </c>
      <c r="J643" s="55">
        <v>40040</v>
      </c>
      <c r="K643" s="56">
        <v>241083</v>
      </c>
      <c r="L643" s="54">
        <f>IF(K643:K1642&lt;50000,"0-50",IF(K643:K1642&lt;100001,"51-100",IF(K643:K1642&lt;150001,"101-150",IF(K643:K1642&lt;200001,"151-200",IF(K643:K1642&lt;250001,"201-250","above 250")))))</f>
      </c>
      <c r="M643" s="57">
        <v>0.39</v>
      </c>
      <c r="N643" s="45" t="s">
        <v>15</v>
      </c>
      <c r="O643" s="45" t="s">
        <v>55</v>
      </c>
      <c r="P643" s="51"/>
      <c r="Q643" s="52">
        <f>IF(ISBLANK(P643:P1642), "", DATEDIF(J643:J1642, P643:P1642, "Y"))</f>
      </c>
    </row>
    <row x14ac:dyDescent="0.25" r="644" customHeight="1" ht="15.75">
      <c r="A644" s="45" t="s">
        <v>1737</v>
      </c>
      <c r="B644" s="45" t="s">
        <v>416</v>
      </c>
      <c r="C644" s="45" t="s">
        <v>142</v>
      </c>
      <c r="D644" s="45" t="s">
        <v>28</v>
      </c>
      <c r="E644" s="45" t="s">
        <v>1096</v>
      </c>
      <c r="F644" s="45" t="s">
        <v>7</v>
      </c>
      <c r="G644" s="45" t="s">
        <v>11</v>
      </c>
      <c r="H644" s="53">
        <v>38</v>
      </c>
      <c r="I644" s="54">
        <f>IF(H644:H1643&lt;45, "Adult", IF(H644:H1643&lt;60, "Middle Age", IF(H644:H1643&lt;70, "Old", "Very Old")))</f>
      </c>
      <c r="J644" s="55">
        <v>43413</v>
      </c>
      <c r="K644" s="56">
        <v>223805</v>
      </c>
      <c r="L644" s="54">
        <f>IF(K644:K1643&lt;50000,"0-50",IF(K644:K1643&lt;100001,"51-100",IF(K644:K1643&lt;150001,"101-150",IF(K644:K1643&lt;200001,"151-200",IF(K644:K1643&lt;250001,"201-250","above 250")))))</f>
      </c>
      <c r="M644" s="57">
        <v>0.36</v>
      </c>
      <c r="N644" s="45" t="s">
        <v>15</v>
      </c>
      <c r="O644" s="45" t="s">
        <v>51</v>
      </c>
      <c r="P644" s="51"/>
      <c r="Q644" s="52">
        <f>IF(ISBLANK(P644:P1643), "", DATEDIF(J644:J1643, P644:P1643, "Y"))</f>
      </c>
    </row>
    <row x14ac:dyDescent="0.25" r="645" customHeight="1" ht="15.75">
      <c r="A645" s="45" t="s">
        <v>1738</v>
      </c>
      <c r="B645" s="45" t="s">
        <v>147</v>
      </c>
      <c r="C645" s="45" t="s">
        <v>96</v>
      </c>
      <c r="D645" s="45" t="s">
        <v>24</v>
      </c>
      <c r="E645" s="45" t="s">
        <v>1100</v>
      </c>
      <c r="F645" s="45" t="s">
        <v>7</v>
      </c>
      <c r="G645" s="45" t="s">
        <v>14</v>
      </c>
      <c r="H645" s="53">
        <v>27</v>
      </c>
      <c r="I645" s="54">
        <f>IF(H645:H1644&lt;45, "Adult", IF(H645:H1644&lt;60, "Middle Age", IF(H645:H1644&lt;70, "Old", "Very Old")))</f>
      </c>
      <c r="J645" s="55">
        <v>44393</v>
      </c>
      <c r="K645" s="56">
        <v>161759</v>
      </c>
      <c r="L645" s="54">
        <f>IF(K645:K1644&lt;50000,"0-50",IF(K645:K1644&lt;100001,"51-100",IF(K645:K1644&lt;150001,"101-150",IF(K645:K1644&lt;200001,"151-200",IF(K645:K1644&lt;250001,"201-250","above 250")))))</f>
      </c>
      <c r="M645" s="57">
        <v>0.16</v>
      </c>
      <c r="N645" s="45" t="s">
        <v>15</v>
      </c>
      <c r="O645" s="45" t="s">
        <v>59</v>
      </c>
      <c r="P645" s="51"/>
      <c r="Q645" s="52">
        <f>IF(ISBLANK(P645:P1644), "", DATEDIF(J645:J1644, P645:P1644, "Y"))</f>
      </c>
    </row>
    <row x14ac:dyDescent="0.25" r="646" customHeight="1" ht="15.75">
      <c r="A646" s="45" t="s">
        <v>1739</v>
      </c>
      <c r="B646" s="45" t="s">
        <v>463</v>
      </c>
      <c r="C646" s="45" t="s">
        <v>90</v>
      </c>
      <c r="D646" s="45" t="s">
        <v>32</v>
      </c>
      <c r="E646" s="45" t="s">
        <v>1092</v>
      </c>
      <c r="F646" s="45" t="s">
        <v>10</v>
      </c>
      <c r="G646" s="45" t="s">
        <v>11</v>
      </c>
      <c r="H646" s="53">
        <v>40</v>
      </c>
      <c r="I646" s="54">
        <f>IF(H646:H1645&lt;45, "Adult", IF(H646:H1645&lt;60, "Middle Age", IF(H646:H1645&lt;70, "Old", "Very Old")))</f>
      </c>
      <c r="J646" s="55">
        <v>43520</v>
      </c>
      <c r="K646" s="56">
        <v>95899</v>
      </c>
      <c r="L646" s="54">
        <f>IF(K646:K1645&lt;50000,"0-50",IF(K646:K1645&lt;100001,"51-100",IF(K646:K1645&lt;150001,"101-150",IF(K646:K1645&lt;200001,"151-200",IF(K646:K1645&lt;250001,"201-250","above 250")))))</f>
      </c>
      <c r="M646" s="57">
        <v>0.1</v>
      </c>
      <c r="N646" s="45" t="s">
        <v>15</v>
      </c>
      <c r="O646" s="45" t="s">
        <v>55</v>
      </c>
      <c r="P646" s="58">
        <v>44263</v>
      </c>
      <c r="Q646" s="53">
        <f>IF(ISBLANK(P646:P1645), "", DATEDIF(J646:J1645, P646:P1645, "Y"))</f>
      </c>
    </row>
    <row x14ac:dyDescent="0.25" r="647" customHeight="1" ht="15.75">
      <c r="A647" s="45" t="s">
        <v>1740</v>
      </c>
      <c r="B647" s="45" t="s">
        <v>726</v>
      </c>
      <c r="C647" s="45" t="s">
        <v>128</v>
      </c>
      <c r="D647" s="45" t="s">
        <v>28</v>
      </c>
      <c r="E647" s="45" t="s">
        <v>1100</v>
      </c>
      <c r="F647" s="45" t="s">
        <v>10</v>
      </c>
      <c r="G647" s="45" t="s">
        <v>8</v>
      </c>
      <c r="H647" s="53">
        <v>49</v>
      </c>
      <c r="I647" s="54">
        <f>IF(H647:H1646&lt;45, "Adult", IF(H647:H1646&lt;60, "Middle Age", IF(H647:H1646&lt;70, "Old", "Very Old")))</f>
      </c>
      <c r="J647" s="55">
        <v>43623</v>
      </c>
      <c r="K647" s="56">
        <v>80700</v>
      </c>
      <c r="L647" s="54">
        <f>IF(K647:K1646&lt;50000,"0-50",IF(K647:K1646&lt;100001,"51-100",IF(K647:K1646&lt;150001,"101-150",IF(K647:K1646&lt;200001,"151-200",IF(K647:K1646&lt;250001,"201-250","above 250")))))</f>
      </c>
      <c r="M647" s="57">
        <v>0</v>
      </c>
      <c r="N647" s="45" t="s">
        <v>15</v>
      </c>
      <c r="O647" s="45" t="s">
        <v>55</v>
      </c>
      <c r="P647" s="51"/>
      <c r="Q647" s="52">
        <f>IF(ISBLANK(P647:P1646), "", DATEDIF(J647:J1646, P647:P1646, "Y"))</f>
      </c>
    </row>
    <row x14ac:dyDescent="0.25" r="648" customHeight="1" ht="15.75">
      <c r="A648" s="45" t="s">
        <v>1741</v>
      </c>
      <c r="B648" s="45" t="s">
        <v>839</v>
      </c>
      <c r="C648" s="45" t="s">
        <v>110</v>
      </c>
      <c r="D648" s="45" t="s">
        <v>30</v>
      </c>
      <c r="E648" s="45" t="s">
        <v>1096</v>
      </c>
      <c r="F648" s="45" t="s">
        <v>10</v>
      </c>
      <c r="G648" s="45" t="s">
        <v>8</v>
      </c>
      <c r="H648" s="53">
        <v>54</v>
      </c>
      <c r="I648" s="54">
        <f>IF(H648:H1647&lt;45, "Adult", IF(H648:H1647&lt;60, "Middle Age", IF(H648:H1647&lt;70, "Old", "Very Old")))</f>
      </c>
      <c r="J648" s="55">
        <v>35500</v>
      </c>
      <c r="K648" s="56">
        <v>128136</v>
      </c>
      <c r="L648" s="54">
        <f>IF(K648:K1647&lt;50000,"0-50",IF(K648:K1647&lt;100001,"51-100",IF(K648:K1647&lt;150001,"101-150",IF(K648:K1647&lt;200001,"151-200",IF(K648:K1647&lt;250001,"201-250","above 250")))))</f>
      </c>
      <c r="M648" s="57">
        <v>0.05</v>
      </c>
      <c r="N648" s="45" t="s">
        <v>12</v>
      </c>
      <c r="O648" s="45" t="s">
        <v>47</v>
      </c>
      <c r="P648" s="51"/>
      <c r="Q648" s="52">
        <f>IF(ISBLANK(P648:P1647), "", DATEDIF(J648:J1647, P648:P1647, "Y"))</f>
      </c>
    </row>
    <row x14ac:dyDescent="0.25" r="649" customHeight="1" ht="15.75">
      <c r="A649" s="45" t="s">
        <v>1742</v>
      </c>
      <c r="B649" s="45" t="s">
        <v>433</v>
      </c>
      <c r="C649" s="45" t="s">
        <v>82</v>
      </c>
      <c r="D649" s="45" t="s">
        <v>34</v>
      </c>
      <c r="E649" s="45" t="s">
        <v>1100</v>
      </c>
      <c r="F649" s="45" t="s">
        <v>7</v>
      </c>
      <c r="G649" s="45" t="s">
        <v>14</v>
      </c>
      <c r="H649" s="53">
        <v>39</v>
      </c>
      <c r="I649" s="54">
        <f>IF(H649:H1648&lt;45, "Adult", IF(H649:H1648&lt;60, "Middle Age", IF(H649:H1648&lt;70, "Old", "Very Old")))</f>
      </c>
      <c r="J649" s="55">
        <v>42843</v>
      </c>
      <c r="K649" s="56">
        <v>58745</v>
      </c>
      <c r="L649" s="54">
        <f>IF(K649:K1648&lt;50000,"0-50",IF(K649:K1648&lt;100001,"51-100",IF(K649:K1648&lt;150001,"101-150",IF(K649:K1648&lt;200001,"151-200",IF(K649:K1648&lt;250001,"201-250","above 250")))))</f>
      </c>
      <c r="M649" s="57">
        <v>0</v>
      </c>
      <c r="N649" s="45" t="s">
        <v>15</v>
      </c>
      <c r="O649" s="45" t="s">
        <v>42</v>
      </c>
      <c r="P649" s="51"/>
      <c r="Q649" s="52">
        <f>IF(ISBLANK(P649:P1648), "", DATEDIF(J649:J1648, P649:P1648, "Y"))</f>
      </c>
    </row>
    <row x14ac:dyDescent="0.25" r="650" customHeight="1" ht="15.75">
      <c r="A650" s="45" t="s">
        <v>1743</v>
      </c>
      <c r="B650" s="45" t="s">
        <v>930</v>
      </c>
      <c r="C650" s="45" t="s">
        <v>138</v>
      </c>
      <c r="D650" s="45" t="s">
        <v>32</v>
      </c>
      <c r="E650" s="45" t="s">
        <v>1100</v>
      </c>
      <c r="F650" s="45" t="s">
        <v>7</v>
      </c>
      <c r="G650" s="45" t="s">
        <v>8</v>
      </c>
      <c r="H650" s="53">
        <v>57</v>
      </c>
      <c r="I650" s="54">
        <f>IF(H650:H1649&lt;45, "Adult", IF(H650:H1649&lt;60, "Middle Age", IF(H650:H1649&lt;70, "Old", "Very Old")))</f>
      </c>
      <c r="J650" s="55">
        <v>33728</v>
      </c>
      <c r="K650" s="56">
        <v>76202</v>
      </c>
      <c r="L650" s="54">
        <f>IF(K650:K1649&lt;50000,"0-50",IF(K650:K1649&lt;100001,"51-100",IF(K650:K1649&lt;150001,"101-150",IF(K650:K1649&lt;200001,"151-200",IF(K650:K1649&lt;250001,"201-250","above 250")))))</f>
      </c>
      <c r="M650" s="57">
        <v>0</v>
      </c>
      <c r="N650" s="45" t="s">
        <v>15</v>
      </c>
      <c r="O650" s="45" t="s">
        <v>42</v>
      </c>
      <c r="P650" s="58">
        <v>34686</v>
      </c>
      <c r="Q650" s="53">
        <f>IF(ISBLANK(P650:P1649), "", DATEDIF(J650:J1649, P650:P1649, "Y"))</f>
      </c>
    </row>
    <row x14ac:dyDescent="0.25" r="651" customHeight="1" ht="15.75">
      <c r="A651" s="45" t="s">
        <v>1744</v>
      </c>
      <c r="B651" s="45" t="s">
        <v>371</v>
      </c>
      <c r="C651" s="45" t="s">
        <v>142</v>
      </c>
      <c r="D651" s="45" t="s">
        <v>36</v>
      </c>
      <c r="E651" s="45" t="s">
        <v>1096</v>
      </c>
      <c r="F651" s="45" t="s">
        <v>10</v>
      </c>
      <c r="G651" s="45" t="s">
        <v>11</v>
      </c>
      <c r="H651" s="53">
        <v>36</v>
      </c>
      <c r="I651" s="54">
        <f>IF(H651:H1650&lt;45, "Adult", IF(H651:H1650&lt;60, "Middle Age", IF(H651:H1650&lt;70, "Old", "Very Old")))</f>
      </c>
      <c r="J651" s="55">
        <v>43178</v>
      </c>
      <c r="K651" s="56">
        <v>195200</v>
      </c>
      <c r="L651" s="54">
        <f>IF(K651:K1650&lt;50000,"0-50",IF(K651:K1650&lt;100001,"51-100",IF(K651:K1650&lt;150001,"101-150",IF(K651:K1650&lt;200001,"151-200",IF(K651:K1650&lt;250001,"201-250","above 250")))))</f>
      </c>
      <c r="M651" s="57">
        <v>0.36</v>
      </c>
      <c r="N651" s="45" t="s">
        <v>15</v>
      </c>
      <c r="O651" s="45" t="s">
        <v>42</v>
      </c>
      <c r="P651" s="51"/>
      <c r="Q651" s="52">
        <f>IF(ISBLANK(P651:P1650), "", DATEDIF(J651:J1650, P651:P1650, "Y"))</f>
      </c>
    </row>
    <row x14ac:dyDescent="0.25" r="652" customHeight="1" ht="15.75">
      <c r="A652" s="45" t="s">
        <v>1745</v>
      </c>
      <c r="B652" s="45" t="s">
        <v>603</v>
      </c>
      <c r="C652" s="45" t="s">
        <v>82</v>
      </c>
      <c r="D652" s="45" t="s">
        <v>28</v>
      </c>
      <c r="E652" s="45" t="s">
        <v>1094</v>
      </c>
      <c r="F652" s="45" t="s">
        <v>7</v>
      </c>
      <c r="G652" s="45" t="s">
        <v>8</v>
      </c>
      <c r="H652" s="53">
        <v>45</v>
      </c>
      <c r="I652" s="54">
        <f>IF(H652:H1651&lt;45, "Adult", IF(H652:H1651&lt;60, "Middle Age", IF(H652:H1651&lt;70, "Old", "Very Old")))</f>
      </c>
      <c r="J652" s="55">
        <v>42711</v>
      </c>
      <c r="K652" s="56">
        <v>71454</v>
      </c>
      <c r="L652" s="54">
        <f>IF(K652:K1651&lt;50000,"0-50",IF(K652:K1651&lt;100001,"51-100",IF(K652:K1651&lt;150001,"101-150",IF(K652:K1651&lt;200001,"151-200",IF(K652:K1651&lt;250001,"201-250","above 250")))))</f>
      </c>
      <c r="M652" s="57">
        <v>0</v>
      </c>
      <c r="N652" s="45" t="s">
        <v>12</v>
      </c>
      <c r="O652" s="45" t="s">
        <v>69</v>
      </c>
      <c r="P652" s="51"/>
      <c r="Q652" s="52">
        <f>IF(ISBLANK(P652:P1651), "", DATEDIF(J652:J1651, P652:P1651, "Y"))</f>
      </c>
    </row>
    <row x14ac:dyDescent="0.25" r="653" customHeight="1" ht="15.75">
      <c r="A653" s="45" t="s">
        <v>1746</v>
      </c>
      <c r="B653" s="45" t="s">
        <v>235</v>
      </c>
      <c r="C653" s="45" t="s">
        <v>88</v>
      </c>
      <c r="D653" s="45" t="s">
        <v>32</v>
      </c>
      <c r="E653" s="45" t="s">
        <v>1094</v>
      </c>
      <c r="F653" s="45" t="s">
        <v>7</v>
      </c>
      <c r="G653" s="45" t="s">
        <v>14</v>
      </c>
      <c r="H653" s="53">
        <v>30</v>
      </c>
      <c r="I653" s="54">
        <f>IF(H653:H1652&lt;45, "Adult", IF(H653:H1652&lt;60, "Middle Age", IF(H653:H1652&lt;70, "Old", "Very Old")))</f>
      </c>
      <c r="J653" s="55">
        <v>43864</v>
      </c>
      <c r="K653" s="56">
        <v>94652</v>
      </c>
      <c r="L653" s="54">
        <f>IF(K653:K1652&lt;50000,"0-50",IF(K653:K1652&lt;100001,"51-100",IF(K653:K1652&lt;150001,"101-150",IF(K653:K1652&lt;200001,"151-200",IF(K653:K1652&lt;250001,"201-250","above 250")))))</f>
      </c>
      <c r="M653" s="57">
        <v>0</v>
      </c>
      <c r="N653" s="45" t="s">
        <v>15</v>
      </c>
      <c r="O653" s="45" t="s">
        <v>67</v>
      </c>
      <c r="P653" s="51"/>
      <c r="Q653" s="52">
        <f>IF(ISBLANK(P653:P1652), "", DATEDIF(J653:J1652, P653:P1652, "Y"))</f>
      </c>
    </row>
    <row x14ac:dyDescent="0.25" r="654" customHeight="1" ht="15.75">
      <c r="A654" s="45" t="s">
        <v>1747</v>
      </c>
      <c r="B654" s="45" t="s">
        <v>496</v>
      </c>
      <c r="C654" s="45" t="s">
        <v>138</v>
      </c>
      <c r="D654" s="45" t="s">
        <v>32</v>
      </c>
      <c r="E654" s="45" t="s">
        <v>1094</v>
      </c>
      <c r="F654" s="45" t="s">
        <v>10</v>
      </c>
      <c r="G654" s="45" t="s">
        <v>11</v>
      </c>
      <c r="H654" s="53">
        <v>34</v>
      </c>
      <c r="I654" s="54">
        <f>IF(H654:H1653&lt;45, "Adult", IF(H654:H1653&lt;60, "Middle Age", IF(H654:H1653&lt;70, "Old", "Very Old")))</f>
      </c>
      <c r="J654" s="55">
        <v>42416</v>
      </c>
      <c r="K654" s="56">
        <v>63411</v>
      </c>
      <c r="L654" s="54">
        <f>IF(K654:K1653&lt;50000,"0-50",IF(K654:K1653&lt;100001,"51-100",IF(K654:K1653&lt;150001,"101-150",IF(K654:K1653&lt;200001,"151-200",IF(K654:K1653&lt;250001,"201-250","above 250")))))</f>
      </c>
      <c r="M654" s="57">
        <v>0</v>
      </c>
      <c r="N654" s="45" t="s">
        <v>15</v>
      </c>
      <c r="O654" s="45" t="s">
        <v>59</v>
      </c>
      <c r="P654" s="51"/>
      <c r="Q654" s="52">
        <f>IF(ISBLANK(P654:P1653), "", DATEDIF(J654:J1653, P654:P1653, "Y"))</f>
      </c>
    </row>
    <row x14ac:dyDescent="0.25" r="655" customHeight="1" ht="15.75">
      <c r="A655" s="45" t="s">
        <v>1748</v>
      </c>
      <c r="B655" s="45" t="s">
        <v>254</v>
      </c>
      <c r="C655" s="45" t="s">
        <v>82</v>
      </c>
      <c r="D655" s="45" t="s">
        <v>36</v>
      </c>
      <c r="E655" s="45" t="s">
        <v>1096</v>
      </c>
      <c r="F655" s="45" t="s">
        <v>10</v>
      </c>
      <c r="G655" s="45" t="s">
        <v>8</v>
      </c>
      <c r="H655" s="53">
        <v>31</v>
      </c>
      <c r="I655" s="54">
        <f>IF(H655:H1654&lt;45, "Adult", IF(H655:H1654&lt;60, "Middle Age", IF(H655:H1654&lt;70, "Old", "Very Old")))</f>
      </c>
      <c r="J655" s="55">
        <v>43878</v>
      </c>
      <c r="K655" s="56">
        <v>67171</v>
      </c>
      <c r="L655" s="54">
        <f>IF(K655:K1654&lt;50000,"0-50",IF(K655:K1654&lt;100001,"51-100",IF(K655:K1654&lt;150001,"101-150",IF(K655:K1654&lt;200001,"151-200",IF(K655:K1654&lt;250001,"201-250","above 250")))))</f>
      </c>
      <c r="M655" s="57">
        <v>0</v>
      </c>
      <c r="N655" s="45" t="s">
        <v>12</v>
      </c>
      <c r="O655" s="45" t="s">
        <v>53</v>
      </c>
      <c r="P655" s="58">
        <v>44317</v>
      </c>
      <c r="Q655" s="53">
        <f>IF(ISBLANK(P655:P1654), "", DATEDIF(J655:J1654, P655:P1654, "Y"))</f>
      </c>
    </row>
    <row x14ac:dyDescent="0.25" r="656" customHeight="1" ht="15.75">
      <c r="A656" s="45" t="s">
        <v>1749</v>
      </c>
      <c r="B656" s="45" t="s">
        <v>179</v>
      </c>
      <c r="C656" s="45" t="s">
        <v>132</v>
      </c>
      <c r="D656" s="45" t="s">
        <v>24</v>
      </c>
      <c r="E656" s="45" t="s">
        <v>1096</v>
      </c>
      <c r="F656" s="45" t="s">
        <v>7</v>
      </c>
      <c r="G656" s="45" t="s">
        <v>17</v>
      </c>
      <c r="H656" s="53">
        <v>28</v>
      </c>
      <c r="I656" s="54">
        <f>IF(H656:H1655&lt;45, "Adult", IF(H656:H1655&lt;60, "Middle Age", IF(H656:H1655&lt;70, "Old", "Very Old")))</f>
      </c>
      <c r="J656" s="55">
        <v>43652</v>
      </c>
      <c r="K656" s="56">
        <v>152036</v>
      </c>
      <c r="L656" s="54">
        <f>IF(K656:K1655&lt;50000,"0-50",IF(K656:K1655&lt;100001,"51-100",IF(K656:K1655&lt;150001,"101-150",IF(K656:K1655&lt;200001,"151-200",IF(K656:K1655&lt;250001,"201-250","above 250")))))</f>
      </c>
      <c r="M656" s="57">
        <v>0.15</v>
      </c>
      <c r="N656" s="45" t="s">
        <v>9</v>
      </c>
      <c r="O656" s="45" t="s">
        <v>63</v>
      </c>
      <c r="P656" s="51"/>
      <c r="Q656" s="52">
        <f>IF(ISBLANK(P656:P1655), "", DATEDIF(J656:J1655, P656:P1655, "Y"))</f>
      </c>
    </row>
    <row x14ac:dyDescent="0.25" r="657" customHeight="1" ht="15.75">
      <c r="A657" s="45" t="s">
        <v>1750</v>
      </c>
      <c r="B657" s="45" t="s">
        <v>892</v>
      </c>
      <c r="C657" s="45" t="s">
        <v>92</v>
      </c>
      <c r="D657" s="45" t="s">
        <v>26</v>
      </c>
      <c r="E657" s="45" t="s">
        <v>1094</v>
      </c>
      <c r="F657" s="45" t="s">
        <v>7</v>
      </c>
      <c r="G657" s="45" t="s">
        <v>11</v>
      </c>
      <c r="H657" s="53">
        <v>55</v>
      </c>
      <c r="I657" s="54">
        <f>IF(H657:H1656&lt;45, "Adult", IF(H657:H1656&lt;60, "Middle Age", IF(H657:H1656&lt;70, "Old", "Very Old")))</f>
      </c>
      <c r="J657" s="55">
        <v>44276</v>
      </c>
      <c r="K657" s="56">
        <v>95562</v>
      </c>
      <c r="L657" s="54">
        <f>IF(K657:K1656&lt;50000,"0-50",IF(K657:K1656&lt;100001,"51-100",IF(K657:K1656&lt;150001,"101-150",IF(K657:K1656&lt;200001,"151-200",IF(K657:K1656&lt;250001,"201-250","above 250")))))</f>
      </c>
      <c r="M657" s="57">
        <v>0</v>
      </c>
      <c r="N657" s="45" t="s">
        <v>15</v>
      </c>
      <c r="O657" s="45" t="s">
        <v>51</v>
      </c>
      <c r="P657" s="51"/>
      <c r="Q657" s="52">
        <f>IF(ISBLANK(P657:P1656), "", DATEDIF(J657:J1656, P657:P1656, "Y"))</f>
      </c>
    </row>
    <row x14ac:dyDescent="0.25" r="658" customHeight="1" ht="15.75">
      <c r="A658" s="45" t="s">
        <v>1751</v>
      </c>
      <c r="B658" s="45" t="s">
        <v>230</v>
      </c>
      <c r="C658" s="45" t="s">
        <v>128</v>
      </c>
      <c r="D658" s="45" t="s">
        <v>36</v>
      </c>
      <c r="E658" s="45" t="s">
        <v>1092</v>
      </c>
      <c r="F658" s="45" t="s">
        <v>10</v>
      </c>
      <c r="G658" s="45" t="s">
        <v>14</v>
      </c>
      <c r="H658" s="53">
        <v>30</v>
      </c>
      <c r="I658" s="54">
        <f>IF(H658:H1657&lt;45, "Adult", IF(H658:H1657&lt;60, "Middle Age", IF(H658:H1657&lt;70, "Old", "Very Old")))</f>
      </c>
      <c r="J658" s="55">
        <v>43773</v>
      </c>
      <c r="K658" s="56">
        <v>96092</v>
      </c>
      <c r="L658" s="54">
        <f>IF(K658:K1657&lt;50000,"0-50",IF(K658:K1657&lt;100001,"51-100",IF(K658:K1657&lt;150001,"101-150",IF(K658:K1657&lt;200001,"151-200",IF(K658:K1657&lt;250001,"201-250","above 250")))))</f>
      </c>
      <c r="M658" s="57">
        <v>0</v>
      </c>
      <c r="N658" s="45" t="s">
        <v>15</v>
      </c>
      <c r="O658" s="45" t="s">
        <v>42</v>
      </c>
      <c r="P658" s="51"/>
      <c r="Q658" s="52">
        <f>IF(ISBLANK(P658:P1657), "", DATEDIF(J658:J1657, P658:P1657, "Y"))</f>
      </c>
    </row>
    <row x14ac:dyDescent="0.25" r="659" customHeight="1" ht="15.75">
      <c r="A659" s="45" t="s">
        <v>1752</v>
      </c>
      <c r="B659" s="45" t="s">
        <v>1038</v>
      </c>
      <c r="C659" s="45" t="s">
        <v>142</v>
      </c>
      <c r="D659" s="45" t="s">
        <v>26</v>
      </c>
      <c r="E659" s="45" t="s">
        <v>1094</v>
      </c>
      <c r="F659" s="45" t="s">
        <v>10</v>
      </c>
      <c r="G659" s="45" t="s">
        <v>8</v>
      </c>
      <c r="H659" s="53">
        <v>63</v>
      </c>
      <c r="I659" s="54">
        <f>IF(H659:H1658&lt;45, "Adult", IF(H659:H1658&lt;60, "Middle Age", IF(H659:H1658&lt;70, "Old", "Very Old")))</f>
      </c>
      <c r="J659" s="55">
        <v>41428</v>
      </c>
      <c r="K659" s="56">
        <v>254289</v>
      </c>
      <c r="L659" s="54">
        <f>IF(K659:K1658&lt;50000,"0-50",IF(K659:K1658&lt;100001,"51-100",IF(K659:K1658&lt;150001,"101-150",IF(K659:K1658&lt;200001,"151-200",IF(K659:K1658&lt;250001,"201-250","above 250")))))</f>
      </c>
      <c r="M659" s="57">
        <v>0.39</v>
      </c>
      <c r="N659" s="45" t="s">
        <v>15</v>
      </c>
      <c r="O659" s="45" t="s">
        <v>51</v>
      </c>
      <c r="P659" s="51"/>
      <c r="Q659" s="52">
        <f>IF(ISBLANK(P659:P1658), "", DATEDIF(J659:J1658, P659:P1658, "Y"))</f>
      </c>
    </row>
    <row x14ac:dyDescent="0.25" r="660" customHeight="1" ht="15.75">
      <c r="A660" s="45" t="s">
        <v>1753</v>
      </c>
      <c r="B660" s="45" t="s">
        <v>99</v>
      </c>
      <c r="C660" s="45" t="s">
        <v>90</v>
      </c>
      <c r="D660" s="45" t="s">
        <v>32</v>
      </c>
      <c r="E660" s="45" t="s">
        <v>1092</v>
      </c>
      <c r="F660" s="45" t="s">
        <v>10</v>
      </c>
      <c r="G660" s="45" t="s">
        <v>14</v>
      </c>
      <c r="H660" s="53">
        <v>26</v>
      </c>
      <c r="I660" s="54">
        <f>IF(H660:H1659&lt;45, "Adult", IF(H660:H1659&lt;60, "Middle Age", IF(H660:H1659&lt;70, "Old", "Very Old")))</f>
      </c>
      <c r="J660" s="55">
        <v>43656</v>
      </c>
      <c r="K660" s="56">
        <v>69110</v>
      </c>
      <c r="L660" s="54">
        <f>IF(K660:K1659&lt;50000,"0-50",IF(K660:K1659&lt;100001,"51-100",IF(K660:K1659&lt;150001,"101-150",IF(K660:K1659&lt;200001,"151-200",IF(K660:K1659&lt;250001,"201-250","above 250")))))</f>
      </c>
      <c r="M660" s="57">
        <v>0.05</v>
      </c>
      <c r="N660" s="45" t="s">
        <v>15</v>
      </c>
      <c r="O660" s="45" t="s">
        <v>51</v>
      </c>
      <c r="P660" s="51"/>
      <c r="Q660" s="52">
        <f>IF(ISBLANK(P660:P1659), "", DATEDIF(J660:J1659, P660:P1659, "Y"))</f>
      </c>
    </row>
    <row x14ac:dyDescent="0.25" r="661" customHeight="1" ht="15.75">
      <c r="A661" s="45" t="s">
        <v>1754</v>
      </c>
      <c r="B661" s="45" t="s">
        <v>793</v>
      </c>
      <c r="C661" s="45" t="s">
        <v>142</v>
      </c>
      <c r="D661" s="45" t="s">
        <v>34</v>
      </c>
      <c r="E661" s="45" t="s">
        <v>1096</v>
      </c>
      <c r="F661" s="45" t="s">
        <v>10</v>
      </c>
      <c r="G661" s="45" t="s">
        <v>14</v>
      </c>
      <c r="H661" s="53">
        <v>52</v>
      </c>
      <c r="I661" s="54">
        <f>IF(H661:H1660&lt;45, "Adult", IF(H661:H1660&lt;60, "Middle Age", IF(H661:H1660&lt;70, "Old", "Very Old")))</f>
      </c>
      <c r="J661" s="55">
        <v>37418</v>
      </c>
      <c r="K661" s="56">
        <v>236314</v>
      </c>
      <c r="L661" s="54">
        <f>IF(K661:K1660&lt;50000,"0-50",IF(K661:K1660&lt;100001,"51-100",IF(K661:K1660&lt;150001,"101-150",IF(K661:K1660&lt;200001,"151-200",IF(K661:K1660&lt;250001,"201-250","above 250")))))</f>
      </c>
      <c r="M661" s="57">
        <v>0.34</v>
      </c>
      <c r="N661" s="45" t="s">
        <v>15</v>
      </c>
      <c r="O661" s="45" t="s">
        <v>59</v>
      </c>
      <c r="P661" s="51"/>
      <c r="Q661" s="52">
        <f>IF(ISBLANK(P661:P1660), "", DATEDIF(J661:J1660, P661:P1660, "Y"))</f>
      </c>
    </row>
    <row x14ac:dyDescent="0.25" r="662" customHeight="1" ht="15.75">
      <c r="A662" s="45" t="s">
        <v>1755</v>
      </c>
      <c r="B662" s="45" t="s">
        <v>765</v>
      </c>
      <c r="C662" s="45" t="s">
        <v>80</v>
      </c>
      <c r="D662" s="45" t="s">
        <v>34</v>
      </c>
      <c r="E662" s="45" t="s">
        <v>1100</v>
      </c>
      <c r="F662" s="45" t="s">
        <v>10</v>
      </c>
      <c r="G662" s="45" t="s">
        <v>17</v>
      </c>
      <c r="H662" s="53">
        <v>51</v>
      </c>
      <c r="I662" s="54">
        <f>IF(H662:H1661&lt;45, "Adult", IF(H662:H1661&lt;60, "Middle Age", IF(H662:H1661&lt;70, "Old", "Very Old")))</f>
      </c>
      <c r="J662" s="55">
        <v>39252</v>
      </c>
      <c r="K662" s="56">
        <v>45206</v>
      </c>
      <c r="L662" s="54">
        <f>IF(K662:K1661&lt;50000,"0-50",IF(K662:K1661&lt;100001,"51-100",IF(K662:K1661&lt;150001,"101-150",IF(K662:K1661&lt;200001,"151-200",IF(K662:K1661&lt;250001,"201-250","above 250")))))</f>
      </c>
      <c r="M662" s="57">
        <v>0</v>
      </c>
      <c r="N662" s="45" t="s">
        <v>15</v>
      </c>
      <c r="O662" s="45" t="s">
        <v>55</v>
      </c>
      <c r="P662" s="51"/>
      <c r="Q662" s="52">
        <f>IF(ISBLANK(P662:P1661), "", DATEDIF(J662:J1661, P662:P1661, "Y"))</f>
      </c>
    </row>
    <row x14ac:dyDescent="0.25" r="663" customHeight="1" ht="15.75">
      <c r="A663" s="45" t="s">
        <v>1756</v>
      </c>
      <c r="B663" s="45" t="s">
        <v>60</v>
      </c>
      <c r="C663" s="45" t="s">
        <v>142</v>
      </c>
      <c r="D663" s="45" t="s">
        <v>28</v>
      </c>
      <c r="E663" s="45" t="s">
        <v>1092</v>
      </c>
      <c r="F663" s="45" t="s">
        <v>7</v>
      </c>
      <c r="G663" s="45" t="s">
        <v>8</v>
      </c>
      <c r="H663" s="53">
        <v>25</v>
      </c>
      <c r="I663" s="54">
        <f>IF(H663:H1662&lt;45, "Adult", IF(H663:H1662&lt;60, "Middle Age", IF(H663:H1662&lt;70, "Old", "Very Old")))</f>
      </c>
      <c r="J663" s="55">
        <v>44515</v>
      </c>
      <c r="K663" s="56">
        <v>210708</v>
      </c>
      <c r="L663" s="54">
        <f>IF(K663:K1662&lt;50000,"0-50",IF(K663:K1662&lt;100001,"51-100",IF(K663:K1662&lt;150001,"101-150",IF(K663:K1662&lt;200001,"151-200",IF(K663:K1662&lt;250001,"201-250","above 250")))))</f>
      </c>
      <c r="M663" s="57">
        <v>0.33</v>
      </c>
      <c r="N663" s="45" t="s">
        <v>15</v>
      </c>
      <c r="O663" s="45" t="s">
        <v>51</v>
      </c>
      <c r="P663" s="51"/>
      <c r="Q663" s="52">
        <f>IF(ISBLANK(P663:P1662), "", DATEDIF(J663:J1662, P663:P1662, "Y"))</f>
      </c>
    </row>
    <row x14ac:dyDescent="0.25" r="664" customHeight="1" ht="15.75">
      <c r="A664" s="45" t="s">
        <v>1757</v>
      </c>
      <c r="B664" s="45" t="s">
        <v>462</v>
      </c>
      <c r="C664" s="45" t="s">
        <v>134</v>
      </c>
      <c r="D664" s="45" t="s">
        <v>32</v>
      </c>
      <c r="E664" s="45" t="s">
        <v>1100</v>
      </c>
      <c r="F664" s="45" t="s">
        <v>10</v>
      </c>
      <c r="G664" s="45" t="s">
        <v>17</v>
      </c>
      <c r="H664" s="53">
        <v>40</v>
      </c>
      <c r="I664" s="54">
        <f>IF(H664:H1663&lt;45, "Adult", IF(H664:H1663&lt;60, "Middle Age", IF(H664:H1663&lt;70, "Old", "Very Old")))</f>
      </c>
      <c r="J664" s="55">
        <v>44465</v>
      </c>
      <c r="K664" s="56">
        <v>87770</v>
      </c>
      <c r="L664" s="54">
        <f>IF(K664:K1663&lt;50000,"0-50",IF(K664:K1663&lt;100001,"51-100",IF(K664:K1663&lt;150001,"101-150",IF(K664:K1663&lt;200001,"151-200",IF(K664:K1663&lt;250001,"201-250","above 250")))))</f>
      </c>
      <c r="M664" s="57">
        <v>0</v>
      </c>
      <c r="N664" s="45" t="s">
        <v>15</v>
      </c>
      <c r="O664" s="45" t="s">
        <v>42</v>
      </c>
      <c r="P664" s="51"/>
      <c r="Q664" s="52">
        <f>IF(ISBLANK(P664:P1663), "", DATEDIF(J664:J1663, P664:P1663, "Y"))</f>
      </c>
    </row>
    <row x14ac:dyDescent="0.25" r="665" customHeight="1" ht="15.75">
      <c r="A665" s="45" t="s">
        <v>1758</v>
      </c>
      <c r="B665" s="45" t="s">
        <v>414</v>
      </c>
      <c r="C665" s="45" t="s">
        <v>110</v>
      </c>
      <c r="D665" s="45" t="s">
        <v>24</v>
      </c>
      <c r="E665" s="45" t="s">
        <v>1100</v>
      </c>
      <c r="F665" s="45" t="s">
        <v>7</v>
      </c>
      <c r="G665" s="45" t="s">
        <v>14</v>
      </c>
      <c r="H665" s="53">
        <v>38</v>
      </c>
      <c r="I665" s="54">
        <f>IF(H665:H1664&lt;45, "Adult", IF(H665:H1664&lt;60, "Middle Age", IF(H665:H1664&lt;70, "Old", "Very Old")))</f>
      </c>
      <c r="J665" s="55">
        <v>42228</v>
      </c>
      <c r="K665" s="56">
        <v>106858</v>
      </c>
      <c r="L665" s="54">
        <f>IF(K665:K1664&lt;50000,"0-50",IF(K665:K1664&lt;100001,"51-100",IF(K665:K1664&lt;150001,"101-150",IF(K665:K1664&lt;200001,"151-200",IF(K665:K1664&lt;250001,"201-250","above 250")))))</f>
      </c>
      <c r="M665" s="57">
        <v>0.05</v>
      </c>
      <c r="N665" s="45" t="s">
        <v>15</v>
      </c>
      <c r="O665" s="45" t="s">
        <v>67</v>
      </c>
      <c r="P665" s="51"/>
      <c r="Q665" s="52">
        <f>IF(ISBLANK(P665:P1664), "", DATEDIF(J665:J1664, P665:P1664, "Y"))</f>
      </c>
    </row>
    <row x14ac:dyDescent="0.25" r="666" customHeight="1" ht="15.75">
      <c r="A666" s="45" t="s">
        <v>1759</v>
      </c>
      <c r="B666" s="45" t="s">
        <v>980</v>
      </c>
      <c r="C666" s="45" t="s">
        <v>96</v>
      </c>
      <c r="D666" s="45" t="s">
        <v>30</v>
      </c>
      <c r="E666" s="45" t="s">
        <v>1100</v>
      </c>
      <c r="F666" s="45" t="s">
        <v>10</v>
      </c>
      <c r="G666" s="45" t="s">
        <v>14</v>
      </c>
      <c r="H666" s="53">
        <v>60</v>
      </c>
      <c r="I666" s="54">
        <f>IF(H666:H1665&lt;45, "Adult", IF(H666:H1665&lt;60, "Middle Age", IF(H666:H1665&lt;70, "Old", "Very Old")))</f>
      </c>
      <c r="J666" s="55">
        <v>42108</v>
      </c>
      <c r="K666" s="56">
        <v>155788</v>
      </c>
      <c r="L666" s="54">
        <f>IF(K666:K1665&lt;50000,"0-50",IF(K666:K1665&lt;100001,"51-100",IF(K666:K1665&lt;150001,"101-150",IF(K666:K1665&lt;200001,"151-200",IF(K666:K1665&lt;250001,"201-250","above 250")))))</f>
      </c>
      <c r="M666" s="57">
        <v>0.17</v>
      </c>
      <c r="N666" s="45" t="s">
        <v>15</v>
      </c>
      <c r="O666" s="45" t="s">
        <v>67</v>
      </c>
      <c r="P666" s="51"/>
      <c r="Q666" s="52">
        <f>IF(ISBLANK(P666:P1665), "", DATEDIF(J666:J1665, P666:P1665, "Y"))</f>
      </c>
    </row>
    <row x14ac:dyDescent="0.25" r="667" customHeight="1" ht="15.75">
      <c r="A667" s="45" t="s">
        <v>1760</v>
      </c>
      <c r="B667" s="45" t="s">
        <v>586</v>
      </c>
      <c r="C667" s="45" t="s">
        <v>130</v>
      </c>
      <c r="D667" s="45" t="s">
        <v>30</v>
      </c>
      <c r="E667" s="45" t="s">
        <v>1096</v>
      </c>
      <c r="F667" s="45" t="s">
        <v>7</v>
      </c>
      <c r="G667" s="45" t="s">
        <v>17</v>
      </c>
      <c r="H667" s="53">
        <v>45</v>
      </c>
      <c r="I667" s="54">
        <f>IF(H667:H1666&lt;45, "Adult", IF(H667:H1666&lt;60, "Middle Age", IF(H667:H1666&lt;70, "Old", "Very Old")))</f>
      </c>
      <c r="J667" s="55">
        <v>43581</v>
      </c>
      <c r="K667" s="56">
        <v>74891</v>
      </c>
      <c r="L667" s="54">
        <f>IF(K667:K1666&lt;50000,"0-50",IF(K667:K1666&lt;100001,"51-100",IF(K667:K1666&lt;150001,"101-150",IF(K667:K1666&lt;200001,"151-200",IF(K667:K1666&lt;250001,"201-250","above 250")))))</f>
      </c>
      <c r="M667" s="57">
        <v>0</v>
      </c>
      <c r="N667" s="45" t="s">
        <v>9</v>
      </c>
      <c r="O667" s="45" t="s">
        <v>63</v>
      </c>
      <c r="P667" s="51"/>
      <c r="Q667" s="52">
        <f>IF(ISBLANK(P667:P1666), "", DATEDIF(J667:J1666, P667:P1666, "Y"))</f>
      </c>
    </row>
    <row x14ac:dyDescent="0.25" r="668" customHeight="1" ht="15.75">
      <c r="A668" s="45" t="s">
        <v>1761</v>
      </c>
      <c r="B668" s="45" t="s">
        <v>180</v>
      </c>
      <c r="C668" s="45" t="s">
        <v>92</v>
      </c>
      <c r="D668" s="45" t="s">
        <v>26</v>
      </c>
      <c r="E668" s="45" t="s">
        <v>1100</v>
      </c>
      <c r="F668" s="45" t="s">
        <v>10</v>
      </c>
      <c r="G668" s="45" t="s">
        <v>8</v>
      </c>
      <c r="H668" s="53">
        <v>28</v>
      </c>
      <c r="I668" s="54">
        <f>IF(H668:H1667&lt;45, "Adult", IF(H668:H1667&lt;60, "Middle Age", IF(H668:H1667&lt;70, "Old", "Very Old")))</f>
      </c>
      <c r="J668" s="55">
        <v>44548</v>
      </c>
      <c r="K668" s="56">
        <v>95670</v>
      </c>
      <c r="L668" s="54">
        <f>IF(K668:K1667&lt;50000,"0-50",IF(K668:K1667&lt;100001,"51-100",IF(K668:K1667&lt;150001,"101-150",IF(K668:K1667&lt;200001,"151-200",IF(K668:K1667&lt;250001,"201-250","above 250")))))</f>
      </c>
      <c r="M668" s="57">
        <v>0</v>
      </c>
      <c r="N668" s="45" t="s">
        <v>15</v>
      </c>
      <c r="O668" s="45" t="s">
        <v>61</v>
      </c>
      <c r="P668" s="51"/>
      <c r="Q668" s="52">
        <f>IF(ISBLANK(P668:P1667), "", DATEDIF(J668:J1667, P668:P1667, "Y"))</f>
      </c>
    </row>
    <row x14ac:dyDescent="0.25" r="669" customHeight="1" ht="15.75">
      <c r="A669" s="45" t="s">
        <v>1762</v>
      </c>
      <c r="B669" s="45" t="s">
        <v>1082</v>
      </c>
      <c r="C669" s="45" t="s">
        <v>78</v>
      </c>
      <c r="D669" s="45" t="s">
        <v>36</v>
      </c>
      <c r="E669" s="45" t="s">
        <v>1092</v>
      </c>
      <c r="F669" s="45" t="s">
        <v>7</v>
      </c>
      <c r="G669" s="45" t="s">
        <v>11</v>
      </c>
      <c r="H669" s="53">
        <v>65</v>
      </c>
      <c r="I669" s="54">
        <f>IF(H669:H1668&lt;45, "Adult", IF(H669:H1668&lt;60, "Middle Age", IF(H669:H1668&lt;70, "Old", "Very Old")))</f>
      </c>
      <c r="J669" s="55">
        <v>36798</v>
      </c>
      <c r="K669" s="56">
        <v>67837</v>
      </c>
      <c r="L669" s="54">
        <f>IF(K669:K1668&lt;50000,"0-50",IF(K669:K1668&lt;100001,"51-100",IF(K669:K1668&lt;150001,"101-150",IF(K669:K1668&lt;200001,"151-200",IF(K669:K1668&lt;250001,"201-250","above 250")))))</f>
      </c>
      <c r="M669" s="57">
        <v>0</v>
      </c>
      <c r="N669" s="45" t="s">
        <v>15</v>
      </c>
      <c r="O669" s="45" t="s">
        <v>42</v>
      </c>
      <c r="P669" s="51"/>
      <c r="Q669" s="52">
        <f>IF(ISBLANK(P669:P1668), "", DATEDIF(J669:J1668, P669:P1668, "Y"))</f>
      </c>
    </row>
    <row x14ac:dyDescent="0.25" r="670" customHeight="1" ht="15.75">
      <c r="A670" s="45" t="s">
        <v>1763</v>
      </c>
      <c r="B670" s="45" t="s">
        <v>490</v>
      </c>
      <c r="C670" s="45" t="s">
        <v>82</v>
      </c>
      <c r="D670" s="45" t="s">
        <v>36</v>
      </c>
      <c r="E670" s="45" t="s">
        <v>1092</v>
      </c>
      <c r="F670" s="45" t="s">
        <v>10</v>
      </c>
      <c r="G670" s="45" t="s">
        <v>8</v>
      </c>
      <c r="H670" s="53">
        <v>41</v>
      </c>
      <c r="I670" s="54">
        <f>IF(H670:H1669&lt;45, "Adult", IF(H670:H1669&lt;60, "Middle Age", IF(H670:H1669&lt;70, "Old", "Very Old")))</f>
      </c>
      <c r="J670" s="55">
        <v>40333</v>
      </c>
      <c r="K670" s="56">
        <v>72425</v>
      </c>
      <c r="L670" s="54">
        <f>IF(K670:K1669&lt;50000,"0-50",IF(K670:K1669&lt;100001,"51-100",IF(K670:K1669&lt;150001,"101-150",IF(K670:K1669&lt;200001,"151-200",IF(K670:K1669&lt;250001,"201-250","above 250")))))</f>
      </c>
      <c r="M670" s="57">
        <v>0</v>
      </c>
      <c r="N670" s="45" t="s">
        <v>12</v>
      </c>
      <c r="O670" s="45" t="s">
        <v>47</v>
      </c>
      <c r="P670" s="51"/>
      <c r="Q670" s="52">
        <f>IF(ISBLANK(P670:P1669), "", DATEDIF(J670:J1669, P670:P1669, "Y"))</f>
      </c>
    </row>
    <row x14ac:dyDescent="0.25" r="671" customHeight="1" ht="15.75">
      <c r="A671" s="45" t="s">
        <v>1764</v>
      </c>
      <c r="B671" s="45" t="s">
        <v>799</v>
      </c>
      <c r="C671" s="45" t="s">
        <v>128</v>
      </c>
      <c r="D671" s="45" t="s">
        <v>36</v>
      </c>
      <c r="E671" s="45" t="s">
        <v>1100</v>
      </c>
      <c r="F671" s="45" t="s">
        <v>7</v>
      </c>
      <c r="G671" s="45" t="s">
        <v>17</v>
      </c>
      <c r="H671" s="53">
        <v>52</v>
      </c>
      <c r="I671" s="54">
        <f>IF(H671:H1670&lt;45, "Adult", IF(H671:H1670&lt;60, "Middle Age", IF(H671:H1670&lt;70, "Old", "Very Old")))</f>
      </c>
      <c r="J671" s="55">
        <v>34623</v>
      </c>
      <c r="K671" s="56">
        <v>93103</v>
      </c>
      <c r="L671" s="54">
        <f>IF(K671:K1670&lt;50000,"0-50",IF(K671:K1670&lt;100001,"51-100",IF(K671:K1670&lt;150001,"101-150",IF(K671:K1670&lt;200001,"151-200",IF(K671:K1670&lt;250001,"201-250","above 250")))))</f>
      </c>
      <c r="M671" s="57">
        <v>0</v>
      </c>
      <c r="N671" s="45" t="s">
        <v>15</v>
      </c>
      <c r="O671" s="45" t="s">
        <v>61</v>
      </c>
      <c r="P671" s="51"/>
      <c r="Q671" s="52">
        <f>IF(ISBLANK(P671:P1670), "", DATEDIF(J671:J1670, P671:P1670, "Y"))</f>
      </c>
    </row>
    <row x14ac:dyDescent="0.25" r="672" customHeight="1" ht="15.75">
      <c r="A672" s="45" t="s">
        <v>1765</v>
      </c>
      <c r="B672" s="45" t="s">
        <v>917</v>
      </c>
      <c r="C672" s="45" t="s">
        <v>92</v>
      </c>
      <c r="D672" s="45" t="s">
        <v>26</v>
      </c>
      <c r="E672" s="45" t="s">
        <v>1100</v>
      </c>
      <c r="F672" s="45" t="s">
        <v>7</v>
      </c>
      <c r="G672" s="45" t="s">
        <v>14</v>
      </c>
      <c r="H672" s="53">
        <v>56</v>
      </c>
      <c r="I672" s="54">
        <f>IF(H672:H1671&lt;45, "Adult", IF(H672:H1671&lt;60, "Middle Age", IF(H672:H1671&lt;70, "Old", "Very Old")))</f>
      </c>
      <c r="J672" s="55">
        <v>42291</v>
      </c>
      <c r="K672" s="56">
        <v>76272</v>
      </c>
      <c r="L672" s="54">
        <f>IF(K672:K1671&lt;50000,"0-50",IF(K672:K1671&lt;100001,"51-100",IF(K672:K1671&lt;150001,"101-150",IF(K672:K1671&lt;200001,"151-200",IF(K672:K1671&lt;250001,"201-250","above 250")))))</f>
      </c>
      <c r="M672" s="57">
        <v>0</v>
      </c>
      <c r="N672" s="45" t="s">
        <v>15</v>
      </c>
      <c r="O672" s="45" t="s">
        <v>59</v>
      </c>
      <c r="P672" s="58">
        <v>44491</v>
      </c>
      <c r="Q672" s="53">
        <f>IF(ISBLANK(P672:P1671), "", DATEDIF(J672:J1671, P672:P1671, "Y"))</f>
      </c>
    </row>
    <row x14ac:dyDescent="0.25" r="673" customHeight="1" ht="15.75">
      <c r="A673" s="45" t="s">
        <v>1766</v>
      </c>
      <c r="B673" s="45" t="s">
        <v>709</v>
      </c>
      <c r="C673" s="45" t="s">
        <v>82</v>
      </c>
      <c r="D673" s="45" t="s">
        <v>28</v>
      </c>
      <c r="E673" s="45" t="s">
        <v>1094</v>
      </c>
      <c r="F673" s="45" t="s">
        <v>7</v>
      </c>
      <c r="G673" s="45" t="s">
        <v>8</v>
      </c>
      <c r="H673" s="53">
        <v>48</v>
      </c>
      <c r="I673" s="54">
        <f>IF(H673:H1672&lt;45, "Adult", IF(H673:H1672&lt;60, "Middle Age", IF(H673:H1672&lt;70, "Old", "Very Old")))</f>
      </c>
      <c r="J673" s="55">
        <v>37796</v>
      </c>
      <c r="K673" s="56">
        <v>55760</v>
      </c>
      <c r="L673" s="54">
        <f>IF(K673:K1672&lt;50000,"0-50",IF(K673:K1672&lt;100001,"51-100",IF(K673:K1672&lt;150001,"101-150",IF(K673:K1672&lt;200001,"151-200",IF(K673:K1672&lt;250001,"201-250","above 250")))))</f>
      </c>
      <c r="M673" s="57">
        <v>0</v>
      </c>
      <c r="N673" s="45" t="s">
        <v>15</v>
      </c>
      <c r="O673" s="45" t="s">
        <v>42</v>
      </c>
      <c r="P673" s="51"/>
      <c r="Q673" s="52">
        <f>IF(ISBLANK(P673:P1672), "", DATEDIF(J673:J1672, P673:P1672, "Y"))</f>
      </c>
    </row>
    <row x14ac:dyDescent="0.25" r="674" customHeight="1" ht="15.75">
      <c r="A674" s="45" t="s">
        <v>1767</v>
      </c>
      <c r="B674" s="45" t="s">
        <v>380</v>
      </c>
      <c r="C674" s="45" t="s">
        <v>142</v>
      </c>
      <c r="D674" s="45" t="s">
        <v>24</v>
      </c>
      <c r="E674" s="45" t="s">
        <v>1100</v>
      </c>
      <c r="F674" s="45" t="s">
        <v>7</v>
      </c>
      <c r="G674" s="45" t="s">
        <v>14</v>
      </c>
      <c r="H674" s="53">
        <v>36</v>
      </c>
      <c r="I674" s="54">
        <f>IF(H674:H1673&lt;45, "Adult", IF(H674:H1673&lt;60, "Middle Age", IF(H674:H1673&lt;70, "Old", "Very Old")))</f>
      </c>
      <c r="J674" s="55">
        <v>43843</v>
      </c>
      <c r="K674" s="56">
        <v>253294</v>
      </c>
      <c r="L674" s="54">
        <f>IF(K674:K1673&lt;50000,"0-50",IF(K674:K1673&lt;100001,"51-100",IF(K674:K1673&lt;150001,"101-150",IF(K674:K1673&lt;200001,"151-200",IF(K674:K1673&lt;250001,"201-250","above 250")))))</f>
      </c>
      <c r="M674" s="57">
        <v>0.4</v>
      </c>
      <c r="N674" s="45" t="s">
        <v>15</v>
      </c>
      <c r="O674" s="45" t="s">
        <v>59</v>
      </c>
      <c r="P674" s="51"/>
      <c r="Q674" s="52">
        <f>IF(ISBLANK(P674:P1673), "", DATEDIF(J674:J1673, P674:P1673, "Y"))</f>
      </c>
    </row>
    <row x14ac:dyDescent="0.25" r="675" customHeight="1" ht="15.75">
      <c r="A675" s="45" t="s">
        <v>1768</v>
      </c>
      <c r="B675" s="45" t="s">
        <v>993</v>
      </c>
      <c r="C675" s="45" t="s">
        <v>82</v>
      </c>
      <c r="D675" s="45" t="s">
        <v>28</v>
      </c>
      <c r="E675" s="45" t="s">
        <v>1100</v>
      </c>
      <c r="F675" s="45" t="s">
        <v>10</v>
      </c>
      <c r="G675" s="45" t="s">
        <v>14</v>
      </c>
      <c r="H675" s="53">
        <v>60</v>
      </c>
      <c r="I675" s="54">
        <f>IF(H675:H1674&lt;45, "Adult", IF(H675:H1674&lt;60, "Middle Age", IF(H675:H1674&lt;70, "Old", "Very Old")))</f>
      </c>
      <c r="J675" s="55">
        <v>39310</v>
      </c>
      <c r="K675" s="56">
        <v>58671</v>
      </c>
      <c r="L675" s="54">
        <f>IF(K675:K1674&lt;50000,"0-50",IF(K675:K1674&lt;100001,"51-100",IF(K675:K1674&lt;150001,"101-150",IF(K675:K1674&lt;200001,"151-200",IF(K675:K1674&lt;250001,"201-250","above 250")))))</f>
      </c>
      <c r="M675" s="57">
        <v>0</v>
      </c>
      <c r="N675" s="45" t="s">
        <v>15</v>
      </c>
      <c r="O675" s="45" t="s">
        <v>55</v>
      </c>
      <c r="P675" s="51"/>
      <c r="Q675" s="52">
        <f>IF(ISBLANK(P675:P1674), "", DATEDIF(J675:J1674, P675:P1674, "Y"))</f>
      </c>
    </row>
    <row x14ac:dyDescent="0.25" r="676" customHeight="1" ht="15.75">
      <c r="A676" s="45" t="s">
        <v>1769</v>
      </c>
      <c r="B676" s="45" t="s">
        <v>469</v>
      </c>
      <c r="C676" s="45" t="s">
        <v>78</v>
      </c>
      <c r="D676" s="45" t="s">
        <v>36</v>
      </c>
      <c r="E676" s="45" t="s">
        <v>1092</v>
      </c>
      <c r="F676" s="45" t="s">
        <v>7</v>
      </c>
      <c r="G676" s="45" t="s">
        <v>8</v>
      </c>
      <c r="H676" s="53">
        <v>40</v>
      </c>
      <c r="I676" s="54">
        <f>IF(H676:H1675&lt;45, "Adult", IF(H676:H1675&lt;60, "Middle Age", IF(H676:H1675&lt;70, "Old", "Very Old")))</f>
      </c>
      <c r="J676" s="55">
        <v>43175</v>
      </c>
      <c r="K676" s="56">
        <v>55457</v>
      </c>
      <c r="L676" s="54">
        <f>IF(K676:K1675&lt;50000,"0-50",IF(K676:K1675&lt;100001,"51-100",IF(K676:K1675&lt;150001,"101-150",IF(K676:K1675&lt;200001,"151-200",IF(K676:K1675&lt;250001,"201-250","above 250")))))</f>
      </c>
      <c r="M676" s="57">
        <v>0</v>
      </c>
      <c r="N676" s="45" t="s">
        <v>15</v>
      </c>
      <c r="O676" s="45" t="s">
        <v>55</v>
      </c>
      <c r="P676" s="51"/>
      <c r="Q676" s="52">
        <f>IF(ISBLANK(P676:P1675), "", DATEDIF(J676:J1675, P676:P1675, "Y"))</f>
      </c>
    </row>
    <row x14ac:dyDescent="0.25" r="677" customHeight="1" ht="15.75">
      <c r="A677" s="45" t="s">
        <v>1770</v>
      </c>
      <c r="B677" s="45" t="s">
        <v>1041</v>
      </c>
      <c r="C677" s="45" t="s">
        <v>78</v>
      </c>
      <c r="D677" s="45" t="s">
        <v>36</v>
      </c>
      <c r="E677" s="45" t="s">
        <v>1094</v>
      </c>
      <c r="F677" s="45" t="s">
        <v>7</v>
      </c>
      <c r="G677" s="45" t="s">
        <v>8</v>
      </c>
      <c r="H677" s="53">
        <v>63</v>
      </c>
      <c r="I677" s="54">
        <f>IF(H677:H1676&lt;45, "Adult", IF(H677:H1676&lt;60, "Middle Age", IF(H677:H1676&lt;70, "Old", "Very Old")))</f>
      </c>
      <c r="J677" s="55">
        <v>43004</v>
      </c>
      <c r="K677" s="56">
        <v>72340</v>
      </c>
      <c r="L677" s="54">
        <f>IF(K677:K1676&lt;50000,"0-50",IF(K677:K1676&lt;100001,"51-100",IF(K677:K1676&lt;150001,"101-150",IF(K677:K1676&lt;200001,"151-200",IF(K677:K1676&lt;250001,"201-250","above 250")))))</f>
      </c>
      <c r="M677" s="57">
        <v>0</v>
      </c>
      <c r="N677" s="45" t="s">
        <v>15</v>
      </c>
      <c r="O677" s="45" t="s">
        <v>61</v>
      </c>
      <c r="P677" s="58">
        <v>43558</v>
      </c>
      <c r="Q677" s="53">
        <f>IF(ISBLANK(P677:P1676), "", DATEDIF(J677:J1676, P677:P1676, "Y"))</f>
      </c>
    </row>
    <row x14ac:dyDescent="0.25" r="678" customHeight="1" ht="15.75">
      <c r="A678" s="45" t="s">
        <v>1771</v>
      </c>
      <c r="B678" s="45" t="s">
        <v>209</v>
      </c>
      <c r="C678" s="45" t="s">
        <v>110</v>
      </c>
      <c r="D678" s="45" t="s">
        <v>34</v>
      </c>
      <c r="E678" s="45" t="s">
        <v>1100</v>
      </c>
      <c r="F678" s="45" t="s">
        <v>7</v>
      </c>
      <c r="G678" s="45" t="s">
        <v>14</v>
      </c>
      <c r="H678" s="53">
        <v>29</v>
      </c>
      <c r="I678" s="54">
        <f>IF(H678:H1677&lt;45, "Adult", IF(H678:H1677&lt;60, "Middle Age", IF(H678:H1677&lt;70, "Old", "Very Old")))</f>
      </c>
      <c r="J678" s="55">
        <v>42676</v>
      </c>
      <c r="K678" s="56">
        <v>122054</v>
      </c>
      <c r="L678" s="54">
        <f>IF(K678:K1677&lt;50000,"0-50",IF(K678:K1677&lt;100001,"51-100",IF(K678:K1677&lt;150001,"101-150",IF(K678:K1677&lt;200001,"151-200",IF(K678:K1677&lt;250001,"201-250","above 250")))))</f>
      </c>
      <c r="M678" s="57">
        <v>0.06</v>
      </c>
      <c r="N678" s="45" t="s">
        <v>15</v>
      </c>
      <c r="O678" s="45" t="s">
        <v>61</v>
      </c>
      <c r="P678" s="51"/>
      <c r="Q678" s="52">
        <f>IF(ISBLANK(P678:P1677), "", DATEDIF(J678:J1677, P678:P1677, "Y"))</f>
      </c>
    </row>
    <row x14ac:dyDescent="0.25" r="679" customHeight="1" ht="15.75">
      <c r="A679" s="45" t="s">
        <v>1772</v>
      </c>
      <c r="B679" s="45" t="s">
        <v>152</v>
      </c>
      <c r="C679" s="45" t="s">
        <v>96</v>
      </c>
      <c r="D679" s="45" t="s">
        <v>32</v>
      </c>
      <c r="E679" s="45" t="s">
        <v>1094</v>
      </c>
      <c r="F679" s="45" t="s">
        <v>7</v>
      </c>
      <c r="G679" s="45" t="s">
        <v>8</v>
      </c>
      <c r="H679" s="53">
        <v>27</v>
      </c>
      <c r="I679" s="54">
        <f>IF(H679:H1678&lt;45, "Adult", IF(H679:H1678&lt;60, "Middle Age", IF(H679:H1678&lt;70, "Old", "Very Old")))</f>
      </c>
      <c r="J679" s="55">
        <v>43103</v>
      </c>
      <c r="K679" s="56">
        <v>167100</v>
      </c>
      <c r="L679" s="54">
        <f>IF(K679:K1678&lt;50000,"0-50",IF(K679:K1678&lt;100001,"51-100",IF(K679:K1678&lt;150001,"101-150",IF(K679:K1678&lt;200001,"151-200",IF(K679:K1678&lt;250001,"201-250","above 250")))))</f>
      </c>
      <c r="M679" s="57">
        <v>0.2</v>
      </c>
      <c r="N679" s="45" t="s">
        <v>12</v>
      </c>
      <c r="O679" s="45" t="s">
        <v>49</v>
      </c>
      <c r="P679" s="51"/>
      <c r="Q679" s="52">
        <f>IF(ISBLANK(P679:P1678), "", DATEDIF(J679:J1678, P679:P1678, "Y"))</f>
      </c>
    </row>
    <row x14ac:dyDescent="0.25" r="680" customHeight="1" ht="15.75">
      <c r="A680" s="45" t="s">
        <v>1773</v>
      </c>
      <c r="B680" s="45" t="s">
        <v>826</v>
      </c>
      <c r="C680" s="45" t="s">
        <v>138</v>
      </c>
      <c r="D680" s="45" t="s">
        <v>32</v>
      </c>
      <c r="E680" s="45" t="s">
        <v>1100</v>
      </c>
      <c r="F680" s="45" t="s">
        <v>7</v>
      </c>
      <c r="G680" s="45" t="s">
        <v>14</v>
      </c>
      <c r="H680" s="53">
        <v>53</v>
      </c>
      <c r="I680" s="54">
        <f>IF(H680:H1679&lt;45, "Adult", IF(H680:H1679&lt;60, "Middle Age", IF(H680:H1679&lt;70, "Old", "Very Old")))</f>
      </c>
      <c r="J680" s="55">
        <v>35543</v>
      </c>
      <c r="K680" s="56">
        <v>78153</v>
      </c>
      <c r="L680" s="54">
        <f>IF(K680:K1679&lt;50000,"0-50",IF(K680:K1679&lt;100001,"51-100",IF(K680:K1679&lt;150001,"101-150",IF(K680:K1679&lt;200001,"151-200",IF(K680:K1679&lt;250001,"201-250","above 250")))))</f>
      </c>
      <c r="M680" s="57">
        <v>0</v>
      </c>
      <c r="N680" s="45" t="s">
        <v>15</v>
      </c>
      <c r="O680" s="45" t="s">
        <v>59</v>
      </c>
      <c r="P680" s="51"/>
      <c r="Q680" s="52">
        <f>IF(ISBLANK(P680:P1679), "", DATEDIF(J680:J1679, P680:P1679, "Y"))</f>
      </c>
    </row>
    <row x14ac:dyDescent="0.25" r="681" customHeight="1" ht="15.75">
      <c r="A681" s="45" t="s">
        <v>1774</v>
      </c>
      <c r="B681" s="45" t="s">
        <v>401</v>
      </c>
      <c r="C681" s="45" t="s">
        <v>110</v>
      </c>
      <c r="D681" s="45" t="s">
        <v>28</v>
      </c>
      <c r="E681" s="45" t="s">
        <v>1094</v>
      </c>
      <c r="F681" s="45" t="s">
        <v>7</v>
      </c>
      <c r="G681" s="45" t="s">
        <v>14</v>
      </c>
      <c r="H681" s="53">
        <v>37</v>
      </c>
      <c r="I681" s="54">
        <f>IF(H681:H1680&lt;45, "Adult", IF(H681:H1680&lt;60, "Middle Age", IF(H681:H1680&lt;70, "Old", "Very Old")))</f>
      </c>
      <c r="J681" s="55">
        <v>43935</v>
      </c>
      <c r="K681" s="56">
        <v>103524</v>
      </c>
      <c r="L681" s="54">
        <f>IF(K681:K1680&lt;50000,"0-50",IF(K681:K1680&lt;100001,"51-100",IF(K681:K1680&lt;150001,"101-150",IF(K681:K1680&lt;200001,"151-200",IF(K681:K1680&lt;250001,"201-250","above 250")))))</f>
      </c>
      <c r="M681" s="57">
        <v>0.09</v>
      </c>
      <c r="N681" s="45" t="s">
        <v>15</v>
      </c>
      <c r="O681" s="45" t="s">
        <v>61</v>
      </c>
      <c r="P681" s="51"/>
      <c r="Q681" s="52">
        <f>IF(ISBLANK(P681:P1680), "", DATEDIF(J681:J1680, P681:P1680, "Y"))</f>
      </c>
    </row>
    <row x14ac:dyDescent="0.25" r="682" customHeight="1" ht="15.75">
      <c r="A682" s="45" t="s">
        <v>1775</v>
      </c>
      <c r="B682" s="45" t="s">
        <v>237</v>
      </c>
      <c r="C682" s="45" t="s">
        <v>110</v>
      </c>
      <c r="D682" s="45" t="s">
        <v>32</v>
      </c>
      <c r="E682" s="45" t="s">
        <v>1100</v>
      </c>
      <c r="F682" s="45" t="s">
        <v>10</v>
      </c>
      <c r="G682" s="45" t="s">
        <v>14</v>
      </c>
      <c r="H682" s="53">
        <v>30</v>
      </c>
      <c r="I682" s="54">
        <f>IF(H682:H1681&lt;45, "Adult", IF(H682:H1681&lt;60, "Middle Age", IF(H682:H1681&lt;70, "Old", "Very Old")))</f>
      </c>
      <c r="J682" s="55">
        <v>42952</v>
      </c>
      <c r="K682" s="56">
        <v>119906</v>
      </c>
      <c r="L682" s="54">
        <f>IF(K682:K1681&lt;50000,"0-50",IF(K682:K1681&lt;100001,"51-100",IF(K682:K1681&lt;150001,"101-150",IF(K682:K1681&lt;200001,"151-200",IF(K682:K1681&lt;250001,"201-250","above 250")))))</f>
      </c>
      <c r="M682" s="57">
        <v>0.05</v>
      </c>
      <c r="N682" s="45" t="s">
        <v>15</v>
      </c>
      <c r="O682" s="45" t="s">
        <v>55</v>
      </c>
      <c r="P682" s="51"/>
      <c r="Q682" s="52">
        <f>IF(ISBLANK(P682:P1681), "", DATEDIF(J682:J1681, P682:P1681, "Y"))</f>
      </c>
    </row>
    <row x14ac:dyDescent="0.25" r="683" customHeight="1" ht="15.75">
      <c r="A683" s="45" t="s">
        <v>1776</v>
      </c>
      <c r="B683" s="45" t="s">
        <v>183</v>
      </c>
      <c r="C683" s="45" t="s">
        <v>80</v>
      </c>
      <c r="D683" s="45" t="s">
        <v>34</v>
      </c>
      <c r="E683" s="45" t="s">
        <v>1096</v>
      </c>
      <c r="F683" s="45" t="s">
        <v>7</v>
      </c>
      <c r="G683" s="45" t="s">
        <v>14</v>
      </c>
      <c r="H683" s="53">
        <v>28</v>
      </c>
      <c r="I683" s="54">
        <f>IF(H683:H1682&lt;45, "Adult", IF(H683:H1682&lt;60, "Middle Age", IF(H683:H1682&lt;70, "Old", "Very Old")))</f>
      </c>
      <c r="J683" s="55">
        <v>43847</v>
      </c>
      <c r="K683" s="56">
        <v>45061</v>
      </c>
      <c r="L683" s="54">
        <f>IF(K683:K1682&lt;50000,"0-50",IF(K683:K1682&lt;100001,"51-100",IF(K683:K1682&lt;150001,"101-150",IF(K683:K1682&lt;200001,"151-200",IF(K683:K1682&lt;250001,"201-250","above 250")))))</f>
      </c>
      <c r="M683" s="57">
        <v>0</v>
      </c>
      <c r="N683" s="45" t="s">
        <v>15</v>
      </c>
      <c r="O683" s="45" t="s">
        <v>59</v>
      </c>
      <c r="P683" s="51"/>
      <c r="Q683" s="52">
        <f>IF(ISBLANK(P683:P1682), "", DATEDIF(J683:J1682, P683:P1682, "Y"))</f>
      </c>
    </row>
    <row x14ac:dyDescent="0.25" r="684" customHeight="1" ht="15.75">
      <c r="A684" s="45" t="s">
        <v>1777</v>
      </c>
      <c r="B684" s="45" t="s">
        <v>778</v>
      </c>
      <c r="C684" s="45" t="s">
        <v>108</v>
      </c>
      <c r="D684" s="45" t="s">
        <v>32</v>
      </c>
      <c r="E684" s="45" t="s">
        <v>1100</v>
      </c>
      <c r="F684" s="45" t="s">
        <v>10</v>
      </c>
      <c r="G684" s="45" t="s">
        <v>8</v>
      </c>
      <c r="H684" s="53">
        <v>51</v>
      </c>
      <c r="I684" s="54">
        <f>IF(H684:H1683&lt;45, "Adult", IF(H684:H1683&lt;60, "Middle Age", IF(H684:H1683&lt;70, "Old", "Very Old")))</f>
      </c>
      <c r="J684" s="55">
        <v>37638</v>
      </c>
      <c r="K684" s="56">
        <v>91399</v>
      </c>
      <c r="L684" s="54">
        <f>IF(K684:K1683&lt;50000,"0-50",IF(K684:K1683&lt;100001,"51-100",IF(K684:K1683&lt;150001,"101-150",IF(K684:K1683&lt;200001,"151-200",IF(K684:K1683&lt;250001,"201-250","above 250")))))</f>
      </c>
      <c r="M684" s="57">
        <v>0</v>
      </c>
      <c r="N684" s="45" t="s">
        <v>15</v>
      </c>
      <c r="O684" s="45" t="s">
        <v>67</v>
      </c>
      <c r="P684" s="51"/>
      <c r="Q684" s="52">
        <f>IF(ISBLANK(P684:P1683), "", DATEDIF(J684:J1683, P684:P1683, "Y"))</f>
      </c>
    </row>
    <row x14ac:dyDescent="0.25" r="685" customHeight="1" ht="15.75">
      <c r="A685" s="45" t="s">
        <v>1778</v>
      </c>
      <c r="B685" s="45" t="s">
        <v>184</v>
      </c>
      <c r="C685" s="45" t="s">
        <v>100</v>
      </c>
      <c r="D685" s="45" t="s">
        <v>32</v>
      </c>
      <c r="E685" s="45" t="s">
        <v>1092</v>
      </c>
      <c r="F685" s="45" t="s">
        <v>10</v>
      </c>
      <c r="G685" s="45" t="s">
        <v>17</v>
      </c>
      <c r="H685" s="53">
        <v>28</v>
      </c>
      <c r="I685" s="54">
        <f>IF(H685:H1684&lt;45, "Adult", IF(H685:H1684&lt;60, "Middle Age", IF(H685:H1684&lt;70, "Old", "Very Old")))</f>
      </c>
      <c r="J685" s="55">
        <v>43006</v>
      </c>
      <c r="K685" s="56">
        <v>97336</v>
      </c>
      <c r="L685" s="54">
        <f>IF(K685:K1684&lt;50000,"0-50",IF(K685:K1684&lt;100001,"51-100",IF(K685:K1684&lt;150001,"101-150",IF(K685:K1684&lt;200001,"151-200",IF(K685:K1684&lt;250001,"201-250","above 250")))))</f>
      </c>
      <c r="M685" s="57">
        <v>0</v>
      </c>
      <c r="N685" s="45" t="s">
        <v>15</v>
      </c>
      <c r="O685" s="45" t="s">
        <v>42</v>
      </c>
      <c r="P685" s="51"/>
      <c r="Q685" s="52">
        <f>IF(ISBLANK(P685:P1684), "", DATEDIF(J685:J1684, P685:P1684, "Y"))</f>
      </c>
    </row>
    <row x14ac:dyDescent="0.25" r="686" customHeight="1" ht="15.75">
      <c r="A686" s="45" t="s">
        <v>1779</v>
      </c>
      <c r="B686" s="45" t="s">
        <v>263</v>
      </c>
      <c r="C686" s="45" t="s">
        <v>132</v>
      </c>
      <c r="D686" s="45" t="s">
        <v>24</v>
      </c>
      <c r="E686" s="45" t="s">
        <v>1100</v>
      </c>
      <c r="F686" s="45" t="s">
        <v>7</v>
      </c>
      <c r="G686" s="45" t="s">
        <v>11</v>
      </c>
      <c r="H686" s="53">
        <v>31</v>
      </c>
      <c r="I686" s="54">
        <f>IF(H686:H1685&lt;45, "Adult", IF(H686:H1685&lt;60, "Middle Age", IF(H686:H1685&lt;70, "Old", "Very Old")))</f>
      </c>
      <c r="J686" s="55">
        <v>42755</v>
      </c>
      <c r="K686" s="56">
        <v>124629</v>
      </c>
      <c r="L686" s="54">
        <f>IF(K686:K1685&lt;50000,"0-50",IF(K686:K1685&lt;100001,"51-100",IF(K686:K1685&lt;150001,"101-150",IF(K686:K1685&lt;200001,"151-200",IF(K686:K1685&lt;250001,"201-250","above 250")))))</f>
      </c>
      <c r="M686" s="57">
        <v>0.1</v>
      </c>
      <c r="N686" s="45" t="s">
        <v>15</v>
      </c>
      <c r="O686" s="45" t="s">
        <v>55</v>
      </c>
      <c r="P686" s="51"/>
      <c r="Q686" s="52">
        <f>IF(ISBLANK(P686:P1685), "", DATEDIF(J686:J1685, P686:P1685, "Y"))</f>
      </c>
    </row>
    <row x14ac:dyDescent="0.25" r="687" customHeight="1" ht="15.75">
      <c r="A687" s="45" t="s">
        <v>1780</v>
      </c>
      <c r="B687" s="45" t="s">
        <v>185</v>
      </c>
      <c r="C687" s="45" t="s">
        <v>142</v>
      </c>
      <c r="D687" s="45" t="s">
        <v>30</v>
      </c>
      <c r="E687" s="45" t="s">
        <v>1096</v>
      </c>
      <c r="F687" s="45" t="s">
        <v>7</v>
      </c>
      <c r="G687" s="45" t="s">
        <v>14</v>
      </c>
      <c r="H687" s="53">
        <v>28</v>
      </c>
      <c r="I687" s="54">
        <f>IF(H687:H1686&lt;45, "Adult", IF(H687:H1686&lt;60, "Middle Age", IF(H687:H1686&lt;70, "Old", "Very Old")))</f>
      </c>
      <c r="J687" s="55">
        <v>44402</v>
      </c>
      <c r="K687" s="56">
        <v>231850</v>
      </c>
      <c r="L687" s="54">
        <f>IF(K687:K1686&lt;50000,"0-50",IF(K687:K1686&lt;100001,"51-100",IF(K687:K1686&lt;150001,"101-150",IF(K687:K1686&lt;200001,"151-200",IF(K687:K1686&lt;250001,"201-250","above 250")))))</f>
      </c>
      <c r="M687" s="57">
        <v>0.39</v>
      </c>
      <c r="N687" s="45" t="s">
        <v>15</v>
      </c>
      <c r="O687" s="45" t="s">
        <v>59</v>
      </c>
      <c r="P687" s="51"/>
      <c r="Q687" s="52">
        <f>IF(ISBLANK(P687:P1686), "", DATEDIF(J687:J1686, P687:P1686, "Y"))</f>
      </c>
    </row>
    <row x14ac:dyDescent="0.25" r="688" customHeight="1" ht="15.75">
      <c r="A688" s="45" t="s">
        <v>1781</v>
      </c>
      <c r="B688" s="45" t="s">
        <v>333</v>
      </c>
      <c r="C688" s="45" t="s">
        <v>110</v>
      </c>
      <c r="D688" s="45" t="s">
        <v>24</v>
      </c>
      <c r="E688" s="45" t="s">
        <v>1092</v>
      </c>
      <c r="F688" s="45" t="s">
        <v>10</v>
      </c>
      <c r="G688" s="45" t="s">
        <v>17</v>
      </c>
      <c r="H688" s="53">
        <v>34</v>
      </c>
      <c r="I688" s="54">
        <f>IF(H688:H1687&lt;45, "Adult", IF(H688:H1687&lt;60, "Middle Age", IF(H688:H1687&lt;70, "Old", "Very Old")))</f>
      </c>
      <c r="J688" s="55">
        <v>43255</v>
      </c>
      <c r="K688" s="56">
        <v>128329</v>
      </c>
      <c r="L688" s="54">
        <f>IF(K688:K1687&lt;50000,"0-50",IF(K688:K1687&lt;100001,"51-100",IF(K688:K1687&lt;150001,"101-150",IF(K688:K1687&lt;200001,"151-200",IF(K688:K1687&lt;250001,"201-250","above 250")))))</f>
      </c>
      <c r="M688" s="57">
        <v>0.08</v>
      </c>
      <c r="N688" s="45" t="s">
        <v>15</v>
      </c>
      <c r="O688" s="45" t="s">
        <v>61</v>
      </c>
      <c r="P688" s="51"/>
      <c r="Q688" s="52">
        <f>IF(ISBLANK(P688:P1687), "", DATEDIF(J688:J1687, P688:P1687, "Y"))</f>
      </c>
    </row>
    <row x14ac:dyDescent="0.25" r="689" customHeight="1" ht="15.75">
      <c r="A689" s="45" t="s">
        <v>1782</v>
      </c>
      <c r="B689" s="45" t="s">
        <v>550</v>
      </c>
      <c r="C689" s="45" t="s">
        <v>142</v>
      </c>
      <c r="D689" s="45" t="s">
        <v>34</v>
      </c>
      <c r="E689" s="45" t="s">
        <v>1096</v>
      </c>
      <c r="F689" s="45" t="s">
        <v>10</v>
      </c>
      <c r="G689" s="45" t="s">
        <v>17</v>
      </c>
      <c r="H689" s="53">
        <v>44</v>
      </c>
      <c r="I689" s="54">
        <f>IF(H689:H1688&lt;45, "Adult", IF(H689:H1688&lt;60, "Middle Age", IF(H689:H1688&lt;70, "Old", "Very Old")))</f>
      </c>
      <c r="J689" s="55">
        <v>44283</v>
      </c>
      <c r="K689" s="56">
        <v>186033</v>
      </c>
      <c r="L689" s="54">
        <f>IF(K689:K1688&lt;50000,"0-50",IF(K689:K1688&lt;100001,"51-100",IF(K689:K1688&lt;150001,"101-150",IF(K689:K1688&lt;200001,"151-200",IF(K689:K1688&lt;250001,"201-250","above 250")))))</f>
      </c>
      <c r="M689" s="57">
        <v>0.34</v>
      </c>
      <c r="N689" s="45" t="s">
        <v>9</v>
      </c>
      <c r="O689" s="45" t="s">
        <v>65</v>
      </c>
      <c r="P689" s="51"/>
      <c r="Q689" s="52">
        <f>IF(ISBLANK(P689:P1688), "", DATEDIF(J689:J1688, P689:P1688, "Y"))</f>
      </c>
    </row>
    <row x14ac:dyDescent="0.25" r="690" customHeight="1" ht="15.75">
      <c r="A690" s="45" t="s">
        <v>1783</v>
      </c>
      <c r="B690" s="45" t="s">
        <v>991</v>
      </c>
      <c r="C690" s="45" t="s">
        <v>132</v>
      </c>
      <c r="D690" s="45" t="s">
        <v>34</v>
      </c>
      <c r="E690" s="45" t="s">
        <v>1094</v>
      </c>
      <c r="F690" s="45" t="s">
        <v>10</v>
      </c>
      <c r="G690" s="45" t="s">
        <v>8</v>
      </c>
      <c r="H690" s="53">
        <v>60</v>
      </c>
      <c r="I690" s="54">
        <f>IF(H690:H1689&lt;45, "Adult", IF(H690:H1689&lt;60, "Middle Age", IF(H690:H1689&lt;70, "Old", "Very Old")))</f>
      </c>
      <c r="J690" s="55">
        <v>44403</v>
      </c>
      <c r="K690" s="56">
        <v>121480</v>
      </c>
      <c r="L690" s="54">
        <f>IF(K690:K1689&lt;50000,"0-50",IF(K690:K1689&lt;100001,"51-100",IF(K690:K1689&lt;150001,"101-150",IF(K690:K1689&lt;200001,"151-200",IF(K690:K1689&lt;250001,"201-250","above 250")))))</f>
      </c>
      <c r="M690" s="57">
        <v>0.14</v>
      </c>
      <c r="N690" s="45" t="s">
        <v>15</v>
      </c>
      <c r="O690" s="45" t="s">
        <v>61</v>
      </c>
      <c r="P690" s="51"/>
      <c r="Q690" s="52">
        <f>IF(ISBLANK(P690:P1689), "", DATEDIF(J690:J1689, P690:P1689, "Y"))</f>
      </c>
    </row>
    <row x14ac:dyDescent="0.25" r="691" customHeight="1" ht="15.75">
      <c r="A691" s="45" t="s">
        <v>1784</v>
      </c>
      <c r="B691" s="45" t="s">
        <v>495</v>
      </c>
      <c r="C691" s="45" t="s">
        <v>96</v>
      </c>
      <c r="D691" s="45" t="s">
        <v>30</v>
      </c>
      <c r="E691" s="45" t="s">
        <v>1096</v>
      </c>
      <c r="F691" s="45" t="s">
        <v>7</v>
      </c>
      <c r="G691" s="45" t="s">
        <v>14</v>
      </c>
      <c r="H691" s="53">
        <v>41</v>
      </c>
      <c r="I691" s="54">
        <f>IF(H691:H1690&lt;45, "Adult", IF(H691:H1690&lt;60, "Middle Age", IF(H691:H1690&lt;70, "Old", "Very Old")))</f>
      </c>
      <c r="J691" s="55">
        <v>40319</v>
      </c>
      <c r="K691" s="56">
        <v>153275</v>
      </c>
      <c r="L691" s="54">
        <f>IF(K691:K1690&lt;50000,"0-50",IF(K691:K1690&lt;100001,"51-100",IF(K691:K1690&lt;150001,"101-150",IF(K691:K1690&lt;200001,"151-200",IF(K691:K1690&lt;250001,"201-250","above 250")))))</f>
      </c>
      <c r="M691" s="57">
        <v>0.24</v>
      </c>
      <c r="N691" s="45" t="s">
        <v>15</v>
      </c>
      <c r="O691" s="45" t="s">
        <v>55</v>
      </c>
      <c r="P691" s="51"/>
      <c r="Q691" s="52">
        <f>IF(ISBLANK(P691:P1690), "", DATEDIF(J691:J1690, P691:P1690, "Y"))</f>
      </c>
    </row>
    <row x14ac:dyDescent="0.25" r="692" customHeight="1" ht="15.75">
      <c r="A692" s="45" t="s">
        <v>1785</v>
      </c>
      <c r="B692" s="45" t="s">
        <v>1023</v>
      </c>
      <c r="C692" s="45" t="s">
        <v>128</v>
      </c>
      <c r="D692" s="45" t="s">
        <v>36</v>
      </c>
      <c r="E692" s="45" t="s">
        <v>1092</v>
      </c>
      <c r="F692" s="45" t="s">
        <v>7</v>
      </c>
      <c r="G692" s="45" t="s">
        <v>8</v>
      </c>
      <c r="H692" s="53">
        <v>62</v>
      </c>
      <c r="I692" s="54">
        <f>IF(H692:H1691&lt;45, "Adult", IF(H692:H1691&lt;60, "Middle Age", IF(H692:H1691&lt;70, "Old", "Very Old")))</f>
      </c>
      <c r="J692" s="55">
        <v>43969</v>
      </c>
      <c r="K692" s="56">
        <v>97830</v>
      </c>
      <c r="L692" s="54">
        <f>IF(K692:K1691&lt;50000,"0-50",IF(K692:K1691&lt;100001,"51-100",IF(K692:K1691&lt;150001,"101-150",IF(K692:K1691&lt;200001,"151-200",IF(K692:K1691&lt;250001,"201-250","above 250")))))</f>
      </c>
      <c r="M692" s="57">
        <v>0</v>
      </c>
      <c r="N692" s="45" t="s">
        <v>15</v>
      </c>
      <c r="O692" s="45" t="s">
        <v>42</v>
      </c>
      <c r="P692" s="51"/>
      <c r="Q692" s="52">
        <f>IF(ISBLANK(P692:P1691), "", DATEDIF(J692:J1691, P692:P1691, "Y"))</f>
      </c>
    </row>
    <row x14ac:dyDescent="0.25" r="693" customHeight="1" ht="15.75">
      <c r="A693" s="45" t="s">
        <v>1786</v>
      </c>
      <c r="B693" s="45" t="s">
        <v>680</v>
      </c>
      <c r="C693" s="45" t="s">
        <v>142</v>
      </c>
      <c r="D693" s="45" t="s">
        <v>34</v>
      </c>
      <c r="E693" s="45" t="s">
        <v>1100</v>
      </c>
      <c r="F693" s="45" t="s">
        <v>7</v>
      </c>
      <c r="G693" s="45" t="s">
        <v>17</v>
      </c>
      <c r="H693" s="53">
        <v>47</v>
      </c>
      <c r="I693" s="54">
        <f>IF(H693:H1692&lt;45, "Adult", IF(H693:H1692&lt;60, "Middle Age", IF(H693:H1692&lt;70, "Old", "Very Old")))</f>
      </c>
      <c r="J693" s="55">
        <v>36232</v>
      </c>
      <c r="K693" s="56">
        <v>239394</v>
      </c>
      <c r="L693" s="54">
        <f>IF(K693:K1692&lt;50000,"0-50",IF(K693:K1692&lt;100001,"51-100",IF(K693:K1692&lt;150001,"101-150",IF(K693:K1692&lt;200001,"151-200",IF(K693:K1692&lt;250001,"201-250","above 250")))))</f>
      </c>
      <c r="M693" s="57">
        <v>0.32</v>
      </c>
      <c r="N693" s="45" t="s">
        <v>15</v>
      </c>
      <c r="O693" s="45" t="s">
        <v>42</v>
      </c>
      <c r="P693" s="51"/>
      <c r="Q693" s="52">
        <f>IF(ISBLANK(P693:P1692), "", DATEDIF(J693:J1692, P693:P1692, "Y"))</f>
      </c>
    </row>
    <row x14ac:dyDescent="0.25" r="694" customHeight="1" ht="15.75">
      <c r="A694" s="45" t="s">
        <v>1787</v>
      </c>
      <c r="B694" s="45" t="s">
        <v>1027</v>
      </c>
      <c r="C694" s="45" t="s">
        <v>80</v>
      </c>
      <c r="D694" s="45" t="s">
        <v>28</v>
      </c>
      <c r="E694" s="45" t="s">
        <v>1096</v>
      </c>
      <c r="F694" s="45" t="s">
        <v>7</v>
      </c>
      <c r="G694" s="45" t="s">
        <v>8</v>
      </c>
      <c r="H694" s="53">
        <v>62</v>
      </c>
      <c r="I694" s="54">
        <f>IF(H694:H1693&lt;45, "Adult", IF(H694:H1693&lt;60, "Middle Age", IF(H694:H1693&lt;70, "Old", "Very Old")))</f>
      </c>
      <c r="J694" s="55">
        <v>37519</v>
      </c>
      <c r="K694" s="56">
        <v>49738</v>
      </c>
      <c r="L694" s="54">
        <f>IF(K694:K1693&lt;50000,"0-50",IF(K694:K1693&lt;100001,"51-100",IF(K694:K1693&lt;150001,"101-150",IF(K694:K1693&lt;200001,"151-200",IF(K694:K1693&lt;250001,"201-250","above 250")))))</f>
      </c>
      <c r="M694" s="57">
        <v>0</v>
      </c>
      <c r="N694" s="45" t="s">
        <v>12</v>
      </c>
      <c r="O694" s="45" t="s">
        <v>47</v>
      </c>
      <c r="P694" s="51"/>
      <c r="Q694" s="52">
        <f>IF(ISBLANK(P694:P1693), "", DATEDIF(J694:J1693, P694:P1693, "Y"))</f>
      </c>
    </row>
    <row x14ac:dyDescent="0.25" r="695" customHeight="1" ht="15.75">
      <c r="A695" s="45" t="s">
        <v>1788</v>
      </c>
      <c r="B695" s="45" t="s">
        <v>304</v>
      </c>
      <c r="C695" s="45" t="s">
        <v>80</v>
      </c>
      <c r="D695" s="45" t="s">
        <v>24</v>
      </c>
      <c r="E695" s="45" t="s">
        <v>1094</v>
      </c>
      <c r="F695" s="45" t="s">
        <v>7</v>
      </c>
      <c r="G695" s="45" t="s">
        <v>17</v>
      </c>
      <c r="H695" s="53">
        <v>33</v>
      </c>
      <c r="I695" s="54">
        <f>IF(H695:H1694&lt;45, "Adult", IF(H695:H1694&lt;60, "Middle Age", IF(H695:H1694&lt;70, "Old", "Very Old")))</f>
      </c>
      <c r="J695" s="55">
        <v>43247</v>
      </c>
      <c r="K695" s="56">
        <v>45049</v>
      </c>
      <c r="L695" s="54">
        <f>IF(K695:K1694&lt;50000,"0-50",IF(K695:K1694&lt;100001,"51-100",IF(K695:K1694&lt;150001,"101-150",IF(K695:K1694&lt;200001,"151-200",IF(K695:K1694&lt;250001,"201-250","above 250")))))</f>
      </c>
      <c r="M695" s="57">
        <v>0</v>
      </c>
      <c r="N695" s="45" t="s">
        <v>15</v>
      </c>
      <c r="O695" s="45" t="s">
        <v>67</v>
      </c>
      <c r="P695" s="51"/>
      <c r="Q695" s="52">
        <f>IF(ISBLANK(P695:P1694), "", DATEDIF(J695:J1694, P695:P1694, "Y"))</f>
      </c>
    </row>
    <row x14ac:dyDescent="0.25" r="696" customHeight="1" ht="15.75">
      <c r="A696" s="45" t="s">
        <v>1789</v>
      </c>
      <c r="B696" s="45" t="s">
        <v>151</v>
      </c>
      <c r="C696" s="45" t="s">
        <v>96</v>
      </c>
      <c r="D696" s="45" t="s">
        <v>28</v>
      </c>
      <c r="E696" s="45" t="s">
        <v>1092</v>
      </c>
      <c r="F696" s="45" t="s">
        <v>7</v>
      </c>
      <c r="G696" s="45" t="s">
        <v>8</v>
      </c>
      <c r="H696" s="53">
        <v>27</v>
      </c>
      <c r="I696" s="54">
        <f>IF(H696:H1695&lt;45, "Adult", IF(H696:H1695&lt;60, "Middle Age", IF(H696:H1695&lt;70, "Old", "Very Old")))</f>
      </c>
      <c r="J696" s="55">
        <v>43977</v>
      </c>
      <c r="K696" s="56">
        <v>153628</v>
      </c>
      <c r="L696" s="54">
        <f>IF(K696:K1695&lt;50000,"0-50",IF(K696:K1695&lt;100001,"51-100",IF(K696:K1695&lt;150001,"101-150",IF(K696:K1695&lt;200001,"151-200",IF(K696:K1695&lt;250001,"201-250","above 250")))))</f>
      </c>
      <c r="M696" s="57">
        <v>0.29</v>
      </c>
      <c r="N696" s="45" t="s">
        <v>12</v>
      </c>
      <c r="O696" s="45" t="s">
        <v>53</v>
      </c>
      <c r="P696" s="58">
        <v>44177</v>
      </c>
      <c r="Q696" s="53">
        <f>IF(ISBLANK(P696:P1695), "", DATEDIF(J696:J1695, P696:P1695, "Y"))</f>
      </c>
    </row>
    <row x14ac:dyDescent="0.25" r="697" customHeight="1" ht="15.75">
      <c r="A697" s="45" t="s">
        <v>1790</v>
      </c>
      <c r="B697" s="45" t="s">
        <v>68</v>
      </c>
      <c r="C697" s="45" t="s">
        <v>132</v>
      </c>
      <c r="D697" s="45" t="s">
        <v>36</v>
      </c>
      <c r="E697" s="45" t="s">
        <v>1094</v>
      </c>
      <c r="F697" s="45" t="s">
        <v>10</v>
      </c>
      <c r="G697" s="45" t="s">
        <v>8</v>
      </c>
      <c r="H697" s="53">
        <v>25</v>
      </c>
      <c r="I697" s="54">
        <f>IF(H697:H1696&lt;45, "Adult", IF(H697:H1696&lt;60, "Middle Age", IF(H697:H1696&lt;70, "Old", "Very Old")))</f>
      </c>
      <c r="J697" s="55">
        <v>44362</v>
      </c>
      <c r="K697" s="56">
        <v>142731</v>
      </c>
      <c r="L697" s="54">
        <f>IF(K697:K1696&lt;50000,"0-50",IF(K697:K1696&lt;100001,"51-100",IF(K697:K1696&lt;150001,"101-150",IF(K697:K1696&lt;200001,"151-200",IF(K697:K1696&lt;250001,"201-250","above 250")))))</f>
      </c>
      <c r="M697" s="57">
        <v>0.11</v>
      </c>
      <c r="N697" s="45" t="s">
        <v>12</v>
      </c>
      <c r="O697" s="45" t="s">
        <v>69</v>
      </c>
      <c r="P697" s="58">
        <v>44715</v>
      </c>
      <c r="Q697" s="53">
        <f>IF(ISBLANK(P697:P1696), "", DATEDIF(J697:J1696, P697:P1696, "Y"))</f>
      </c>
    </row>
    <row x14ac:dyDescent="0.25" r="698" customHeight="1" ht="15.75">
      <c r="A698" s="45" t="s">
        <v>1791</v>
      </c>
      <c r="B698" s="45" t="s">
        <v>207</v>
      </c>
      <c r="C698" s="45" t="s">
        <v>132</v>
      </c>
      <c r="D698" s="45" t="s">
        <v>34</v>
      </c>
      <c r="E698" s="45" t="s">
        <v>1096</v>
      </c>
      <c r="F698" s="45" t="s">
        <v>7</v>
      </c>
      <c r="G698" s="45" t="s">
        <v>17</v>
      </c>
      <c r="H698" s="53">
        <v>29</v>
      </c>
      <c r="I698" s="54">
        <f>IF(H698:H1697&lt;45, "Adult", IF(H698:H1697&lt;60, "Middle Age", IF(H698:H1697&lt;70, "Old", "Very Old")))</f>
      </c>
      <c r="J698" s="55">
        <v>43966</v>
      </c>
      <c r="K698" s="56">
        <v>137106</v>
      </c>
      <c r="L698" s="54">
        <f>IF(K698:K1697&lt;50000,"0-50",IF(K698:K1697&lt;100001,"51-100",IF(K698:K1697&lt;150001,"101-150",IF(K698:K1697&lt;200001,"151-200",IF(K698:K1697&lt;250001,"201-250","above 250")))))</f>
      </c>
      <c r="M698" s="57">
        <v>0.12</v>
      </c>
      <c r="N698" s="45" t="s">
        <v>9</v>
      </c>
      <c r="O698" s="45" t="s">
        <v>65</v>
      </c>
      <c r="P698" s="51"/>
      <c r="Q698" s="52">
        <f>IF(ISBLANK(P698:P1697), "", DATEDIF(J698:J1697, P698:P1697, "Y"))</f>
      </c>
    </row>
    <row x14ac:dyDescent="0.25" r="699" customHeight="1" ht="15.75">
      <c r="A699" s="45" t="s">
        <v>1792</v>
      </c>
      <c r="B699" s="45" t="s">
        <v>852</v>
      </c>
      <c r="C699" s="45" t="s">
        <v>142</v>
      </c>
      <c r="D699" s="45" t="s">
        <v>28</v>
      </c>
      <c r="E699" s="45" t="s">
        <v>1100</v>
      </c>
      <c r="F699" s="45" t="s">
        <v>7</v>
      </c>
      <c r="G699" s="45" t="s">
        <v>8</v>
      </c>
      <c r="H699" s="53">
        <v>54</v>
      </c>
      <c r="I699" s="54">
        <f>IF(H699:H1698&lt;45, "Adult", IF(H699:H1698&lt;60, "Middle Age", IF(H699:H1698&lt;70, "Old", "Very Old")))</f>
      </c>
      <c r="J699" s="55">
        <v>39330</v>
      </c>
      <c r="K699" s="56">
        <v>183239</v>
      </c>
      <c r="L699" s="54">
        <f>IF(K699:K1698&lt;50000,"0-50",IF(K699:K1698&lt;100001,"51-100",IF(K699:K1698&lt;150001,"101-150",IF(K699:K1698&lt;200001,"151-200",IF(K699:K1698&lt;250001,"201-250","above 250")))))</f>
      </c>
      <c r="M699" s="57">
        <v>0.32</v>
      </c>
      <c r="N699" s="45" t="s">
        <v>15</v>
      </c>
      <c r="O699" s="45" t="s">
        <v>67</v>
      </c>
      <c r="P699" s="51"/>
      <c r="Q699" s="52">
        <f>IF(ISBLANK(P699:P1698), "", DATEDIF(J699:J1698, P699:P1698, "Y"))</f>
      </c>
    </row>
    <row x14ac:dyDescent="0.25" r="700" customHeight="1" ht="15.75">
      <c r="A700" s="45" t="s">
        <v>1793</v>
      </c>
      <c r="B700" s="45" t="s">
        <v>182</v>
      </c>
      <c r="C700" s="45" t="s">
        <v>80</v>
      </c>
      <c r="D700" s="45" t="s">
        <v>24</v>
      </c>
      <c r="E700" s="45" t="s">
        <v>1094</v>
      </c>
      <c r="F700" s="45" t="s">
        <v>7</v>
      </c>
      <c r="G700" s="45" t="s">
        <v>14</v>
      </c>
      <c r="H700" s="53">
        <v>28</v>
      </c>
      <c r="I700" s="54">
        <f>IF(H700:H1699&lt;45, "Adult", IF(H700:H1699&lt;60, "Middle Age", IF(H700:H1699&lt;70, "Old", "Very Old")))</f>
      </c>
      <c r="J700" s="55">
        <v>43610</v>
      </c>
      <c r="K700" s="56">
        <v>45819</v>
      </c>
      <c r="L700" s="54">
        <f>IF(K700:K1699&lt;50000,"0-50",IF(K700:K1699&lt;100001,"51-100",IF(K700:K1699&lt;150001,"101-150",IF(K700:K1699&lt;200001,"151-200",IF(K700:K1699&lt;250001,"201-250","above 250")))))</f>
      </c>
      <c r="M700" s="57">
        <v>0</v>
      </c>
      <c r="N700" s="45" t="s">
        <v>15</v>
      </c>
      <c r="O700" s="45" t="s">
        <v>59</v>
      </c>
      <c r="P700" s="51"/>
      <c r="Q700" s="52">
        <f>IF(ISBLANK(P700:P1699), "", DATEDIF(J700:J1699, P700:P1699, "Y"))</f>
      </c>
    </row>
    <row x14ac:dyDescent="0.25" r="701" customHeight="1" ht="15.75">
      <c r="A701" s="45" t="s">
        <v>1794</v>
      </c>
      <c r="B701" s="45" t="s">
        <v>845</v>
      </c>
      <c r="C701" s="45" t="s">
        <v>80</v>
      </c>
      <c r="D701" s="45" t="s">
        <v>24</v>
      </c>
      <c r="E701" s="45" t="s">
        <v>1092</v>
      </c>
      <c r="F701" s="45" t="s">
        <v>7</v>
      </c>
      <c r="G701" s="45" t="s">
        <v>8</v>
      </c>
      <c r="H701" s="53">
        <v>54</v>
      </c>
      <c r="I701" s="54">
        <f>IF(H701:H1700&lt;45, "Adult", IF(H701:H1700&lt;60, "Middle Age", IF(H701:H1700&lt;70, "Old", "Very Old")))</f>
      </c>
      <c r="J701" s="55">
        <v>39080</v>
      </c>
      <c r="K701" s="56">
        <v>55518</v>
      </c>
      <c r="L701" s="54">
        <f>IF(K701:K1700&lt;50000,"0-50",IF(K701:K1700&lt;100001,"51-100",IF(K701:K1700&lt;150001,"101-150",IF(K701:K1700&lt;200001,"151-200",IF(K701:K1700&lt;250001,"201-250","above 250")))))</f>
      </c>
      <c r="M701" s="57">
        <v>0</v>
      </c>
      <c r="N701" s="45" t="s">
        <v>15</v>
      </c>
      <c r="O701" s="45" t="s">
        <v>55</v>
      </c>
      <c r="P701" s="51"/>
      <c r="Q701" s="52">
        <f>IF(ISBLANK(P701:P1700), "", DATEDIF(J701:J1700, P701:P1700, "Y"))</f>
      </c>
    </row>
    <row x14ac:dyDescent="0.25" r="702" customHeight="1" ht="15.75">
      <c r="A702" s="45" t="s">
        <v>1795</v>
      </c>
      <c r="B702" s="45" t="s">
        <v>754</v>
      </c>
      <c r="C702" s="45" t="s">
        <v>110</v>
      </c>
      <c r="D702" s="45" t="s">
        <v>34</v>
      </c>
      <c r="E702" s="45" t="s">
        <v>1094</v>
      </c>
      <c r="F702" s="45" t="s">
        <v>7</v>
      </c>
      <c r="G702" s="45" t="s">
        <v>8</v>
      </c>
      <c r="H702" s="53">
        <v>50</v>
      </c>
      <c r="I702" s="54">
        <f>IF(H702:H1701&lt;45, "Adult", IF(H702:H1701&lt;60, "Middle Age", IF(H702:H1701&lt;70, "Old", "Very Old")))</f>
      </c>
      <c r="J702" s="55">
        <v>40979</v>
      </c>
      <c r="K702" s="56">
        <v>108134</v>
      </c>
      <c r="L702" s="54">
        <f>IF(K702:K1701&lt;50000,"0-50",IF(K702:K1701&lt;100001,"51-100",IF(K702:K1701&lt;150001,"101-150",IF(K702:K1701&lt;200001,"151-200",IF(K702:K1701&lt;250001,"201-250","above 250")))))</f>
      </c>
      <c r="M702" s="57">
        <v>0.1</v>
      </c>
      <c r="N702" s="45" t="s">
        <v>12</v>
      </c>
      <c r="O702" s="45" t="s">
        <v>69</v>
      </c>
      <c r="P702" s="51"/>
      <c r="Q702" s="52">
        <f>IF(ISBLANK(P702:P1701), "", DATEDIF(J702:J1701, P702:P1701, "Y"))</f>
      </c>
    </row>
    <row x14ac:dyDescent="0.25" r="703" customHeight="1" ht="15.75">
      <c r="A703" s="45" t="s">
        <v>1796</v>
      </c>
      <c r="B703" s="45" t="s">
        <v>898</v>
      </c>
      <c r="C703" s="45" t="s">
        <v>110</v>
      </c>
      <c r="D703" s="45" t="s">
        <v>34</v>
      </c>
      <c r="E703" s="45" t="s">
        <v>1092</v>
      </c>
      <c r="F703" s="45" t="s">
        <v>7</v>
      </c>
      <c r="G703" s="45" t="s">
        <v>11</v>
      </c>
      <c r="H703" s="53">
        <v>55</v>
      </c>
      <c r="I703" s="54">
        <f>IF(H703:H1702&lt;45, "Adult", IF(H703:H1702&lt;60, "Middle Age", IF(H703:H1702&lt;70, "Old", "Very Old")))</f>
      </c>
      <c r="J703" s="55">
        <v>33958</v>
      </c>
      <c r="K703" s="56">
        <v>113950</v>
      </c>
      <c r="L703" s="54">
        <f>IF(K703:K1702&lt;50000,"0-50",IF(K703:K1702&lt;100001,"51-100",IF(K703:K1702&lt;150001,"101-150",IF(K703:K1702&lt;200001,"151-200",IF(K703:K1702&lt;250001,"201-250","above 250")))))</f>
      </c>
      <c r="M703" s="57">
        <v>0.09</v>
      </c>
      <c r="N703" s="45" t="s">
        <v>15</v>
      </c>
      <c r="O703" s="45" t="s">
        <v>59</v>
      </c>
      <c r="P703" s="51"/>
      <c r="Q703" s="52">
        <f>IF(ISBLANK(P703:P1702), "", DATEDIF(J703:J1702, P703:P1702, "Y"))</f>
      </c>
    </row>
    <row x14ac:dyDescent="0.25" r="704" customHeight="1" ht="15.75">
      <c r="A704" s="45" t="s">
        <v>1797</v>
      </c>
      <c r="B704" s="45" t="s">
        <v>800</v>
      </c>
      <c r="C704" s="45" t="s">
        <v>142</v>
      </c>
      <c r="D704" s="45" t="s">
        <v>34</v>
      </c>
      <c r="E704" s="45" t="s">
        <v>1096</v>
      </c>
      <c r="F704" s="45" t="s">
        <v>7</v>
      </c>
      <c r="G704" s="45" t="s">
        <v>8</v>
      </c>
      <c r="H704" s="53">
        <v>52</v>
      </c>
      <c r="I704" s="54">
        <f>IF(H704:H1703&lt;45, "Adult", IF(H704:H1703&lt;60, "Middle Age", IF(H704:H1703&lt;70, "Old", "Very Old")))</f>
      </c>
      <c r="J704" s="55">
        <v>35886</v>
      </c>
      <c r="K704" s="56">
        <v>182035</v>
      </c>
      <c r="L704" s="54">
        <f>IF(K704:K1703&lt;50000,"0-50",IF(K704:K1703&lt;100001,"51-100",IF(K704:K1703&lt;150001,"101-150",IF(K704:K1703&lt;200001,"151-200",IF(K704:K1703&lt;250001,"201-250","above 250")))))</f>
      </c>
      <c r="M704" s="57">
        <v>0.3</v>
      </c>
      <c r="N704" s="45" t="s">
        <v>15</v>
      </c>
      <c r="O704" s="45" t="s">
        <v>51</v>
      </c>
      <c r="P704" s="51"/>
      <c r="Q704" s="52">
        <f>IF(ISBLANK(P704:P1703), "", DATEDIF(J704:J1703, P704:P1703, "Y"))</f>
      </c>
    </row>
    <row x14ac:dyDescent="0.25" r="705" customHeight="1" ht="15.75">
      <c r="A705" s="45" t="s">
        <v>1798</v>
      </c>
      <c r="B705" s="45" t="s">
        <v>351</v>
      </c>
      <c r="C705" s="45" t="s">
        <v>96</v>
      </c>
      <c r="D705" s="45" t="s">
        <v>24</v>
      </c>
      <c r="E705" s="45" t="s">
        <v>1096</v>
      </c>
      <c r="F705" s="45" t="s">
        <v>10</v>
      </c>
      <c r="G705" s="45" t="s">
        <v>8</v>
      </c>
      <c r="H705" s="53">
        <v>35</v>
      </c>
      <c r="I705" s="54">
        <f>IF(H705:H1704&lt;45, "Adult", IF(H705:H1704&lt;60, "Middle Age", IF(H705:H1704&lt;70, "Old", "Very Old")))</f>
      </c>
      <c r="J705" s="55">
        <v>42963</v>
      </c>
      <c r="K705" s="56">
        <v>181356</v>
      </c>
      <c r="L705" s="54">
        <f>IF(K705:K1704&lt;50000,"0-50",IF(K705:K1704&lt;100001,"51-100",IF(K705:K1704&lt;150001,"101-150",IF(K705:K1704&lt;200001,"151-200",IF(K705:K1704&lt;250001,"201-250","above 250")))))</f>
      </c>
      <c r="M705" s="57">
        <v>0.23</v>
      </c>
      <c r="N705" s="45" t="s">
        <v>12</v>
      </c>
      <c r="O705" s="45" t="s">
        <v>47</v>
      </c>
      <c r="P705" s="51"/>
      <c r="Q705" s="52">
        <f>IF(ISBLANK(P705:P1704), "", DATEDIF(J705:J1704, P705:P1704, "Y"))</f>
      </c>
    </row>
    <row x14ac:dyDescent="0.25" r="706" customHeight="1" ht="15.75">
      <c r="A706" s="45" t="s">
        <v>1799</v>
      </c>
      <c r="B706" s="45" t="s">
        <v>115</v>
      </c>
      <c r="C706" s="45" t="s">
        <v>78</v>
      </c>
      <c r="D706" s="45" t="s">
        <v>36</v>
      </c>
      <c r="E706" s="45" t="s">
        <v>1100</v>
      </c>
      <c r="F706" s="45" t="s">
        <v>7</v>
      </c>
      <c r="G706" s="45" t="s">
        <v>11</v>
      </c>
      <c r="H706" s="53">
        <v>26</v>
      </c>
      <c r="I706" s="54">
        <f>IF(H706:H1705&lt;45, "Adult", IF(H706:H1705&lt;60, "Middle Age", IF(H706:H1705&lt;70, "Old", "Very Old")))</f>
      </c>
      <c r="J706" s="55">
        <v>43698</v>
      </c>
      <c r="K706" s="56">
        <v>66084</v>
      </c>
      <c r="L706" s="54">
        <f>IF(K706:K1705&lt;50000,"0-50",IF(K706:K1705&lt;100001,"51-100",IF(K706:K1705&lt;150001,"101-150",IF(K706:K1705&lt;200001,"151-200",IF(K706:K1705&lt;250001,"201-250","above 250")))))</f>
      </c>
      <c r="M706" s="57">
        <v>0</v>
      </c>
      <c r="N706" s="45" t="s">
        <v>15</v>
      </c>
      <c r="O706" s="45" t="s">
        <v>67</v>
      </c>
      <c r="P706" s="51"/>
      <c r="Q706" s="52">
        <f>IF(ISBLANK(P706:P1705), "", DATEDIF(J706:J1705, P706:P1705, "Y"))</f>
      </c>
    </row>
    <row x14ac:dyDescent="0.25" r="707" customHeight="1" ht="15.75">
      <c r="A707" s="45" t="s">
        <v>1800</v>
      </c>
      <c r="B707" s="45" t="s">
        <v>534</v>
      </c>
      <c r="C707" s="45" t="s">
        <v>124</v>
      </c>
      <c r="D707" s="45" t="s">
        <v>32</v>
      </c>
      <c r="E707" s="45" t="s">
        <v>1096</v>
      </c>
      <c r="F707" s="45" t="s">
        <v>7</v>
      </c>
      <c r="G707" s="45" t="s">
        <v>17</v>
      </c>
      <c r="H707" s="53">
        <v>43</v>
      </c>
      <c r="I707" s="54">
        <f>IF(H707:H1706&lt;45, "Adult", IF(H707:H1706&lt;60, "Middle Age", IF(H707:H1706&lt;70, "Old", "Very Old")))</f>
      </c>
      <c r="J707" s="55">
        <v>40290</v>
      </c>
      <c r="K707" s="56">
        <v>76912</v>
      </c>
      <c r="L707" s="54">
        <f>IF(K707:K1706&lt;50000,"0-50",IF(K707:K1706&lt;100001,"51-100",IF(K707:K1706&lt;150001,"101-150",IF(K707:K1706&lt;200001,"151-200",IF(K707:K1706&lt;250001,"201-250","above 250")))))</f>
      </c>
      <c r="M707" s="57">
        <v>0</v>
      </c>
      <c r="N707" s="45" t="s">
        <v>9</v>
      </c>
      <c r="O707" s="45" t="s">
        <v>65</v>
      </c>
      <c r="P707" s="51"/>
      <c r="Q707" s="52">
        <f>IF(ISBLANK(P707:P1706), "", DATEDIF(J707:J1706, P707:P1706, "Y"))</f>
      </c>
    </row>
    <row x14ac:dyDescent="0.25" r="708" customHeight="1" ht="15.75">
      <c r="A708" s="45" t="s">
        <v>1801</v>
      </c>
      <c r="B708" s="45" t="s">
        <v>1044</v>
      </c>
      <c r="C708" s="45" t="s">
        <v>140</v>
      </c>
      <c r="D708" s="45" t="s">
        <v>26</v>
      </c>
      <c r="E708" s="45" t="s">
        <v>1092</v>
      </c>
      <c r="F708" s="45" t="s">
        <v>7</v>
      </c>
      <c r="G708" s="45" t="s">
        <v>8</v>
      </c>
      <c r="H708" s="53">
        <v>63</v>
      </c>
      <c r="I708" s="54">
        <f>IF(H708:H1707&lt;45, "Adult", IF(H708:H1707&lt;60, "Middle Age", IF(H708:H1707&lt;70, "Old", "Very Old")))</f>
      </c>
      <c r="J708" s="55">
        <v>43227</v>
      </c>
      <c r="K708" s="56">
        <v>67987</v>
      </c>
      <c r="L708" s="54">
        <f>IF(K708:K1707&lt;50000,"0-50",IF(K708:K1707&lt;100001,"51-100",IF(K708:K1707&lt;150001,"101-150",IF(K708:K1707&lt;200001,"151-200",IF(K708:K1707&lt;250001,"201-250","above 250")))))</f>
      </c>
      <c r="M708" s="57">
        <v>0</v>
      </c>
      <c r="N708" s="45" t="s">
        <v>15</v>
      </c>
      <c r="O708" s="45" t="s">
        <v>59</v>
      </c>
      <c r="P708" s="51"/>
      <c r="Q708" s="52">
        <f>IF(ISBLANK(P708:P1707), "", DATEDIF(J708:J1707, P708:P1707, "Y"))</f>
      </c>
    </row>
    <row x14ac:dyDescent="0.25" r="709" customHeight="1" ht="15.75">
      <c r="A709" s="45" t="s">
        <v>1802</v>
      </c>
      <c r="B709" s="45" t="s">
        <v>1080</v>
      </c>
      <c r="C709" s="45" t="s">
        <v>82</v>
      </c>
      <c r="D709" s="45" t="s">
        <v>34</v>
      </c>
      <c r="E709" s="45" t="s">
        <v>1094</v>
      </c>
      <c r="F709" s="45" t="s">
        <v>10</v>
      </c>
      <c r="G709" s="45" t="s">
        <v>14</v>
      </c>
      <c r="H709" s="53">
        <v>65</v>
      </c>
      <c r="I709" s="54">
        <f>IF(H709:H1708&lt;45, "Adult", IF(H709:H1708&lt;60, "Middle Age", IF(H709:H1708&lt;70, "Old", "Very Old")))</f>
      </c>
      <c r="J709" s="55">
        <v>38584</v>
      </c>
      <c r="K709" s="56">
        <v>59833</v>
      </c>
      <c r="L709" s="54">
        <f>IF(K709:K1708&lt;50000,"0-50",IF(K709:K1708&lt;100001,"51-100",IF(K709:K1708&lt;150001,"101-150",IF(K709:K1708&lt;200001,"151-200",IF(K709:K1708&lt;250001,"201-250","above 250")))))</f>
      </c>
      <c r="M709" s="57">
        <v>0</v>
      </c>
      <c r="N709" s="45" t="s">
        <v>15</v>
      </c>
      <c r="O709" s="45" t="s">
        <v>55</v>
      </c>
      <c r="P709" s="51"/>
      <c r="Q709" s="52">
        <f>IF(ISBLANK(P709:P1708), "", DATEDIF(J709:J1708, P709:P1708, "Y"))</f>
      </c>
    </row>
    <row x14ac:dyDescent="0.25" r="710" customHeight="1" ht="15.75">
      <c r="A710" s="45" t="s">
        <v>1803</v>
      </c>
      <c r="B710" s="45" t="s">
        <v>627</v>
      </c>
      <c r="C710" s="45" t="s">
        <v>132</v>
      </c>
      <c r="D710" s="45" t="s">
        <v>34</v>
      </c>
      <c r="E710" s="45" t="s">
        <v>1096</v>
      </c>
      <c r="F710" s="45" t="s">
        <v>10</v>
      </c>
      <c r="G710" s="45" t="s">
        <v>8</v>
      </c>
      <c r="H710" s="53">
        <v>45</v>
      </c>
      <c r="I710" s="54">
        <f>IF(H710:H1709&lt;45, "Adult", IF(H710:H1709&lt;60, "Middle Age", IF(H710:H1709&lt;70, "Old", "Very Old")))</f>
      </c>
      <c r="J710" s="55">
        <v>38453</v>
      </c>
      <c r="K710" s="56">
        <v>128468</v>
      </c>
      <c r="L710" s="54">
        <f>IF(K710:K1709&lt;50000,"0-50",IF(K710:K1709&lt;100001,"51-100",IF(K710:K1709&lt;150001,"101-150",IF(K710:K1709&lt;200001,"151-200",IF(K710:K1709&lt;250001,"201-250","above 250")))))</f>
      </c>
      <c r="M710" s="57">
        <v>0.11</v>
      </c>
      <c r="N710" s="45" t="s">
        <v>15</v>
      </c>
      <c r="O710" s="45" t="s">
        <v>51</v>
      </c>
      <c r="P710" s="51"/>
      <c r="Q710" s="52">
        <f>IF(ISBLANK(P710:P1709), "", DATEDIF(J710:J1709, P710:P1709, "Y"))</f>
      </c>
    </row>
    <row x14ac:dyDescent="0.25" r="711" customHeight="1" ht="15.75">
      <c r="A711" s="45" t="s">
        <v>1804</v>
      </c>
      <c r="B711" s="45" t="s">
        <v>517</v>
      </c>
      <c r="C711" s="45" t="s">
        <v>110</v>
      </c>
      <c r="D711" s="45" t="s">
        <v>36</v>
      </c>
      <c r="E711" s="45" t="s">
        <v>1100</v>
      </c>
      <c r="F711" s="45" t="s">
        <v>10</v>
      </c>
      <c r="G711" s="45" t="s">
        <v>11</v>
      </c>
      <c r="H711" s="53">
        <v>42</v>
      </c>
      <c r="I711" s="54">
        <f>IF(H711:H1710&lt;45, "Adult", IF(H711:H1710&lt;60, "Middle Age", IF(H711:H1710&lt;70, "Old", "Very Old")))</f>
      </c>
      <c r="J711" s="55">
        <v>40692</v>
      </c>
      <c r="K711" s="56">
        <v>102440</v>
      </c>
      <c r="L711" s="54">
        <f>IF(K711:K1710&lt;50000,"0-50",IF(K711:K1710&lt;100001,"51-100",IF(K711:K1710&lt;150001,"101-150",IF(K711:K1710&lt;200001,"151-200",IF(K711:K1710&lt;250001,"201-250","above 250")))))</f>
      </c>
      <c r="M711" s="57">
        <v>0.06</v>
      </c>
      <c r="N711" s="45" t="s">
        <v>15</v>
      </c>
      <c r="O711" s="45" t="s">
        <v>51</v>
      </c>
      <c r="P711" s="51"/>
      <c r="Q711" s="52">
        <f>IF(ISBLANK(P711:P1710), "", DATEDIF(J711:J1710, P711:P1710, "Y"))</f>
      </c>
    </row>
    <row x14ac:dyDescent="0.25" r="712" customHeight="1" ht="15.75">
      <c r="A712" s="45" t="s">
        <v>1805</v>
      </c>
      <c r="B712" s="45" t="s">
        <v>972</v>
      </c>
      <c r="C712" s="45" t="s">
        <v>142</v>
      </c>
      <c r="D712" s="45" t="s">
        <v>32</v>
      </c>
      <c r="E712" s="45" t="s">
        <v>1096</v>
      </c>
      <c r="F712" s="45" t="s">
        <v>10</v>
      </c>
      <c r="G712" s="45" t="s">
        <v>11</v>
      </c>
      <c r="H712" s="53">
        <v>59</v>
      </c>
      <c r="I712" s="54">
        <f>IF(H712:H1711&lt;45, "Adult", IF(H712:H1711&lt;60, "Middle Age", IF(H712:H1711&lt;70, "Old", "Very Old")))</f>
      </c>
      <c r="J712" s="55">
        <v>40542</v>
      </c>
      <c r="K712" s="56">
        <v>246619</v>
      </c>
      <c r="L712" s="54">
        <f>IF(K712:K1711&lt;50000,"0-50",IF(K712:K1711&lt;100001,"51-100",IF(K712:K1711&lt;150001,"101-150",IF(K712:K1711&lt;200001,"151-200",IF(K712:K1711&lt;250001,"201-250","above 250")))))</f>
      </c>
      <c r="M712" s="57">
        <v>0.36</v>
      </c>
      <c r="N712" s="45" t="s">
        <v>15</v>
      </c>
      <c r="O712" s="45" t="s">
        <v>59</v>
      </c>
      <c r="P712" s="51"/>
      <c r="Q712" s="52">
        <f>IF(ISBLANK(P712:P1711), "", DATEDIF(J712:J1711, P712:P1711, "Y"))</f>
      </c>
    </row>
    <row x14ac:dyDescent="0.25" r="713" customHeight="1" ht="15.75">
      <c r="A713" s="45" t="s">
        <v>1806</v>
      </c>
      <c r="B713" s="45" t="s">
        <v>515</v>
      </c>
      <c r="C713" s="45" t="s">
        <v>110</v>
      </c>
      <c r="D713" s="45" t="s">
        <v>30</v>
      </c>
      <c r="E713" s="45" t="s">
        <v>1100</v>
      </c>
      <c r="F713" s="45" t="s">
        <v>7</v>
      </c>
      <c r="G713" s="45" t="s">
        <v>17</v>
      </c>
      <c r="H713" s="53">
        <v>42</v>
      </c>
      <c r="I713" s="54">
        <f>IF(H713:H1712&lt;45, "Adult", IF(H713:H1712&lt;60, "Middle Age", IF(H713:H1712&lt;70, "Old", "Very Old")))</f>
      </c>
      <c r="J713" s="55">
        <v>43058</v>
      </c>
      <c r="K713" s="56">
        <v>101143</v>
      </c>
      <c r="L713" s="54">
        <f>IF(K713:K1712&lt;50000,"0-50",IF(K713:K1712&lt;100001,"51-100",IF(K713:K1712&lt;150001,"101-150",IF(K713:K1712&lt;200001,"151-200",IF(K713:K1712&lt;250001,"201-250","above 250")))))</f>
      </c>
      <c r="M713" s="57">
        <v>0.06</v>
      </c>
      <c r="N713" s="45" t="s">
        <v>15</v>
      </c>
      <c r="O713" s="45" t="s">
        <v>59</v>
      </c>
      <c r="P713" s="51"/>
      <c r="Q713" s="52">
        <f>IF(ISBLANK(P713:P1712), "", DATEDIF(J713:J1712, P713:P1712, "Y"))</f>
      </c>
    </row>
    <row x14ac:dyDescent="0.25" r="714" customHeight="1" ht="15.75">
      <c r="A714" s="45" t="s">
        <v>1807</v>
      </c>
      <c r="B714" s="45" t="s">
        <v>612</v>
      </c>
      <c r="C714" s="45" t="s">
        <v>86</v>
      </c>
      <c r="D714" s="45" t="s">
        <v>30</v>
      </c>
      <c r="E714" s="45" t="s">
        <v>1094</v>
      </c>
      <c r="F714" s="45" t="s">
        <v>7</v>
      </c>
      <c r="G714" s="45" t="s">
        <v>17</v>
      </c>
      <c r="H714" s="53">
        <v>45</v>
      </c>
      <c r="I714" s="54">
        <f>IF(H714:H1713&lt;45, "Adult", IF(H714:H1713&lt;60, "Middle Age", IF(H714:H1713&lt;70, "Old", "Very Old")))</f>
      </c>
      <c r="J714" s="55">
        <v>38639</v>
      </c>
      <c r="K714" s="56">
        <v>51404</v>
      </c>
      <c r="L714" s="54">
        <f>IF(K714:K1713&lt;50000,"0-50",IF(K714:K1713&lt;100001,"51-100",IF(K714:K1713&lt;150001,"101-150",IF(K714:K1713&lt;200001,"151-200",IF(K714:K1713&lt;250001,"201-250","above 250")))))</f>
      </c>
      <c r="M714" s="57">
        <v>0</v>
      </c>
      <c r="N714" s="45" t="s">
        <v>9</v>
      </c>
      <c r="O714" s="45" t="s">
        <v>57</v>
      </c>
      <c r="P714" s="58">
        <v>40153</v>
      </c>
      <c r="Q714" s="53">
        <f>IF(ISBLANK(P714:P1713), "", DATEDIF(J714:J1713, P714:P1713, "Y"))</f>
      </c>
    </row>
    <row x14ac:dyDescent="0.25" r="715" customHeight="1" ht="15.75">
      <c r="A715" s="45" t="s">
        <v>1808</v>
      </c>
      <c r="B715" s="45" t="s">
        <v>630</v>
      </c>
      <c r="C715" s="45" t="s">
        <v>102</v>
      </c>
      <c r="D715" s="45" t="s">
        <v>26</v>
      </c>
      <c r="E715" s="45" t="s">
        <v>1096</v>
      </c>
      <c r="F715" s="45" t="s">
        <v>10</v>
      </c>
      <c r="G715" s="45" t="s">
        <v>14</v>
      </c>
      <c r="H715" s="53">
        <v>45</v>
      </c>
      <c r="I715" s="54">
        <f>IF(H715:H1714&lt;45, "Adult", IF(H715:H1714&lt;60, "Middle Age", IF(H715:H1714&lt;70, "Old", "Very Old")))</f>
      </c>
      <c r="J715" s="55">
        <v>42329</v>
      </c>
      <c r="K715" s="56">
        <v>87292</v>
      </c>
      <c r="L715" s="54">
        <f>IF(K715:K1714&lt;50000,"0-50",IF(K715:K1714&lt;100001,"51-100",IF(K715:K1714&lt;150001,"101-150",IF(K715:K1714&lt;200001,"151-200",IF(K715:K1714&lt;250001,"201-250","above 250")))))</f>
      </c>
      <c r="M715" s="57">
        <v>0</v>
      </c>
      <c r="N715" s="45" t="s">
        <v>15</v>
      </c>
      <c r="O715" s="45" t="s">
        <v>55</v>
      </c>
      <c r="P715" s="51"/>
      <c r="Q715" s="52">
        <f>IF(ISBLANK(P715:P1714), "", DATEDIF(J715:J1714, P715:P1714, "Y"))</f>
      </c>
    </row>
    <row x14ac:dyDescent="0.25" r="716" customHeight="1" ht="15.75">
      <c r="A716" s="45" t="s">
        <v>1809</v>
      </c>
      <c r="B716" s="45" t="s">
        <v>181</v>
      </c>
      <c r="C716" s="45" t="s">
        <v>96</v>
      </c>
      <c r="D716" s="45" t="s">
        <v>34</v>
      </c>
      <c r="E716" s="45" t="s">
        <v>1096</v>
      </c>
      <c r="F716" s="45" t="s">
        <v>7</v>
      </c>
      <c r="G716" s="45" t="s">
        <v>8</v>
      </c>
      <c r="H716" s="53">
        <v>28</v>
      </c>
      <c r="I716" s="54">
        <f>IF(H716:H1715&lt;45, "Adult", IF(H716:H1715&lt;60, "Middle Age", IF(H716:H1715&lt;70, "Old", "Very Old")))</f>
      </c>
      <c r="J716" s="55">
        <v>43810</v>
      </c>
      <c r="K716" s="56">
        <v>182321</v>
      </c>
      <c r="L716" s="54">
        <f>IF(K716:K1715&lt;50000,"0-50",IF(K716:K1715&lt;100001,"51-100",IF(K716:K1715&lt;150001,"101-150",IF(K716:K1715&lt;200001,"151-200",IF(K716:K1715&lt;250001,"201-250","above 250")))))</f>
      </c>
      <c r="M716" s="57">
        <v>0.28</v>
      </c>
      <c r="N716" s="45" t="s">
        <v>12</v>
      </c>
      <c r="O716" s="45" t="s">
        <v>47</v>
      </c>
      <c r="P716" s="51"/>
      <c r="Q716" s="52">
        <f>IF(ISBLANK(P716:P1715), "", DATEDIF(J716:J1715, P716:P1715, "Y"))</f>
      </c>
    </row>
    <row x14ac:dyDescent="0.25" r="717" customHeight="1" ht="15.75">
      <c r="A717" s="45" t="s">
        <v>1810</v>
      </c>
      <c r="B717" s="45" t="s">
        <v>777</v>
      </c>
      <c r="C717" s="45" t="s">
        <v>136</v>
      </c>
      <c r="D717" s="45" t="s">
        <v>32</v>
      </c>
      <c r="E717" s="45" t="s">
        <v>1100</v>
      </c>
      <c r="F717" s="45" t="s">
        <v>10</v>
      </c>
      <c r="G717" s="45" t="s">
        <v>14</v>
      </c>
      <c r="H717" s="53">
        <v>51</v>
      </c>
      <c r="I717" s="54">
        <f>IF(H717:H1716&lt;45, "Adult", IF(H717:H1716&lt;60, "Middle Age", IF(H717:H1716&lt;70, "Old", "Very Old")))</f>
      </c>
      <c r="J717" s="55">
        <v>41697</v>
      </c>
      <c r="K717" s="56">
        <v>53929</v>
      </c>
      <c r="L717" s="54">
        <f>IF(K717:K1716&lt;50000,"0-50",IF(K717:K1716&lt;100001,"51-100",IF(K717:K1716&lt;150001,"101-150",IF(K717:K1716&lt;200001,"151-200",IF(K717:K1716&lt;250001,"201-250","above 250")))))</f>
      </c>
      <c r="M717" s="57">
        <v>0</v>
      </c>
      <c r="N717" s="45" t="s">
        <v>15</v>
      </c>
      <c r="O717" s="45" t="s">
        <v>59</v>
      </c>
      <c r="P717" s="58">
        <v>43091</v>
      </c>
      <c r="Q717" s="53">
        <f>IF(ISBLANK(P717:P1716), "", DATEDIF(J717:J1716, P717:P1716, "Y"))</f>
      </c>
    </row>
    <row x14ac:dyDescent="0.25" r="718" customHeight="1" ht="15.75">
      <c r="A718" s="45" t="s">
        <v>1811</v>
      </c>
      <c r="B718" s="45" t="s">
        <v>422</v>
      </c>
      <c r="C718" s="45" t="s">
        <v>142</v>
      </c>
      <c r="D718" s="45" t="s">
        <v>24</v>
      </c>
      <c r="E718" s="45" t="s">
        <v>1094</v>
      </c>
      <c r="F718" s="45" t="s">
        <v>7</v>
      </c>
      <c r="G718" s="45" t="s">
        <v>8</v>
      </c>
      <c r="H718" s="53">
        <v>38</v>
      </c>
      <c r="I718" s="54">
        <f>IF(H718:H1717&lt;45, "Adult", IF(H718:H1717&lt;60, "Middle Age", IF(H718:H1717&lt;70, "Old", "Very Old")))</f>
      </c>
      <c r="J718" s="55">
        <v>41256</v>
      </c>
      <c r="K718" s="56">
        <v>191571</v>
      </c>
      <c r="L718" s="54">
        <f>IF(K718:K1717&lt;50000,"0-50",IF(K718:K1717&lt;100001,"51-100",IF(K718:K1717&lt;150001,"101-150",IF(K718:K1717&lt;200001,"151-200",IF(K718:K1717&lt;250001,"201-250","above 250")))))</f>
      </c>
      <c r="M718" s="57">
        <v>0.32</v>
      </c>
      <c r="N718" s="45" t="s">
        <v>15</v>
      </c>
      <c r="O718" s="45" t="s">
        <v>42</v>
      </c>
      <c r="P718" s="51"/>
      <c r="Q718" s="52">
        <f>IF(ISBLANK(P718:P1717), "", DATEDIF(J718:J1717, P718:P1717, "Y"))</f>
      </c>
    </row>
    <row x14ac:dyDescent="0.25" r="719" customHeight="1" ht="15.75">
      <c r="A719" s="45" t="s">
        <v>1812</v>
      </c>
      <c r="B719" s="45" t="s">
        <v>1024</v>
      </c>
      <c r="C719" s="45" t="s">
        <v>132</v>
      </c>
      <c r="D719" s="45" t="s">
        <v>24</v>
      </c>
      <c r="E719" s="45" t="s">
        <v>1100</v>
      </c>
      <c r="F719" s="45" t="s">
        <v>7</v>
      </c>
      <c r="G719" s="45" t="s">
        <v>14</v>
      </c>
      <c r="H719" s="53">
        <v>62</v>
      </c>
      <c r="I719" s="54">
        <f>IF(H719:H1718&lt;45, "Adult", IF(H719:H1718&lt;60, "Middle Age", IF(H719:H1718&lt;70, "Old", "Very Old")))</f>
      </c>
      <c r="J719" s="55">
        <v>39843</v>
      </c>
      <c r="K719" s="56">
        <v>150555</v>
      </c>
      <c r="L719" s="54">
        <f>IF(K719:K1718&lt;50000,"0-50",IF(K719:K1718&lt;100001,"51-100",IF(K719:K1718&lt;150001,"101-150",IF(K719:K1718&lt;200001,"151-200",IF(K719:K1718&lt;250001,"201-250","above 250")))))</f>
      </c>
      <c r="M719" s="57">
        <v>0.13</v>
      </c>
      <c r="N719" s="45" t="s">
        <v>15</v>
      </c>
      <c r="O719" s="45" t="s">
        <v>61</v>
      </c>
      <c r="P719" s="51"/>
      <c r="Q719" s="52">
        <f>IF(ISBLANK(P719:P1718), "", DATEDIF(J719:J1718, P719:P1718, "Y"))</f>
      </c>
    </row>
    <row x14ac:dyDescent="0.25" r="720" customHeight="1" ht="15.75">
      <c r="A720" s="45" t="s">
        <v>1813</v>
      </c>
      <c r="B720" s="45" t="s">
        <v>801</v>
      </c>
      <c r="C720" s="45" t="s">
        <v>110</v>
      </c>
      <c r="D720" s="45" t="s">
        <v>28</v>
      </c>
      <c r="E720" s="45" t="s">
        <v>1100</v>
      </c>
      <c r="F720" s="45" t="s">
        <v>10</v>
      </c>
      <c r="G720" s="45" t="s">
        <v>8</v>
      </c>
      <c r="H720" s="53">
        <v>52</v>
      </c>
      <c r="I720" s="54">
        <f>IF(H720:H1719&lt;45, "Adult", IF(H720:H1719&lt;60, "Middle Age", IF(H720:H1719&lt;70, "Old", "Very Old")))</f>
      </c>
      <c r="J720" s="55">
        <v>40091</v>
      </c>
      <c r="K720" s="56">
        <v>122890</v>
      </c>
      <c r="L720" s="54">
        <f>IF(K720:K1719&lt;50000,"0-50",IF(K720:K1719&lt;100001,"51-100",IF(K720:K1719&lt;150001,"101-150",IF(K720:K1719&lt;200001,"151-200",IF(K720:K1719&lt;250001,"201-250","above 250")))))</f>
      </c>
      <c r="M720" s="57">
        <v>0.07</v>
      </c>
      <c r="N720" s="45" t="s">
        <v>12</v>
      </c>
      <c r="O720" s="45" t="s">
        <v>69</v>
      </c>
      <c r="P720" s="51"/>
      <c r="Q720" s="52">
        <f>IF(ISBLANK(P720:P1719), "", DATEDIF(J720:J1719, P720:P1719, "Y"))</f>
      </c>
    </row>
    <row x14ac:dyDescent="0.25" r="721" customHeight="1" ht="15.75">
      <c r="A721" s="45" t="s">
        <v>1814</v>
      </c>
      <c r="B721" s="45" t="s">
        <v>808</v>
      </c>
      <c r="C721" s="45" t="s">
        <v>142</v>
      </c>
      <c r="D721" s="45" t="s">
        <v>28</v>
      </c>
      <c r="E721" s="45" t="s">
        <v>1092</v>
      </c>
      <c r="F721" s="45" t="s">
        <v>10</v>
      </c>
      <c r="G721" s="45" t="s">
        <v>8</v>
      </c>
      <c r="H721" s="53">
        <v>52</v>
      </c>
      <c r="I721" s="54">
        <f>IF(H721:H1720&lt;45, "Adult", IF(H721:H1720&lt;60, "Middle Age", IF(H721:H1720&lt;70, "Old", "Very Old")))</f>
      </c>
      <c r="J721" s="55">
        <v>35576</v>
      </c>
      <c r="K721" s="56">
        <v>216999</v>
      </c>
      <c r="L721" s="54">
        <f>IF(K721:K1720&lt;50000,"0-50",IF(K721:K1720&lt;100001,"51-100",IF(K721:K1720&lt;150001,"101-150",IF(K721:K1720&lt;200001,"151-200",IF(K721:K1720&lt;250001,"201-250","above 250")))))</f>
      </c>
      <c r="M721" s="57">
        <v>0.37</v>
      </c>
      <c r="N721" s="45" t="s">
        <v>15</v>
      </c>
      <c r="O721" s="45" t="s">
        <v>59</v>
      </c>
      <c r="P721" s="51"/>
      <c r="Q721" s="52">
        <f>IF(ISBLANK(P721:P1720), "", DATEDIF(J721:J1720, P721:P1720, "Y"))</f>
      </c>
    </row>
    <row x14ac:dyDescent="0.25" r="722" customHeight="1" ht="15.75">
      <c r="A722" s="45" t="s">
        <v>1815</v>
      </c>
      <c r="B722" s="45" t="s">
        <v>714</v>
      </c>
      <c r="C722" s="45" t="s">
        <v>110</v>
      </c>
      <c r="D722" s="45" t="s">
        <v>30</v>
      </c>
      <c r="E722" s="45" t="s">
        <v>1100</v>
      </c>
      <c r="F722" s="45" t="s">
        <v>10</v>
      </c>
      <c r="G722" s="45" t="s">
        <v>8</v>
      </c>
      <c r="H722" s="53">
        <v>48</v>
      </c>
      <c r="I722" s="54">
        <f>IF(H722:H1721&lt;45, "Adult", IF(H722:H1721&lt;60, "Middle Age", IF(H722:H1721&lt;70, "Old", "Very Old")))</f>
      </c>
      <c r="J722" s="55">
        <v>42201</v>
      </c>
      <c r="K722" s="56">
        <v>110565</v>
      </c>
      <c r="L722" s="54">
        <f>IF(K722:K1721&lt;50000,"0-50",IF(K722:K1721&lt;100001,"51-100",IF(K722:K1721&lt;150001,"101-150",IF(K722:K1721&lt;200001,"151-200",IF(K722:K1721&lt;250001,"201-250","above 250")))))</f>
      </c>
      <c r="M722" s="57">
        <v>0.09</v>
      </c>
      <c r="N722" s="45" t="s">
        <v>12</v>
      </c>
      <c r="O722" s="45" t="s">
        <v>47</v>
      </c>
      <c r="P722" s="51"/>
      <c r="Q722" s="52">
        <f>IF(ISBLANK(P722:P1721), "", DATEDIF(J722:J1721, P722:P1721, "Y"))</f>
      </c>
    </row>
    <row x14ac:dyDescent="0.25" r="723" customHeight="1" ht="15.75">
      <c r="A723" s="45" t="s">
        <v>1816</v>
      </c>
      <c r="B723" s="45" t="s">
        <v>425</v>
      </c>
      <c r="C723" s="45" t="s">
        <v>106</v>
      </c>
      <c r="D723" s="45" t="s">
        <v>32</v>
      </c>
      <c r="E723" s="45" t="s">
        <v>1096</v>
      </c>
      <c r="F723" s="45" t="s">
        <v>10</v>
      </c>
      <c r="G723" s="45" t="s">
        <v>14</v>
      </c>
      <c r="H723" s="53">
        <v>38</v>
      </c>
      <c r="I723" s="54">
        <f>IF(H723:H1722&lt;45, "Adult", IF(H723:H1722&lt;60, "Middle Age", IF(H723:H1722&lt;70, "Old", "Very Old")))</f>
      </c>
      <c r="J723" s="55">
        <v>42113</v>
      </c>
      <c r="K723" s="56">
        <v>48762</v>
      </c>
      <c r="L723" s="54">
        <f>IF(K723:K1722&lt;50000,"0-50",IF(K723:K1722&lt;100001,"51-100",IF(K723:K1722&lt;150001,"101-150",IF(K723:K1722&lt;200001,"151-200",IF(K723:K1722&lt;250001,"201-250","above 250")))))</f>
      </c>
      <c r="M723" s="57">
        <v>0</v>
      </c>
      <c r="N723" s="45" t="s">
        <v>15</v>
      </c>
      <c r="O723" s="45" t="s">
        <v>67</v>
      </c>
      <c r="P723" s="51"/>
      <c r="Q723" s="52">
        <f>IF(ISBLANK(P723:P1722), "", DATEDIF(J723:J1722, P723:P1722, "Y"))</f>
      </c>
    </row>
    <row x14ac:dyDescent="0.25" r="724" customHeight="1" ht="15.75">
      <c r="A724" s="45" t="s">
        <v>1817</v>
      </c>
      <c r="B724" s="45" t="s">
        <v>774</v>
      </c>
      <c r="C724" s="45" t="s">
        <v>94</v>
      </c>
      <c r="D724" s="45" t="s">
        <v>26</v>
      </c>
      <c r="E724" s="45" t="s">
        <v>1096</v>
      </c>
      <c r="F724" s="45" t="s">
        <v>7</v>
      </c>
      <c r="G724" s="45" t="s">
        <v>8</v>
      </c>
      <c r="H724" s="53">
        <v>51</v>
      </c>
      <c r="I724" s="54">
        <f>IF(H724:H1723&lt;45, "Adult", IF(H724:H1723&lt;60, "Middle Age", IF(H724:H1723&lt;70, "Old", "Very Old")))</f>
      </c>
      <c r="J724" s="55">
        <v>42777</v>
      </c>
      <c r="K724" s="56">
        <v>87036</v>
      </c>
      <c r="L724" s="54">
        <f>IF(K724:K1723&lt;50000,"0-50",IF(K724:K1723&lt;100001,"51-100",IF(K724:K1723&lt;150001,"101-150",IF(K724:K1723&lt;200001,"151-200",IF(K724:K1723&lt;250001,"201-250","above 250")))))</f>
      </c>
      <c r="M724" s="57">
        <v>0</v>
      </c>
      <c r="N724" s="45" t="s">
        <v>12</v>
      </c>
      <c r="O724" s="45" t="s">
        <v>53</v>
      </c>
      <c r="P724" s="51"/>
      <c r="Q724" s="52">
        <f>IF(ISBLANK(P724:P1723), "", DATEDIF(J724:J1723, P724:P1723, "Y"))</f>
      </c>
    </row>
    <row x14ac:dyDescent="0.25" r="725" customHeight="1" ht="15.75">
      <c r="A725" s="45" t="s">
        <v>1818</v>
      </c>
      <c r="B725" s="45" t="s">
        <v>281</v>
      </c>
      <c r="C725" s="45" t="s">
        <v>96</v>
      </c>
      <c r="D725" s="45" t="s">
        <v>34</v>
      </c>
      <c r="E725" s="45" t="s">
        <v>1096</v>
      </c>
      <c r="F725" s="45" t="s">
        <v>10</v>
      </c>
      <c r="G725" s="45" t="s">
        <v>14</v>
      </c>
      <c r="H725" s="53">
        <v>32</v>
      </c>
      <c r="I725" s="54">
        <f>IF(H725:H1724&lt;45, "Adult", IF(H725:H1724&lt;60, "Middle Age", IF(H725:H1724&lt;70, "Old", "Very Old")))</f>
      </c>
      <c r="J725" s="55">
        <v>42702</v>
      </c>
      <c r="K725" s="56">
        <v>177443</v>
      </c>
      <c r="L725" s="54">
        <f>IF(K725:K1724&lt;50000,"0-50",IF(K725:K1724&lt;100001,"51-100",IF(K725:K1724&lt;150001,"101-150",IF(K725:K1724&lt;200001,"151-200",IF(K725:K1724&lt;250001,"201-250","above 250")))))</f>
      </c>
      <c r="M725" s="57">
        <v>0.16</v>
      </c>
      <c r="N725" s="45" t="s">
        <v>15</v>
      </c>
      <c r="O725" s="45" t="s">
        <v>67</v>
      </c>
      <c r="P725" s="51"/>
      <c r="Q725" s="52">
        <f>IF(ISBLANK(P725:P1724), "", DATEDIF(J725:J1724, P725:P1724, "Y"))</f>
      </c>
    </row>
    <row x14ac:dyDescent="0.25" r="726" customHeight="1" ht="15.75">
      <c r="A726" s="45" t="s">
        <v>1819</v>
      </c>
      <c r="B726" s="45" t="s">
        <v>378</v>
      </c>
      <c r="C726" s="45" t="s">
        <v>100</v>
      </c>
      <c r="D726" s="45" t="s">
        <v>32</v>
      </c>
      <c r="E726" s="45" t="s">
        <v>1092</v>
      </c>
      <c r="F726" s="45" t="s">
        <v>7</v>
      </c>
      <c r="G726" s="45" t="s">
        <v>8</v>
      </c>
      <c r="H726" s="53">
        <v>36</v>
      </c>
      <c r="I726" s="54">
        <f>IF(H726:H1725&lt;45, "Adult", IF(H726:H1725&lt;60, "Middle Age", IF(H726:H1725&lt;70, "Old", "Very Old")))</f>
      </c>
      <c r="J726" s="55">
        <v>42489</v>
      </c>
      <c r="K726" s="56">
        <v>75862</v>
      </c>
      <c r="L726" s="54">
        <f>IF(K726:K1725&lt;50000,"0-50",IF(K726:K1725&lt;100001,"51-100",IF(K726:K1725&lt;150001,"101-150",IF(K726:K1725&lt;200001,"151-200",IF(K726:K1725&lt;250001,"201-250","above 250")))))</f>
      </c>
      <c r="M726" s="57">
        <v>0</v>
      </c>
      <c r="N726" s="45" t="s">
        <v>15</v>
      </c>
      <c r="O726" s="45" t="s">
        <v>42</v>
      </c>
      <c r="P726" s="51"/>
      <c r="Q726" s="52">
        <f>IF(ISBLANK(P726:P1725), "", DATEDIF(J726:J1725, P726:P1725, "Y"))</f>
      </c>
    </row>
    <row x14ac:dyDescent="0.25" r="727" customHeight="1" ht="15.75">
      <c r="A727" s="45" t="s">
        <v>1820</v>
      </c>
      <c r="B727" s="45" t="s">
        <v>610</v>
      </c>
      <c r="C727" s="45" t="s">
        <v>130</v>
      </c>
      <c r="D727" s="45" t="s">
        <v>30</v>
      </c>
      <c r="E727" s="45" t="s">
        <v>1092</v>
      </c>
      <c r="F727" s="45" t="s">
        <v>7</v>
      </c>
      <c r="G727" s="45" t="s">
        <v>8</v>
      </c>
      <c r="H727" s="53">
        <v>45</v>
      </c>
      <c r="I727" s="54">
        <f>IF(H727:H1726&lt;45, "Adult", IF(H727:H1726&lt;60, "Middle Age", IF(H727:H1726&lt;70, "Old", "Very Old")))</f>
      </c>
      <c r="J727" s="55">
        <v>43581</v>
      </c>
      <c r="K727" s="56">
        <v>90870</v>
      </c>
      <c r="L727" s="54">
        <f>IF(K727:K1726&lt;50000,"0-50",IF(K727:K1726&lt;100001,"51-100",IF(K727:K1726&lt;150001,"101-150",IF(K727:K1726&lt;200001,"151-200",IF(K727:K1726&lt;250001,"201-250","above 250")))))</f>
      </c>
      <c r="M727" s="57">
        <v>0</v>
      </c>
      <c r="N727" s="45" t="s">
        <v>15</v>
      </c>
      <c r="O727" s="45" t="s">
        <v>51</v>
      </c>
      <c r="P727" s="51"/>
      <c r="Q727" s="52">
        <f>IF(ISBLANK(P727:P1726), "", DATEDIF(J727:J1726, P727:P1726, "Y"))</f>
      </c>
    </row>
    <row x14ac:dyDescent="0.25" r="728" customHeight="1" ht="15.75">
      <c r="A728" s="45" t="s">
        <v>1821</v>
      </c>
      <c r="B728" s="45" t="s">
        <v>282</v>
      </c>
      <c r="C728" s="45" t="s">
        <v>98</v>
      </c>
      <c r="D728" s="45" t="s">
        <v>26</v>
      </c>
      <c r="E728" s="45" t="s">
        <v>1100</v>
      </c>
      <c r="F728" s="45" t="s">
        <v>7</v>
      </c>
      <c r="G728" s="45" t="s">
        <v>8</v>
      </c>
      <c r="H728" s="53">
        <v>32</v>
      </c>
      <c r="I728" s="54">
        <f>IF(H728:H1727&lt;45, "Adult", IF(H728:H1727&lt;60, "Middle Age", IF(H728:H1727&lt;70, "Old", "Very Old")))</f>
      </c>
      <c r="J728" s="55">
        <v>41977</v>
      </c>
      <c r="K728" s="56">
        <v>99202</v>
      </c>
      <c r="L728" s="54">
        <f>IF(K728:K1727&lt;50000,"0-50",IF(K728:K1727&lt;100001,"51-100",IF(K728:K1727&lt;150001,"101-150",IF(K728:K1727&lt;200001,"151-200",IF(K728:K1727&lt;250001,"201-250","above 250")))))</f>
      </c>
      <c r="M728" s="57">
        <v>0.11</v>
      </c>
      <c r="N728" s="45" t="s">
        <v>15</v>
      </c>
      <c r="O728" s="45" t="s">
        <v>61</v>
      </c>
      <c r="P728" s="51"/>
      <c r="Q728" s="52">
        <f>IF(ISBLANK(P728:P1727), "", DATEDIF(J728:J1727, P728:P1727, "Y"))</f>
      </c>
    </row>
    <row x14ac:dyDescent="0.25" r="729" customHeight="1" ht="15.75">
      <c r="A729" s="45" t="s">
        <v>1822</v>
      </c>
      <c r="B729" s="45" t="s">
        <v>609</v>
      </c>
      <c r="C729" s="45" t="s">
        <v>128</v>
      </c>
      <c r="D729" s="45" t="s">
        <v>34</v>
      </c>
      <c r="E729" s="45" t="s">
        <v>1100</v>
      </c>
      <c r="F729" s="45" t="s">
        <v>10</v>
      </c>
      <c r="G729" s="45" t="s">
        <v>8</v>
      </c>
      <c r="H729" s="53">
        <v>45</v>
      </c>
      <c r="I729" s="54">
        <f>IF(H729:H1728&lt;45, "Adult", IF(H729:H1728&lt;60, "Middle Age", IF(H729:H1728&lt;70, "Old", "Very Old")))</f>
      </c>
      <c r="J729" s="55">
        <v>39347</v>
      </c>
      <c r="K729" s="56">
        <v>92293</v>
      </c>
      <c r="L729" s="54">
        <f>IF(K729:K1728&lt;50000,"0-50",IF(K729:K1728&lt;100001,"51-100",IF(K729:K1728&lt;150001,"101-150",IF(K729:K1728&lt;200001,"151-200",IF(K729:K1728&lt;250001,"201-250","above 250")))))</f>
      </c>
      <c r="M729" s="57">
        <v>0</v>
      </c>
      <c r="N729" s="45" t="s">
        <v>12</v>
      </c>
      <c r="O729" s="45" t="s">
        <v>49</v>
      </c>
      <c r="P729" s="51"/>
      <c r="Q729" s="52">
        <f>IF(ISBLANK(P729:P1728), "", DATEDIF(J729:J1728, P729:P1728, "Y"))</f>
      </c>
    </row>
    <row x14ac:dyDescent="0.25" r="730" customHeight="1" ht="15.75">
      <c r="A730" s="45" t="s">
        <v>1823</v>
      </c>
      <c r="B730" s="45" t="s">
        <v>847</v>
      </c>
      <c r="C730" s="45" t="s">
        <v>124</v>
      </c>
      <c r="D730" s="45" t="s">
        <v>32</v>
      </c>
      <c r="E730" s="45" t="s">
        <v>1100</v>
      </c>
      <c r="F730" s="45" t="s">
        <v>10</v>
      </c>
      <c r="G730" s="45" t="s">
        <v>14</v>
      </c>
      <c r="H730" s="53">
        <v>54</v>
      </c>
      <c r="I730" s="54">
        <f>IF(H730:H1729&lt;45, "Adult", IF(H730:H1729&lt;60, "Middle Age", IF(H730:H1729&lt;70, "Old", "Very Old")))</f>
      </c>
      <c r="J730" s="55">
        <v>33785</v>
      </c>
      <c r="K730" s="56">
        <v>63196</v>
      </c>
      <c r="L730" s="54">
        <f>IF(K730:K1729&lt;50000,"0-50",IF(K730:K1729&lt;100001,"51-100",IF(K730:K1729&lt;150001,"101-150",IF(K730:K1729&lt;200001,"151-200",IF(K730:K1729&lt;250001,"201-250","above 250")))))</f>
      </c>
      <c r="M730" s="57">
        <v>0</v>
      </c>
      <c r="N730" s="45" t="s">
        <v>15</v>
      </c>
      <c r="O730" s="45" t="s">
        <v>51</v>
      </c>
      <c r="P730" s="58">
        <v>41938</v>
      </c>
      <c r="Q730" s="53">
        <f>IF(ISBLANK(P730:P1729), "", DATEDIF(J730:J1729, P730:P1729, "Y"))</f>
      </c>
    </row>
    <row x14ac:dyDescent="0.25" r="731" customHeight="1" ht="15.75">
      <c r="A731" s="45" t="s">
        <v>1824</v>
      </c>
      <c r="B731" s="45" t="s">
        <v>711</v>
      </c>
      <c r="C731" s="45" t="s">
        <v>94</v>
      </c>
      <c r="D731" s="45" t="s">
        <v>26</v>
      </c>
      <c r="E731" s="45" t="s">
        <v>1096</v>
      </c>
      <c r="F731" s="45" t="s">
        <v>7</v>
      </c>
      <c r="G731" s="45" t="s">
        <v>8</v>
      </c>
      <c r="H731" s="53">
        <v>48</v>
      </c>
      <c r="I731" s="54">
        <f>IF(H731:H1730&lt;45, "Adult", IF(H731:H1730&lt;60, "Middle Age", IF(H731:H1730&lt;70, "Old", "Very Old")))</f>
      </c>
      <c r="J731" s="55">
        <v>41032</v>
      </c>
      <c r="K731" s="56">
        <v>65340</v>
      </c>
      <c r="L731" s="54">
        <f>IF(K731:K1730&lt;50000,"0-50",IF(K731:K1730&lt;100001,"51-100",IF(K731:K1730&lt;150001,"101-150",IF(K731:K1730&lt;200001,"151-200",IF(K731:K1730&lt;250001,"201-250","above 250")))))</f>
      </c>
      <c r="M731" s="57">
        <v>0</v>
      </c>
      <c r="N731" s="45" t="s">
        <v>12</v>
      </c>
      <c r="O731" s="45" t="s">
        <v>69</v>
      </c>
      <c r="P731" s="58">
        <v>43229</v>
      </c>
      <c r="Q731" s="53">
        <f>IF(ISBLANK(P731:P1730), "", DATEDIF(J731:J1730, P731:P1730, "Y"))</f>
      </c>
    </row>
    <row x14ac:dyDescent="0.25" r="732" customHeight="1" ht="15.75">
      <c r="A732" s="45" t="s">
        <v>1825</v>
      </c>
      <c r="B732" s="45" t="s">
        <v>617</v>
      </c>
      <c r="C732" s="45" t="s">
        <v>142</v>
      </c>
      <c r="D732" s="45" t="s">
        <v>34</v>
      </c>
      <c r="E732" s="45" t="s">
        <v>1100</v>
      </c>
      <c r="F732" s="45" t="s">
        <v>10</v>
      </c>
      <c r="G732" s="45" t="s">
        <v>8</v>
      </c>
      <c r="H732" s="53">
        <v>45</v>
      </c>
      <c r="I732" s="54">
        <f>IF(H732:H1731&lt;45, "Adult", IF(H732:H1731&lt;60, "Middle Age", IF(H732:H1731&lt;70, "Old", "Very Old")))</f>
      </c>
      <c r="J732" s="55">
        <v>42271</v>
      </c>
      <c r="K732" s="56">
        <v>202680</v>
      </c>
      <c r="L732" s="54">
        <f>IF(K732:K1731&lt;50000,"0-50",IF(K732:K1731&lt;100001,"51-100",IF(K732:K1731&lt;150001,"101-150",IF(K732:K1731&lt;200001,"151-200",IF(K732:K1731&lt;250001,"201-250","above 250")))))</f>
      </c>
      <c r="M732" s="57">
        <v>0.32</v>
      </c>
      <c r="N732" s="45" t="s">
        <v>15</v>
      </c>
      <c r="O732" s="45" t="s">
        <v>61</v>
      </c>
      <c r="P732" s="58">
        <v>44790</v>
      </c>
      <c r="Q732" s="53">
        <f>IF(ISBLANK(P732:P1731), "", DATEDIF(J732:J1731, P732:P1731, "Y"))</f>
      </c>
    </row>
    <row x14ac:dyDescent="0.25" r="733" customHeight="1" ht="15.75">
      <c r="A733" s="45" t="s">
        <v>1826</v>
      </c>
      <c r="B733" s="45" t="s">
        <v>653</v>
      </c>
      <c r="C733" s="45" t="s">
        <v>90</v>
      </c>
      <c r="D733" s="45" t="s">
        <v>32</v>
      </c>
      <c r="E733" s="45" t="s">
        <v>1094</v>
      </c>
      <c r="F733" s="45" t="s">
        <v>7</v>
      </c>
      <c r="G733" s="45" t="s">
        <v>17</v>
      </c>
      <c r="H733" s="53">
        <v>46</v>
      </c>
      <c r="I733" s="54">
        <f>IF(H733:H1732&lt;45, "Adult", IF(H733:H1732&lt;60, "Middle Age", IF(H733:H1732&lt;70, "Old", "Very Old")))</f>
      </c>
      <c r="J733" s="55">
        <v>42849</v>
      </c>
      <c r="K733" s="56">
        <v>77461</v>
      </c>
      <c r="L733" s="54">
        <f>IF(K733:K1732&lt;50000,"0-50",IF(K733:K1732&lt;100001,"51-100",IF(K733:K1732&lt;150001,"101-150",IF(K733:K1732&lt;200001,"151-200",IF(K733:K1732&lt;250001,"201-250","above 250")))))</f>
      </c>
      <c r="M733" s="57">
        <v>0.09</v>
      </c>
      <c r="N733" s="45" t="s">
        <v>9</v>
      </c>
      <c r="O733" s="45" t="s">
        <v>65</v>
      </c>
      <c r="P733" s="51"/>
      <c r="Q733" s="52">
        <f>IF(ISBLANK(P733:P1732), "", DATEDIF(J733:J1732, P733:P1732, "Y"))</f>
      </c>
    </row>
    <row x14ac:dyDescent="0.25" r="734" customHeight="1" ht="15.75">
      <c r="A734" s="45" t="s">
        <v>1827</v>
      </c>
      <c r="B734" s="45" t="s">
        <v>470</v>
      </c>
      <c r="C734" s="45" t="s">
        <v>118</v>
      </c>
      <c r="D734" s="45" t="s">
        <v>26</v>
      </c>
      <c r="E734" s="45" t="s">
        <v>1092</v>
      </c>
      <c r="F734" s="45" t="s">
        <v>7</v>
      </c>
      <c r="G734" s="45" t="s">
        <v>8</v>
      </c>
      <c r="H734" s="53">
        <v>40</v>
      </c>
      <c r="I734" s="54">
        <f>IF(H734:H1733&lt;45, "Adult", IF(H734:H1733&lt;60, "Middle Age", IF(H734:H1733&lt;70, "Old", "Very Old")))</f>
      </c>
      <c r="J734" s="55">
        <v>42622</v>
      </c>
      <c r="K734" s="56">
        <v>109680</v>
      </c>
      <c r="L734" s="54">
        <f>IF(K734:K1733&lt;50000,"0-50",IF(K734:K1733&lt;100001,"51-100",IF(K734:K1733&lt;150001,"101-150",IF(K734:K1733&lt;200001,"151-200",IF(K734:K1733&lt;250001,"201-250","above 250")))))</f>
      </c>
      <c r="M734" s="57">
        <v>0</v>
      </c>
      <c r="N734" s="45" t="s">
        <v>12</v>
      </c>
      <c r="O734" s="45" t="s">
        <v>49</v>
      </c>
      <c r="P734" s="51"/>
      <c r="Q734" s="52">
        <f>IF(ISBLANK(P734:P1733), "", DATEDIF(J734:J1733, P734:P1733, "Y"))</f>
      </c>
    </row>
    <row x14ac:dyDescent="0.25" r="735" customHeight="1" ht="15.75">
      <c r="A735" s="45" t="s">
        <v>1828</v>
      </c>
      <c r="B735" s="45" t="s">
        <v>1008</v>
      </c>
      <c r="C735" s="45" t="s">
        <v>96</v>
      </c>
      <c r="D735" s="45" t="s">
        <v>36</v>
      </c>
      <c r="E735" s="45" t="s">
        <v>1094</v>
      </c>
      <c r="F735" s="45" t="s">
        <v>7</v>
      </c>
      <c r="G735" s="45" t="s">
        <v>11</v>
      </c>
      <c r="H735" s="53">
        <v>61</v>
      </c>
      <c r="I735" s="54">
        <f>IF(H735:H1734&lt;45, "Adult", IF(H735:H1734&lt;60, "Middle Age", IF(H735:H1734&lt;70, "Old", "Very Old")))</f>
      </c>
      <c r="J735" s="55">
        <v>35661</v>
      </c>
      <c r="K735" s="56">
        <v>159567</v>
      </c>
      <c r="L735" s="54">
        <f>IF(K735:K1734&lt;50000,"0-50",IF(K735:K1734&lt;100001,"51-100",IF(K735:K1734&lt;150001,"101-150",IF(K735:K1734&lt;200001,"151-200",IF(K735:K1734&lt;250001,"201-250","above 250")))))</f>
      </c>
      <c r="M735" s="57">
        <v>0.28</v>
      </c>
      <c r="N735" s="45" t="s">
        <v>15</v>
      </c>
      <c r="O735" s="45" t="s">
        <v>61</v>
      </c>
      <c r="P735" s="51"/>
      <c r="Q735" s="52">
        <f>IF(ISBLANK(P735:P1734), "", DATEDIF(J735:J1734, P735:P1734, "Y"))</f>
      </c>
    </row>
    <row x14ac:dyDescent="0.25" r="736" customHeight="1" ht="15.75">
      <c r="A736" s="45" t="s">
        <v>1829</v>
      </c>
      <c r="B736" s="45" t="s">
        <v>846</v>
      </c>
      <c r="C736" s="45" t="s">
        <v>94</v>
      </c>
      <c r="D736" s="45" t="s">
        <v>26</v>
      </c>
      <c r="E736" s="45" t="s">
        <v>1096</v>
      </c>
      <c r="F736" s="45" t="s">
        <v>10</v>
      </c>
      <c r="G736" s="45" t="s">
        <v>17</v>
      </c>
      <c r="H736" s="53">
        <v>54</v>
      </c>
      <c r="I736" s="54">
        <f>IF(H736:H1735&lt;45, "Adult", IF(H736:H1735&lt;60, "Middle Age", IF(H736:H1735&lt;70, "Old", "Very Old")))</f>
      </c>
      <c r="J736" s="55">
        <v>41237</v>
      </c>
      <c r="K736" s="56">
        <v>94407</v>
      </c>
      <c r="L736" s="54">
        <f>IF(K736:K1735&lt;50000,"0-50",IF(K736:K1735&lt;100001,"51-100",IF(K736:K1735&lt;150001,"101-150",IF(K736:K1735&lt;200001,"151-200",IF(K736:K1735&lt;250001,"201-250","above 250")))))</f>
      </c>
      <c r="M736" s="57">
        <v>0</v>
      </c>
      <c r="N736" s="45" t="s">
        <v>9</v>
      </c>
      <c r="O736" s="45" t="s">
        <v>65</v>
      </c>
      <c r="P736" s="51"/>
      <c r="Q736" s="52">
        <f>IF(ISBLANK(P736:P1735), "", DATEDIF(J736:J1735, P736:P1735, "Y"))</f>
      </c>
    </row>
    <row x14ac:dyDescent="0.25" r="737" customHeight="1" ht="15.75">
      <c r="A737" s="45" t="s">
        <v>1830</v>
      </c>
      <c r="B737" s="45" t="s">
        <v>1022</v>
      </c>
      <c r="C737" s="45" t="s">
        <v>142</v>
      </c>
      <c r="D737" s="45" t="s">
        <v>30</v>
      </c>
      <c r="E737" s="45" t="s">
        <v>1100</v>
      </c>
      <c r="F737" s="45" t="s">
        <v>10</v>
      </c>
      <c r="G737" s="45" t="s">
        <v>17</v>
      </c>
      <c r="H737" s="53">
        <v>62</v>
      </c>
      <c r="I737" s="54">
        <f>IF(H737:H1736&lt;45, "Adult", IF(H737:H1736&lt;60, "Middle Age", IF(H737:H1736&lt;70, "Old", "Very Old")))</f>
      </c>
      <c r="J737" s="55">
        <v>37484</v>
      </c>
      <c r="K737" s="56">
        <v>234594</v>
      </c>
      <c r="L737" s="54">
        <f>IF(K737:K1736&lt;50000,"0-50",IF(K737:K1736&lt;100001,"51-100",IF(K737:K1736&lt;150001,"101-150",IF(K737:K1736&lt;200001,"151-200",IF(K737:K1736&lt;250001,"201-250","above 250")))))</f>
      </c>
      <c r="M737" s="57">
        <v>0.33</v>
      </c>
      <c r="N737" s="45" t="s">
        <v>15</v>
      </c>
      <c r="O737" s="45" t="s">
        <v>67</v>
      </c>
      <c r="P737" s="51"/>
      <c r="Q737" s="52">
        <f>IF(ISBLANK(P737:P1736), "", DATEDIF(J737:J1736, P737:P1736, "Y"))</f>
      </c>
    </row>
    <row x14ac:dyDescent="0.25" r="738" customHeight="1" ht="15.75">
      <c r="A738" s="45" t="s">
        <v>1831</v>
      </c>
      <c r="B738" s="45" t="s">
        <v>712</v>
      </c>
      <c r="C738" s="45" t="s">
        <v>136</v>
      </c>
      <c r="D738" s="45" t="s">
        <v>32</v>
      </c>
      <c r="E738" s="45" t="s">
        <v>1096</v>
      </c>
      <c r="F738" s="45" t="s">
        <v>10</v>
      </c>
      <c r="G738" s="45" t="s">
        <v>14</v>
      </c>
      <c r="H738" s="53">
        <v>48</v>
      </c>
      <c r="I738" s="54">
        <f>IF(H738:H1737&lt;45, "Adult", IF(H738:H1737&lt;60, "Middle Age", IF(H738:H1737&lt;70, "Old", "Very Old")))</f>
      </c>
      <c r="J738" s="55">
        <v>37298</v>
      </c>
      <c r="K738" s="56">
        <v>43080</v>
      </c>
      <c r="L738" s="54">
        <f>IF(K738:K1737&lt;50000,"0-50",IF(K738:K1737&lt;100001,"51-100",IF(K738:K1737&lt;150001,"101-150",IF(K738:K1737&lt;200001,"151-200",IF(K738:K1737&lt;250001,"201-250","above 250")))))</f>
      </c>
      <c r="M738" s="57">
        <v>0</v>
      </c>
      <c r="N738" s="45" t="s">
        <v>15</v>
      </c>
      <c r="O738" s="45" t="s">
        <v>42</v>
      </c>
      <c r="P738" s="51"/>
      <c r="Q738" s="52">
        <f>IF(ISBLANK(P738:P1737), "", DATEDIF(J738:J1737, P738:P1737, "Y"))</f>
      </c>
    </row>
    <row x14ac:dyDescent="0.25" r="739" customHeight="1" ht="15.75">
      <c r="A739" s="45" t="s">
        <v>1832</v>
      </c>
      <c r="B739" s="45" t="s">
        <v>208</v>
      </c>
      <c r="C739" s="45" t="s">
        <v>110</v>
      </c>
      <c r="D739" s="45" t="s">
        <v>34</v>
      </c>
      <c r="E739" s="45" t="s">
        <v>1094</v>
      </c>
      <c r="F739" s="45" t="s">
        <v>7</v>
      </c>
      <c r="G739" s="45" t="s">
        <v>17</v>
      </c>
      <c r="H739" s="53">
        <v>29</v>
      </c>
      <c r="I739" s="54">
        <f>IF(H739:H1738&lt;45, "Adult", IF(H739:H1738&lt;60, "Middle Age", IF(H739:H1738&lt;70, "Old", "Very Old")))</f>
      </c>
      <c r="J739" s="55">
        <v>44325</v>
      </c>
      <c r="K739" s="56">
        <v>129541</v>
      </c>
      <c r="L739" s="54">
        <f>IF(K739:K1738&lt;50000,"0-50",IF(K739:K1738&lt;100001,"51-100",IF(K739:K1738&lt;150001,"101-150",IF(K739:K1738&lt;200001,"151-200",IF(K739:K1738&lt;250001,"201-250","above 250")))))</f>
      </c>
      <c r="M739" s="57">
        <v>0.08</v>
      </c>
      <c r="N739" s="45" t="s">
        <v>15</v>
      </c>
      <c r="O739" s="45" t="s">
        <v>61</v>
      </c>
      <c r="P739" s="58">
        <v>44340</v>
      </c>
      <c r="Q739" s="53">
        <f>IF(ISBLANK(P739:P1738), "", DATEDIF(J739:J1738, P739:P1738, "Y"))</f>
      </c>
    </row>
    <row x14ac:dyDescent="0.25" r="740" customHeight="1" ht="15.75">
      <c r="A740" s="45" t="s">
        <v>1833</v>
      </c>
      <c r="B740" s="45" t="s">
        <v>439</v>
      </c>
      <c r="C740" s="45" t="s">
        <v>96</v>
      </c>
      <c r="D740" s="45" t="s">
        <v>36</v>
      </c>
      <c r="E740" s="45" t="s">
        <v>1092</v>
      </c>
      <c r="F740" s="45" t="s">
        <v>10</v>
      </c>
      <c r="G740" s="45" t="s">
        <v>17</v>
      </c>
      <c r="H740" s="53">
        <v>39</v>
      </c>
      <c r="I740" s="54">
        <f>IF(H740:H1739&lt;45, "Adult", IF(H740:H1739&lt;60, "Middle Age", IF(H740:H1739&lt;70, "Old", "Very Old")))</f>
      </c>
      <c r="J740" s="55">
        <v>41635</v>
      </c>
      <c r="K740" s="56">
        <v>165756</v>
      </c>
      <c r="L740" s="54">
        <f>IF(K740:K1739&lt;50000,"0-50",IF(K740:K1739&lt;100001,"51-100",IF(K740:K1739&lt;150001,"101-150",IF(K740:K1739&lt;200001,"151-200",IF(K740:K1739&lt;250001,"201-250","above 250")))))</f>
      </c>
      <c r="M740" s="57">
        <v>0.28</v>
      </c>
      <c r="N740" s="45" t="s">
        <v>15</v>
      </c>
      <c r="O740" s="45" t="s">
        <v>55</v>
      </c>
      <c r="P740" s="58">
        <v>43991</v>
      </c>
      <c r="Q740" s="53">
        <f>IF(ISBLANK(P740:P1739), "", DATEDIF(J740:J1739, P740:P1739, "Y"))</f>
      </c>
    </row>
    <row x14ac:dyDescent="0.25" r="741" customHeight="1" ht="15.75">
      <c r="A741" s="45" t="s">
        <v>1834</v>
      </c>
      <c r="B741" s="45" t="s">
        <v>556</v>
      </c>
      <c r="C741" s="45" t="s">
        <v>132</v>
      </c>
      <c r="D741" s="45" t="s">
        <v>28</v>
      </c>
      <c r="E741" s="45" t="s">
        <v>1096</v>
      </c>
      <c r="F741" s="45" t="s">
        <v>10</v>
      </c>
      <c r="G741" s="45" t="s">
        <v>8</v>
      </c>
      <c r="H741" s="53">
        <v>44</v>
      </c>
      <c r="I741" s="54">
        <f>IF(H741:H1740&lt;45, "Adult", IF(H741:H1740&lt;60, "Middle Age", IF(H741:H1740&lt;70, "Old", "Very Old")))</f>
      </c>
      <c r="J741" s="55">
        <v>40274</v>
      </c>
      <c r="K741" s="56">
        <v>142878</v>
      </c>
      <c r="L741" s="54">
        <f>IF(K741:K1740&lt;50000,"0-50",IF(K741:K1740&lt;100001,"51-100",IF(K741:K1740&lt;150001,"101-150",IF(K741:K1740&lt;200001,"151-200",IF(K741:K1740&lt;250001,"201-250","above 250")))))</f>
      </c>
      <c r="M741" s="57">
        <v>0.12</v>
      </c>
      <c r="N741" s="45" t="s">
        <v>15</v>
      </c>
      <c r="O741" s="45" t="s">
        <v>55</v>
      </c>
      <c r="P741" s="51"/>
      <c r="Q741" s="52">
        <f>IF(ISBLANK(P741:P1740), "", DATEDIF(J741:J1740, P741:P1740, "Y"))</f>
      </c>
    </row>
    <row x14ac:dyDescent="0.25" r="742" customHeight="1" ht="15.75">
      <c r="A742" s="45" t="s">
        <v>1835</v>
      </c>
      <c r="B742" s="45" t="s">
        <v>796</v>
      </c>
      <c r="C742" s="45" t="s">
        <v>96</v>
      </c>
      <c r="D742" s="45" t="s">
        <v>26</v>
      </c>
      <c r="E742" s="45" t="s">
        <v>1094</v>
      </c>
      <c r="F742" s="45" t="s">
        <v>10</v>
      </c>
      <c r="G742" s="45" t="s">
        <v>14</v>
      </c>
      <c r="H742" s="53">
        <v>52</v>
      </c>
      <c r="I742" s="54">
        <f>IF(H742:H1741&lt;45, "Adult", IF(H742:H1741&lt;60, "Middle Age", IF(H742:H1741&lt;70, "Old", "Very Old")))</f>
      </c>
      <c r="J742" s="55">
        <v>39018</v>
      </c>
      <c r="K742" s="56">
        <v>187992</v>
      </c>
      <c r="L742" s="54">
        <f>IF(K742:K1741&lt;50000,"0-50",IF(K742:K1741&lt;100001,"51-100",IF(K742:K1741&lt;150001,"101-150",IF(K742:K1741&lt;200001,"151-200",IF(K742:K1741&lt;250001,"201-250","above 250")))))</f>
      </c>
      <c r="M742" s="57">
        <v>0.28</v>
      </c>
      <c r="N742" s="45" t="s">
        <v>15</v>
      </c>
      <c r="O742" s="45" t="s">
        <v>59</v>
      </c>
      <c r="P742" s="51"/>
      <c r="Q742" s="52">
        <f>IF(ISBLANK(P742:P1741), "", DATEDIF(J742:J1741, P742:P1741, "Y"))</f>
      </c>
    </row>
    <row x14ac:dyDescent="0.25" r="743" customHeight="1" ht="15.75">
      <c r="A743" s="45" t="s">
        <v>1836</v>
      </c>
      <c r="B743" s="45" t="s">
        <v>611</v>
      </c>
      <c r="C743" s="45" t="s">
        <v>142</v>
      </c>
      <c r="D743" s="45" t="s">
        <v>30</v>
      </c>
      <c r="E743" s="45" t="s">
        <v>1096</v>
      </c>
      <c r="F743" s="45" t="s">
        <v>7</v>
      </c>
      <c r="G743" s="45" t="s">
        <v>17</v>
      </c>
      <c r="H743" s="53">
        <v>45</v>
      </c>
      <c r="I743" s="54">
        <f>IF(H743:H1742&lt;45, "Adult", IF(H743:H1742&lt;60, "Middle Age", IF(H743:H1742&lt;70, "Old", "Very Old")))</f>
      </c>
      <c r="J743" s="55">
        <v>43521</v>
      </c>
      <c r="K743" s="56">
        <v>249801</v>
      </c>
      <c r="L743" s="54">
        <f>IF(K743:K1742&lt;50000,"0-50",IF(K743:K1742&lt;100001,"51-100",IF(K743:K1742&lt;150001,"101-150",IF(K743:K1742&lt;200001,"151-200",IF(K743:K1742&lt;250001,"201-250","above 250")))))</f>
      </c>
      <c r="M743" s="57">
        <v>0.39</v>
      </c>
      <c r="N743" s="45" t="s">
        <v>9</v>
      </c>
      <c r="O743" s="45" t="s">
        <v>65</v>
      </c>
      <c r="P743" s="51"/>
      <c r="Q743" s="52">
        <f>IF(ISBLANK(P743:P1742), "", DATEDIF(J743:J1742, P743:P1742, "Y"))</f>
      </c>
    </row>
    <row x14ac:dyDescent="0.25" r="744" customHeight="1" ht="15.75">
      <c r="A744" s="45" t="s">
        <v>1837</v>
      </c>
      <c r="B744" s="45" t="s">
        <v>713</v>
      </c>
      <c r="C744" s="45" t="s">
        <v>112</v>
      </c>
      <c r="D744" s="45" t="s">
        <v>32</v>
      </c>
      <c r="E744" s="45" t="s">
        <v>1092</v>
      </c>
      <c r="F744" s="45" t="s">
        <v>10</v>
      </c>
      <c r="G744" s="45" t="s">
        <v>14</v>
      </c>
      <c r="H744" s="53">
        <v>48</v>
      </c>
      <c r="I744" s="54">
        <f>IF(H744:H1743&lt;45, "Adult", IF(H744:H1743&lt;60, "Middle Age", IF(H744:H1743&lt;70, "Old", "Very Old")))</f>
      </c>
      <c r="J744" s="55">
        <v>38987</v>
      </c>
      <c r="K744" s="56">
        <v>76505</v>
      </c>
      <c r="L744" s="54">
        <f>IF(K744:K1743&lt;50000,"0-50",IF(K744:K1743&lt;100001,"51-100",IF(K744:K1743&lt;150001,"101-150",IF(K744:K1743&lt;200001,"151-200",IF(K744:K1743&lt;250001,"201-250","above 250")))))</f>
      </c>
      <c r="M744" s="57">
        <v>0</v>
      </c>
      <c r="N744" s="45" t="s">
        <v>15</v>
      </c>
      <c r="O744" s="45" t="s">
        <v>67</v>
      </c>
      <c r="P744" s="58">
        <v>39180</v>
      </c>
      <c r="Q744" s="53">
        <f>IF(ISBLANK(P744:P1743), "", DATEDIF(J744:J1743, P744:P1743, "Y"))</f>
      </c>
    </row>
    <row x14ac:dyDescent="0.25" r="745" customHeight="1" ht="15.75">
      <c r="A745" s="45" t="s">
        <v>1838</v>
      </c>
      <c r="B745" s="45" t="s">
        <v>440</v>
      </c>
      <c r="C745" s="45" t="s">
        <v>122</v>
      </c>
      <c r="D745" s="45" t="s">
        <v>32</v>
      </c>
      <c r="E745" s="45" t="s">
        <v>1100</v>
      </c>
      <c r="F745" s="45" t="s">
        <v>10</v>
      </c>
      <c r="G745" s="45" t="s">
        <v>17</v>
      </c>
      <c r="H745" s="53">
        <v>39</v>
      </c>
      <c r="I745" s="54">
        <f>IF(H745:H1744&lt;45, "Adult", IF(H745:H1744&lt;60, "Middle Age", IF(H745:H1744&lt;70, "Old", "Very Old")))</f>
      </c>
      <c r="J745" s="55">
        <v>42664</v>
      </c>
      <c r="K745" s="56">
        <v>84297</v>
      </c>
      <c r="L745" s="54">
        <f>IF(K745:K1744&lt;50000,"0-50",IF(K745:K1744&lt;100001,"51-100",IF(K745:K1744&lt;150001,"101-150",IF(K745:K1744&lt;200001,"151-200",IF(K745:K1744&lt;250001,"201-250","above 250")))))</f>
      </c>
      <c r="M745" s="57">
        <v>0</v>
      </c>
      <c r="N745" s="45" t="s">
        <v>9</v>
      </c>
      <c r="O745" s="45" t="s">
        <v>57</v>
      </c>
      <c r="P745" s="51"/>
      <c r="Q745" s="52">
        <f>IF(ISBLANK(P745:P1744), "", DATEDIF(J745:J1744, P745:P1744, "Y"))</f>
      </c>
    </row>
    <row x14ac:dyDescent="0.25" r="746" customHeight="1" ht="15.75">
      <c r="A746" s="45" t="s">
        <v>1839</v>
      </c>
      <c r="B746" s="45" t="s">
        <v>824</v>
      </c>
      <c r="C746" s="45" t="s">
        <v>128</v>
      </c>
      <c r="D746" s="45" t="s">
        <v>36</v>
      </c>
      <c r="E746" s="45" t="s">
        <v>1096</v>
      </c>
      <c r="F746" s="45" t="s">
        <v>7</v>
      </c>
      <c r="G746" s="45" t="s">
        <v>17</v>
      </c>
      <c r="H746" s="53">
        <v>53</v>
      </c>
      <c r="I746" s="54">
        <f>IF(H746:H1745&lt;45, "Adult", IF(H746:H1745&lt;60, "Middle Age", IF(H746:H1745&lt;70, "Old", "Very Old")))</f>
      </c>
      <c r="J746" s="55">
        <v>42744</v>
      </c>
      <c r="K746" s="56">
        <v>75769</v>
      </c>
      <c r="L746" s="54">
        <f>IF(K746:K1745&lt;50000,"0-50",IF(K746:K1745&lt;100001,"51-100",IF(K746:K1745&lt;150001,"101-150",IF(K746:K1745&lt;200001,"151-200",IF(K746:K1745&lt;250001,"201-250","above 250")))))</f>
      </c>
      <c r="M746" s="57">
        <v>0</v>
      </c>
      <c r="N746" s="45" t="s">
        <v>9</v>
      </c>
      <c r="O746" s="45" t="s">
        <v>57</v>
      </c>
      <c r="P746" s="58">
        <v>44029</v>
      </c>
      <c r="Q746" s="53">
        <f>IF(ISBLANK(P746:P1745), "", DATEDIF(J746:J1745, P746:P1745, "Y"))</f>
      </c>
    </row>
    <row x14ac:dyDescent="0.25" r="747" customHeight="1" ht="15.75">
      <c r="A747" s="45" t="s">
        <v>1840</v>
      </c>
      <c r="B747" s="45" t="s">
        <v>488</v>
      </c>
      <c r="C747" s="45" t="s">
        <v>142</v>
      </c>
      <c r="D747" s="45" t="s">
        <v>24</v>
      </c>
      <c r="E747" s="45" t="s">
        <v>1096</v>
      </c>
      <c r="F747" s="45" t="s">
        <v>10</v>
      </c>
      <c r="G747" s="45" t="s">
        <v>14</v>
      </c>
      <c r="H747" s="53">
        <v>41</v>
      </c>
      <c r="I747" s="54">
        <f>IF(H747:H1746&lt;45, "Adult", IF(H747:H1746&lt;60, "Middle Age", IF(H747:H1746&lt;70, "Old", "Very Old")))</f>
      </c>
      <c r="J747" s="55">
        <v>41503</v>
      </c>
      <c r="K747" s="56">
        <v>235619</v>
      </c>
      <c r="L747" s="54">
        <f>IF(K747:K1746&lt;50000,"0-50",IF(K747:K1746&lt;100001,"51-100",IF(K747:K1746&lt;150001,"101-150",IF(K747:K1746&lt;200001,"151-200",IF(K747:K1746&lt;250001,"201-250","above 250")))))</f>
      </c>
      <c r="M747" s="57">
        <v>0.3</v>
      </c>
      <c r="N747" s="45" t="s">
        <v>15</v>
      </c>
      <c r="O747" s="45" t="s">
        <v>67</v>
      </c>
      <c r="P747" s="51"/>
      <c r="Q747" s="52">
        <f>IF(ISBLANK(P747:P1746), "", DATEDIF(J747:J1746, P747:P1746, "Y"))</f>
      </c>
    </row>
    <row x14ac:dyDescent="0.25" r="748" customHeight="1" ht="15.75">
      <c r="A748" s="45" t="s">
        <v>1841</v>
      </c>
      <c r="B748" s="45" t="s">
        <v>465</v>
      </c>
      <c r="C748" s="45" t="s">
        <v>96</v>
      </c>
      <c r="D748" s="45" t="s">
        <v>26</v>
      </c>
      <c r="E748" s="45" t="s">
        <v>1096</v>
      </c>
      <c r="F748" s="45" t="s">
        <v>10</v>
      </c>
      <c r="G748" s="45" t="s">
        <v>17</v>
      </c>
      <c r="H748" s="53">
        <v>40</v>
      </c>
      <c r="I748" s="54">
        <f>IF(H748:H1747&lt;45, "Adult", IF(H748:H1747&lt;60, "Middle Age", IF(H748:H1747&lt;70, "Old", "Very Old")))</f>
      </c>
      <c r="J748" s="55">
        <v>43868</v>
      </c>
      <c r="K748" s="56">
        <v>187187</v>
      </c>
      <c r="L748" s="54">
        <f>IF(K748:K1747&lt;50000,"0-50",IF(K748:K1747&lt;100001,"51-100",IF(K748:K1747&lt;150001,"101-150",IF(K748:K1747&lt;200001,"151-200",IF(K748:K1747&lt;250001,"201-250","above 250")))))</f>
      </c>
      <c r="M748" s="57">
        <v>0.18</v>
      </c>
      <c r="N748" s="45" t="s">
        <v>9</v>
      </c>
      <c r="O748" s="45" t="s">
        <v>57</v>
      </c>
      <c r="P748" s="51"/>
      <c r="Q748" s="52">
        <f>IF(ISBLANK(P748:P1747), "", DATEDIF(J748:J1747, P748:P1747, "Y"))</f>
      </c>
    </row>
    <row x14ac:dyDescent="0.25" r="749" customHeight="1" ht="15.75">
      <c r="A749" s="45" t="s">
        <v>1842</v>
      </c>
      <c r="B749" s="45" t="s">
        <v>702</v>
      </c>
      <c r="C749" s="45" t="s">
        <v>116</v>
      </c>
      <c r="D749" s="45" t="s">
        <v>32</v>
      </c>
      <c r="E749" s="45" t="s">
        <v>1092</v>
      </c>
      <c r="F749" s="45" t="s">
        <v>10</v>
      </c>
      <c r="G749" s="45" t="s">
        <v>17</v>
      </c>
      <c r="H749" s="53">
        <v>48</v>
      </c>
      <c r="I749" s="54">
        <f>IF(H749:H1748&lt;45, "Adult", IF(H749:H1748&lt;60, "Middle Age", IF(H749:H1748&lt;70, "Old", "Very Old")))</f>
      </c>
      <c r="J749" s="55">
        <v>38560</v>
      </c>
      <c r="K749" s="56">
        <v>68987</v>
      </c>
      <c r="L749" s="54">
        <f>IF(K749:K1748&lt;50000,"0-50",IF(K749:K1748&lt;100001,"51-100",IF(K749:K1748&lt;150001,"101-150",IF(K749:K1748&lt;200001,"151-200",IF(K749:K1748&lt;250001,"201-250","above 250")))))</f>
      </c>
      <c r="M749" s="57">
        <v>0</v>
      </c>
      <c r="N749" s="45" t="s">
        <v>15</v>
      </c>
      <c r="O749" s="45" t="s">
        <v>51</v>
      </c>
      <c r="P749" s="58">
        <v>38829</v>
      </c>
      <c r="Q749" s="53">
        <f>IF(ISBLANK(P749:P1748), "", DATEDIF(J749:J1748, P749:P1748, "Y"))</f>
      </c>
    </row>
    <row x14ac:dyDescent="0.25" r="750" customHeight="1" ht="15.75">
      <c r="A750" s="45" t="s">
        <v>1843</v>
      </c>
      <c r="B750" s="45" t="s">
        <v>487</v>
      </c>
      <c r="C750" s="45" t="s">
        <v>96</v>
      </c>
      <c r="D750" s="45" t="s">
        <v>26</v>
      </c>
      <c r="E750" s="45" t="s">
        <v>1096</v>
      </c>
      <c r="F750" s="45" t="s">
        <v>10</v>
      </c>
      <c r="G750" s="45" t="s">
        <v>14</v>
      </c>
      <c r="H750" s="53">
        <v>41</v>
      </c>
      <c r="I750" s="54">
        <f>IF(H750:H1749&lt;45, "Adult", IF(H750:H1749&lt;60, "Middle Age", IF(H750:H1749&lt;70, "Old", "Very Old")))</f>
      </c>
      <c r="J750" s="55">
        <v>39156</v>
      </c>
      <c r="K750" s="56">
        <v>155926</v>
      </c>
      <c r="L750" s="54">
        <f>IF(K750:K1749&lt;50000,"0-50",IF(K750:K1749&lt;100001,"51-100",IF(K750:K1749&lt;150001,"101-150",IF(K750:K1749&lt;200001,"151-200",IF(K750:K1749&lt;250001,"201-250","above 250")))))</f>
      </c>
      <c r="M750" s="57">
        <v>0.24</v>
      </c>
      <c r="N750" s="45" t="s">
        <v>15</v>
      </c>
      <c r="O750" s="45" t="s">
        <v>55</v>
      </c>
      <c r="P750" s="58">
        <v>39598</v>
      </c>
      <c r="Q750" s="53">
        <f>IF(ISBLANK(P750:P1749), "", DATEDIF(J750:J1749, P750:P1749, "Y"))</f>
      </c>
    </row>
    <row x14ac:dyDescent="0.25" r="751" customHeight="1" ht="15.75">
      <c r="A751" s="45" t="s">
        <v>1844</v>
      </c>
      <c r="B751" s="45" t="s">
        <v>854</v>
      </c>
      <c r="C751" s="45" t="s">
        <v>128</v>
      </c>
      <c r="D751" s="45" t="s">
        <v>24</v>
      </c>
      <c r="E751" s="45" t="s">
        <v>1096</v>
      </c>
      <c r="F751" s="45" t="s">
        <v>10</v>
      </c>
      <c r="G751" s="45" t="s">
        <v>8</v>
      </c>
      <c r="H751" s="53">
        <v>54</v>
      </c>
      <c r="I751" s="54">
        <f>IF(H751:H1750&lt;45, "Adult", IF(H751:H1750&lt;60, "Middle Age", IF(H751:H1750&lt;70, "Old", "Very Old")))</f>
      </c>
      <c r="J751" s="55">
        <v>42494</v>
      </c>
      <c r="K751" s="56">
        <v>93668</v>
      </c>
      <c r="L751" s="54">
        <f>IF(K751:K1750&lt;50000,"0-50",IF(K751:K1750&lt;100001,"51-100",IF(K751:K1750&lt;150001,"101-150",IF(K751:K1750&lt;200001,"151-200",IF(K751:K1750&lt;250001,"201-250","above 250")))))</f>
      </c>
      <c r="M751" s="57">
        <v>0</v>
      </c>
      <c r="N751" s="45" t="s">
        <v>15</v>
      </c>
      <c r="O751" s="45" t="s">
        <v>51</v>
      </c>
      <c r="P751" s="51"/>
      <c r="Q751" s="52">
        <f>IF(ISBLANK(P751:P1750), "", DATEDIF(J751:J1750, P751:P1750, "Y"))</f>
      </c>
    </row>
    <row x14ac:dyDescent="0.25" r="752" customHeight="1" ht="15.75">
      <c r="A752" s="45" t="s">
        <v>1845</v>
      </c>
      <c r="B752" s="45" t="s">
        <v>421</v>
      </c>
      <c r="C752" s="45" t="s">
        <v>104</v>
      </c>
      <c r="D752" s="45" t="s">
        <v>30</v>
      </c>
      <c r="E752" s="45" t="s">
        <v>1092</v>
      </c>
      <c r="F752" s="45" t="s">
        <v>10</v>
      </c>
      <c r="G752" s="45" t="s">
        <v>14</v>
      </c>
      <c r="H752" s="53">
        <v>38</v>
      </c>
      <c r="I752" s="54">
        <f>IF(H752:H1751&lt;45, "Adult", IF(H752:H1751&lt;60, "Middle Age", IF(H752:H1751&lt;70, "Old", "Very Old")))</f>
      </c>
      <c r="J752" s="55">
        <v>43798</v>
      </c>
      <c r="K752" s="56">
        <v>69647</v>
      </c>
      <c r="L752" s="54">
        <f>IF(K752:K1751&lt;50000,"0-50",IF(K752:K1751&lt;100001,"51-100",IF(K752:K1751&lt;150001,"101-150",IF(K752:K1751&lt;200001,"151-200",IF(K752:K1751&lt;250001,"201-250","above 250")))))</f>
      </c>
      <c r="M752" s="57">
        <v>0</v>
      </c>
      <c r="N752" s="45" t="s">
        <v>15</v>
      </c>
      <c r="O752" s="45" t="s">
        <v>59</v>
      </c>
      <c r="P752" s="58">
        <v>44671</v>
      </c>
      <c r="Q752" s="53">
        <f>IF(ISBLANK(P752:P1751), "", DATEDIF(J752:J1751, P752:P1751, "Y"))</f>
      </c>
    </row>
    <row x14ac:dyDescent="0.25" r="753" customHeight="1" ht="15.75">
      <c r="A753" s="45" t="s">
        <v>1846</v>
      </c>
      <c r="B753" s="45" t="s">
        <v>936</v>
      </c>
      <c r="C753" s="45" t="s">
        <v>134</v>
      </c>
      <c r="D753" s="45" t="s">
        <v>32</v>
      </c>
      <c r="E753" s="45" t="s">
        <v>1100</v>
      </c>
      <c r="F753" s="45" t="s">
        <v>10</v>
      </c>
      <c r="G753" s="45" t="s">
        <v>8</v>
      </c>
      <c r="H753" s="53">
        <v>57</v>
      </c>
      <c r="I753" s="54">
        <f>IF(H753:H1752&lt;45, "Adult", IF(H753:H1752&lt;60, "Middle Age", IF(H753:H1752&lt;70, "Old", "Very Old")))</f>
      </c>
      <c r="J753" s="55">
        <v>37798</v>
      </c>
      <c r="K753" s="56">
        <v>63318</v>
      </c>
      <c r="L753" s="54">
        <f>IF(K753:K1752&lt;50000,"0-50",IF(K753:K1752&lt;100001,"51-100",IF(K753:K1752&lt;150001,"101-150",IF(K753:K1752&lt;200001,"151-200",IF(K753:K1752&lt;250001,"201-250","above 250")))))</f>
      </c>
      <c r="M753" s="57">
        <v>0</v>
      </c>
      <c r="N753" s="45" t="s">
        <v>15</v>
      </c>
      <c r="O753" s="45" t="s">
        <v>55</v>
      </c>
      <c r="P753" s="51"/>
      <c r="Q753" s="52">
        <f>IF(ISBLANK(P753:P1752), "", DATEDIF(J753:J1752, P753:P1752, "Y"))</f>
      </c>
    </row>
    <row x14ac:dyDescent="0.25" r="754" customHeight="1" ht="15.75">
      <c r="A754" s="45" t="s">
        <v>1847</v>
      </c>
      <c r="B754" s="45" t="s">
        <v>1045</v>
      </c>
      <c r="C754" s="45" t="s">
        <v>128</v>
      </c>
      <c r="D754" s="45" t="s">
        <v>34</v>
      </c>
      <c r="E754" s="45" t="s">
        <v>1094</v>
      </c>
      <c r="F754" s="45" t="s">
        <v>10</v>
      </c>
      <c r="G754" s="45" t="s">
        <v>8</v>
      </c>
      <c r="H754" s="53">
        <v>63</v>
      </c>
      <c r="I754" s="54">
        <f>IF(H754:H1753&lt;45, "Adult", IF(H754:H1753&lt;60, "Middle Age", IF(H754:H1753&lt;70, "Old", "Very Old")))</f>
      </c>
      <c r="J754" s="55">
        <v>42778</v>
      </c>
      <c r="K754" s="56">
        <v>77629</v>
      </c>
      <c r="L754" s="54">
        <f>IF(K754:K1753&lt;50000,"0-50",IF(K754:K1753&lt;100001,"51-100",IF(K754:K1753&lt;150001,"101-150",IF(K754:K1753&lt;200001,"151-200",IF(K754:K1753&lt;250001,"201-250","above 250")))))</f>
      </c>
      <c r="M754" s="57">
        <v>0</v>
      </c>
      <c r="N754" s="45" t="s">
        <v>12</v>
      </c>
      <c r="O754" s="45" t="s">
        <v>47</v>
      </c>
      <c r="P754" s="51"/>
      <c r="Q754" s="52">
        <f>IF(ISBLANK(P754:P1753), "", DATEDIF(J754:J1753, P754:P1753, "Y"))</f>
      </c>
    </row>
    <row x14ac:dyDescent="0.25" r="755" customHeight="1" ht="15.75">
      <c r="A755" s="45" t="s">
        <v>1848</v>
      </c>
      <c r="B755" s="45" t="s">
        <v>1028</v>
      </c>
      <c r="C755" s="45" t="s">
        <v>132</v>
      </c>
      <c r="D755" s="45" t="s">
        <v>30</v>
      </c>
      <c r="E755" s="45" t="s">
        <v>1094</v>
      </c>
      <c r="F755" s="45" t="s">
        <v>10</v>
      </c>
      <c r="G755" s="45" t="s">
        <v>8</v>
      </c>
      <c r="H755" s="53">
        <v>62</v>
      </c>
      <c r="I755" s="54">
        <f>IF(H755:H1754&lt;45, "Adult", IF(H755:H1754&lt;60, "Middle Age", IF(H755:H1754&lt;70, "Old", "Very Old")))</f>
      </c>
      <c r="J755" s="55">
        <v>43061</v>
      </c>
      <c r="K755" s="56">
        <v>138808</v>
      </c>
      <c r="L755" s="54">
        <f>IF(K755:K1754&lt;50000,"0-50",IF(K755:K1754&lt;100001,"51-100",IF(K755:K1754&lt;150001,"101-150",IF(K755:K1754&lt;200001,"151-200",IF(K755:K1754&lt;250001,"201-250","above 250")))))</f>
      </c>
      <c r="M755" s="57">
        <v>0.15</v>
      </c>
      <c r="N755" s="45" t="s">
        <v>12</v>
      </c>
      <c r="O755" s="45" t="s">
        <v>53</v>
      </c>
      <c r="P755" s="51"/>
      <c r="Q755" s="52">
        <f>IF(ISBLANK(P755:P1754), "", DATEDIF(J755:J1754, P755:P1754, "Y"))</f>
      </c>
    </row>
    <row x14ac:dyDescent="0.25" r="756" customHeight="1" ht="15.75">
      <c r="A756" s="45" t="s">
        <v>1849</v>
      </c>
      <c r="B756" s="45" t="s">
        <v>727</v>
      </c>
      <c r="C756" s="45" t="s">
        <v>100</v>
      </c>
      <c r="D756" s="45" t="s">
        <v>32</v>
      </c>
      <c r="E756" s="45" t="s">
        <v>1092</v>
      </c>
      <c r="F756" s="45" t="s">
        <v>7</v>
      </c>
      <c r="G756" s="45" t="s">
        <v>14</v>
      </c>
      <c r="H756" s="53">
        <v>49</v>
      </c>
      <c r="I756" s="54">
        <f>IF(H756:H1755&lt;45, "Adult", IF(H756:H1755&lt;60, "Middle Age", IF(H756:H1755&lt;70, "Old", "Very Old")))</f>
      </c>
      <c r="J756" s="55">
        <v>41703</v>
      </c>
      <c r="K756" s="56">
        <v>88777</v>
      </c>
      <c r="L756" s="54">
        <f>IF(K756:K1755&lt;50000,"0-50",IF(K756:K1755&lt;100001,"51-100",IF(K756:K1755&lt;150001,"101-150",IF(K756:K1755&lt;200001,"151-200",IF(K756:K1755&lt;250001,"201-250","above 250")))))</f>
      </c>
      <c r="M756" s="57">
        <v>0</v>
      </c>
      <c r="N756" s="45" t="s">
        <v>15</v>
      </c>
      <c r="O756" s="45" t="s">
        <v>51</v>
      </c>
      <c r="P756" s="51"/>
      <c r="Q756" s="52">
        <f>IF(ISBLANK(P756:P1755), "", DATEDIF(J756:J1755, P756:P1755, "Y"))</f>
      </c>
    </row>
    <row x14ac:dyDescent="0.25" r="757" customHeight="1" ht="15.75">
      <c r="A757" s="45" t="s">
        <v>1850</v>
      </c>
      <c r="B757" s="45" t="s">
        <v>994</v>
      </c>
      <c r="C757" s="45" t="s">
        <v>96</v>
      </c>
      <c r="D757" s="45" t="s">
        <v>24</v>
      </c>
      <c r="E757" s="45" t="s">
        <v>1100</v>
      </c>
      <c r="F757" s="45" t="s">
        <v>7</v>
      </c>
      <c r="G757" s="45" t="s">
        <v>8</v>
      </c>
      <c r="H757" s="53">
        <v>60</v>
      </c>
      <c r="I757" s="54">
        <f>IF(H757:H1756&lt;45, "Adult", IF(H757:H1756&lt;60, "Middle Age", IF(H757:H1756&lt;70, "Old", "Very Old")))</f>
      </c>
      <c r="J757" s="55">
        <v>38121</v>
      </c>
      <c r="K757" s="56">
        <v>186378</v>
      </c>
      <c r="L757" s="54">
        <f>IF(K757:K1756&lt;50000,"0-50",IF(K757:K1756&lt;100001,"51-100",IF(K757:K1756&lt;150001,"101-150",IF(K757:K1756&lt;200001,"151-200",IF(K757:K1756&lt;250001,"201-250","above 250")))))</f>
      </c>
      <c r="M757" s="57">
        <v>0.26</v>
      </c>
      <c r="N757" s="45" t="s">
        <v>12</v>
      </c>
      <c r="O757" s="45" t="s">
        <v>53</v>
      </c>
      <c r="P757" s="51"/>
      <c r="Q757" s="52">
        <f>IF(ISBLANK(P757:P1756), "", DATEDIF(J757:J1756, P757:P1756, "Y"))</f>
      </c>
    </row>
    <row x14ac:dyDescent="0.25" r="758" customHeight="1" ht="15.75">
      <c r="A758" s="45" t="s">
        <v>1851</v>
      </c>
      <c r="B758" s="45" t="s">
        <v>619</v>
      </c>
      <c r="C758" s="45" t="s">
        <v>120</v>
      </c>
      <c r="D758" s="45" t="s">
        <v>26</v>
      </c>
      <c r="E758" s="45" t="s">
        <v>1092</v>
      </c>
      <c r="F758" s="45" t="s">
        <v>7</v>
      </c>
      <c r="G758" s="45" t="s">
        <v>8</v>
      </c>
      <c r="H758" s="53">
        <v>45</v>
      </c>
      <c r="I758" s="54">
        <f>IF(H758:H1757&lt;45, "Adult", IF(H758:H1757&lt;60, "Middle Age", IF(H758:H1757&lt;70, "Old", "Very Old")))</f>
      </c>
      <c r="J758" s="55">
        <v>42117</v>
      </c>
      <c r="K758" s="56">
        <v>60017</v>
      </c>
      <c r="L758" s="54">
        <f>IF(K758:K1757&lt;50000,"0-50",IF(K758:K1757&lt;100001,"51-100",IF(K758:K1757&lt;150001,"101-150",IF(K758:K1757&lt;200001,"151-200",IF(K758:K1757&lt;250001,"201-250","above 250")))))</f>
      </c>
      <c r="M758" s="57">
        <v>0</v>
      </c>
      <c r="N758" s="45" t="s">
        <v>15</v>
      </c>
      <c r="O758" s="45" t="s">
        <v>51</v>
      </c>
      <c r="P758" s="51"/>
      <c r="Q758" s="52">
        <f>IF(ISBLANK(P758:P1757), "", DATEDIF(J758:J1757, P758:P1757, "Y"))</f>
      </c>
    </row>
    <row x14ac:dyDescent="0.25" r="759" customHeight="1" ht="15.75">
      <c r="A759" s="45" t="s">
        <v>1852</v>
      </c>
      <c r="B759" s="45" t="s">
        <v>624</v>
      </c>
      <c r="C759" s="45" t="s">
        <v>132</v>
      </c>
      <c r="D759" s="45" t="s">
        <v>36</v>
      </c>
      <c r="E759" s="45" t="s">
        <v>1096</v>
      </c>
      <c r="F759" s="45" t="s">
        <v>7</v>
      </c>
      <c r="G759" s="45" t="s">
        <v>17</v>
      </c>
      <c r="H759" s="53">
        <v>45</v>
      </c>
      <c r="I759" s="54">
        <f>IF(H759:H1758&lt;45, "Adult", IF(H759:H1758&lt;60, "Middle Age", IF(H759:H1758&lt;70, "Old", "Very Old")))</f>
      </c>
      <c r="J759" s="55">
        <v>43305</v>
      </c>
      <c r="K759" s="56">
        <v>148991</v>
      </c>
      <c r="L759" s="54">
        <f>IF(K759:K1758&lt;50000,"0-50",IF(K759:K1758&lt;100001,"51-100",IF(K759:K1758&lt;150001,"101-150",IF(K759:K1758&lt;200001,"151-200",IF(K759:K1758&lt;250001,"201-250","above 250")))))</f>
      </c>
      <c r="M759" s="57">
        <v>0.12</v>
      </c>
      <c r="N759" s="45" t="s">
        <v>9</v>
      </c>
      <c r="O759" s="45" t="s">
        <v>65</v>
      </c>
      <c r="P759" s="51"/>
      <c r="Q759" s="52">
        <f>IF(ISBLANK(P759:P1758), "", DATEDIF(J759:J1758, P759:P1758, "Y"))</f>
      </c>
    </row>
    <row x14ac:dyDescent="0.25" r="760" customHeight="1" ht="15.75">
      <c r="A760" s="45" t="s">
        <v>1853</v>
      </c>
      <c r="B760" s="45" t="s">
        <v>805</v>
      </c>
      <c r="C760" s="45" t="s">
        <v>102</v>
      </c>
      <c r="D760" s="45" t="s">
        <v>26</v>
      </c>
      <c r="E760" s="45" t="s">
        <v>1096</v>
      </c>
      <c r="F760" s="45" t="s">
        <v>7</v>
      </c>
      <c r="G760" s="45" t="s">
        <v>17</v>
      </c>
      <c r="H760" s="53">
        <v>52</v>
      </c>
      <c r="I760" s="54">
        <f>IF(H760:H1759&lt;45, "Adult", IF(H760:H1759&lt;60, "Middle Age", IF(H760:H1759&lt;70, "Old", "Very Old")))</f>
      </c>
      <c r="J760" s="55">
        <v>39532</v>
      </c>
      <c r="K760" s="56">
        <v>97398</v>
      </c>
      <c r="L760" s="54">
        <f>IF(K760:K1759&lt;50000,"0-50",IF(K760:K1759&lt;100001,"51-100",IF(K760:K1759&lt;150001,"101-150",IF(K760:K1759&lt;200001,"151-200",IF(K760:K1759&lt;250001,"201-250","above 250")))))</f>
      </c>
      <c r="M760" s="57">
        <v>0</v>
      </c>
      <c r="N760" s="45" t="s">
        <v>9</v>
      </c>
      <c r="O760" s="45" t="s">
        <v>57</v>
      </c>
      <c r="P760" s="51"/>
      <c r="Q760" s="52">
        <f>IF(ISBLANK(P760:P1759), "", DATEDIF(J760:J1759, P760:P1759, "Y"))</f>
      </c>
    </row>
    <row x14ac:dyDescent="0.25" r="761" customHeight="1" ht="15.75">
      <c r="A761" s="45" t="s">
        <v>1854</v>
      </c>
      <c r="B761" s="45" t="s">
        <v>1046</v>
      </c>
      <c r="C761" s="45" t="s">
        <v>130</v>
      </c>
      <c r="D761" s="45" t="s">
        <v>30</v>
      </c>
      <c r="E761" s="45" t="s">
        <v>1094</v>
      </c>
      <c r="F761" s="45" t="s">
        <v>7</v>
      </c>
      <c r="G761" s="45" t="s">
        <v>8</v>
      </c>
      <c r="H761" s="53">
        <v>63</v>
      </c>
      <c r="I761" s="54">
        <f>IF(H761:H1760&lt;45, "Adult", IF(H761:H1760&lt;60, "Middle Age", IF(H761:H1760&lt;70, "Old", "Very Old")))</f>
      </c>
      <c r="J761" s="55">
        <v>39204</v>
      </c>
      <c r="K761" s="56">
        <v>72805</v>
      </c>
      <c r="L761" s="54">
        <f>IF(K761:K1760&lt;50000,"0-50",IF(K761:K1760&lt;100001,"51-100",IF(K761:K1760&lt;150001,"101-150",IF(K761:K1760&lt;200001,"151-200",IF(K761:K1760&lt;250001,"201-250","above 250")))))</f>
      </c>
      <c r="M761" s="57">
        <v>0</v>
      </c>
      <c r="N761" s="45" t="s">
        <v>12</v>
      </c>
      <c r="O761" s="45" t="s">
        <v>69</v>
      </c>
      <c r="P761" s="51"/>
      <c r="Q761" s="52">
        <f>IF(ISBLANK(P761:P1760), "", DATEDIF(J761:J1760, P761:P1760, "Y"))</f>
      </c>
    </row>
    <row x14ac:dyDescent="0.25" r="762" customHeight="1" ht="15.75">
      <c r="A762" s="45" t="s">
        <v>1855</v>
      </c>
      <c r="B762" s="45" t="s">
        <v>657</v>
      </c>
      <c r="C762" s="45" t="s">
        <v>126</v>
      </c>
      <c r="D762" s="45" t="s">
        <v>36</v>
      </c>
      <c r="E762" s="45" t="s">
        <v>1092</v>
      </c>
      <c r="F762" s="45" t="s">
        <v>7</v>
      </c>
      <c r="G762" s="45" t="s">
        <v>8</v>
      </c>
      <c r="H762" s="53">
        <v>46</v>
      </c>
      <c r="I762" s="54">
        <f>IF(H762:H1761&lt;45, "Adult", IF(H762:H1761&lt;60, "Middle Age", IF(H762:H1761&lt;70, "Old", "Very Old")))</f>
      </c>
      <c r="J762" s="55">
        <v>44213</v>
      </c>
      <c r="K762" s="56">
        <v>72131</v>
      </c>
      <c r="L762" s="54">
        <f>IF(K762:K1761&lt;50000,"0-50",IF(K762:K1761&lt;100001,"51-100",IF(K762:K1761&lt;150001,"101-150",IF(K762:K1761&lt;200001,"151-200",IF(K762:K1761&lt;250001,"201-250","above 250")))))</f>
      </c>
      <c r="M762" s="57">
        <v>0</v>
      </c>
      <c r="N762" s="45" t="s">
        <v>12</v>
      </c>
      <c r="O762" s="45" t="s">
        <v>69</v>
      </c>
      <c r="P762" s="51"/>
      <c r="Q762" s="52">
        <f>IF(ISBLANK(P762:P1761), "", DATEDIF(J762:J1761, P762:P1761, "Y"))</f>
      </c>
    </row>
    <row x14ac:dyDescent="0.25" r="763" customHeight="1" ht="15.75">
      <c r="A763" s="45" t="s">
        <v>1856</v>
      </c>
      <c r="B763" s="45" t="s">
        <v>1062</v>
      </c>
      <c r="C763" s="45" t="s">
        <v>110</v>
      </c>
      <c r="D763" s="45" t="s">
        <v>30</v>
      </c>
      <c r="E763" s="45" t="s">
        <v>1094</v>
      </c>
      <c r="F763" s="45" t="s">
        <v>10</v>
      </c>
      <c r="G763" s="45" t="s">
        <v>14</v>
      </c>
      <c r="H763" s="53">
        <v>64</v>
      </c>
      <c r="I763" s="54">
        <f>IF(H763:H1762&lt;45, "Adult", IF(H763:H1762&lt;60, "Middle Age", IF(H763:H1762&lt;70, "Old", "Very Old")))</f>
      </c>
      <c r="J763" s="55">
        <v>33964</v>
      </c>
      <c r="K763" s="56">
        <v>104668</v>
      </c>
      <c r="L763" s="54">
        <f>IF(K763:K1762&lt;50000,"0-50",IF(K763:K1762&lt;100001,"51-100",IF(K763:K1762&lt;150001,"101-150",IF(K763:K1762&lt;200001,"151-200",IF(K763:K1762&lt;250001,"201-250","above 250")))))</f>
      </c>
      <c r="M763" s="57">
        <v>0.08</v>
      </c>
      <c r="N763" s="45" t="s">
        <v>15</v>
      </c>
      <c r="O763" s="45" t="s">
        <v>55</v>
      </c>
      <c r="P763" s="51"/>
      <c r="Q763" s="52">
        <f>IF(ISBLANK(P763:P1762), "", DATEDIF(J763:J1762, P763:P1762, "Y"))</f>
      </c>
    </row>
    <row x14ac:dyDescent="0.25" r="764" customHeight="1" ht="15.75">
      <c r="A764" s="45" t="s">
        <v>1857</v>
      </c>
      <c r="B764" s="45" t="s">
        <v>830</v>
      </c>
      <c r="C764" s="45" t="s">
        <v>128</v>
      </c>
      <c r="D764" s="45" t="s">
        <v>36</v>
      </c>
      <c r="E764" s="45" t="s">
        <v>1094</v>
      </c>
      <c r="F764" s="45" t="s">
        <v>7</v>
      </c>
      <c r="G764" s="45" t="s">
        <v>14</v>
      </c>
      <c r="H764" s="53">
        <v>53</v>
      </c>
      <c r="I764" s="54">
        <f>IF(H764:H1763&lt;45, "Adult", IF(H764:H1763&lt;60, "Middle Age", IF(H764:H1763&lt;70, "Old", "Very Old")))</f>
      </c>
      <c r="J764" s="55">
        <v>42952</v>
      </c>
      <c r="K764" s="56">
        <v>89769</v>
      </c>
      <c r="L764" s="54">
        <f>IF(K764:K1763&lt;50000,"0-50",IF(K764:K1763&lt;100001,"51-100",IF(K764:K1763&lt;150001,"101-150",IF(K764:K1763&lt;200001,"151-200",IF(K764:K1763&lt;250001,"201-250","above 250")))))</f>
      </c>
      <c r="M764" s="57">
        <v>0</v>
      </c>
      <c r="N764" s="45" t="s">
        <v>15</v>
      </c>
      <c r="O764" s="45" t="s">
        <v>67</v>
      </c>
      <c r="P764" s="51"/>
      <c r="Q764" s="52">
        <f>IF(ISBLANK(P764:P1763), "", DATEDIF(J764:J1763, P764:P1763, "Y"))</f>
      </c>
    </row>
    <row x14ac:dyDescent="0.25" r="765" customHeight="1" ht="15.75">
      <c r="A765" s="45" t="s">
        <v>1858</v>
      </c>
      <c r="B765" s="45" t="s">
        <v>155</v>
      </c>
      <c r="C765" s="45" t="s">
        <v>110</v>
      </c>
      <c r="D765" s="45" t="s">
        <v>36</v>
      </c>
      <c r="E765" s="45" t="s">
        <v>1100</v>
      </c>
      <c r="F765" s="45" t="s">
        <v>7</v>
      </c>
      <c r="G765" s="45" t="s">
        <v>8</v>
      </c>
      <c r="H765" s="53">
        <v>27</v>
      </c>
      <c r="I765" s="54">
        <f>IF(H765:H1764&lt;45, "Adult", IF(H765:H1764&lt;60, "Middle Age", IF(H765:H1764&lt;70, "Old", "Very Old")))</f>
      </c>
      <c r="J765" s="55">
        <v>43358</v>
      </c>
      <c r="K765" s="56">
        <v>127616</v>
      </c>
      <c r="L765" s="54">
        <f>IF(K765:K1764&lt;50000,"0-50",IF(K765:K1764&lt;100001,"51-100",IF(K765:K1764&lt;150001,"101-150",IF(K765:K1764&lt;200001,"151-200",IF(K765:K1764&lt;250001,"201-250","above 250")))))</f>
      </c>
      <c r="M765" s="57">
        <v>0.07</v>
      </c>
      <c r="N765" s="45" t="s">
        <v>15</v>
      </c>
      <c r="O765" s="45" t="s">
        <v>55</v>
      </c>
      <c r="P765" s="51"/>
      <c r="Q765" s="52">
        <f>IF(ISBLANK(P765:P1764), "", DATEDIF(J765:J1764, P765:P1764, "Y"))</f>
      </c>
    </row>
    <row x14ac:dyDescent="0.25" r="766" customHeight="1" ht="15.75">
      <c r="A766" s="45" t="s">
        <v>1859</v>
      </c>
      <c r="B766" s="45" t="s">
        <v>625</v>
      </c>
      <c r="C766" s="45" t="s">
        <v>110</v>
      </c>
      <c r="D766" s="45" t="s">
        <v>30</v>
      </c>
      <c r="E766" s="45" t="s">
        <v>1100</v>
      </c>
      <c r="F766" s="45" t="s">
        <v>10</v>
      </c>
      <c r="G766" s="45" t="s">
        <v>14</v>
      </c>
      <c r="H766" s="53">
        <v>45</v>
      </c>
      <c r="I766" s="54">
        <f>IF(H766:H1765&lt;45, "Adult", IF(H766:H1765&lt;60, "Middle Age", IF(H766:H1765&lt;70, "Old", "Very Old")))</f>
      </c>
      <c r="J766" s="55">
        <v>41099</v>
      </c>
      <c r="K766" s="56">
        <v>109883</v>
      </c>
      <c r="L766" s="54">
        <f>IF(K766:K1765&lt;50000,"0-50",IF(K766:K1765&lt;100001,"51-100",IF(K766:K1765&lt;150001,"101-150",IF(K766:K1765&lt;200001,"151-200",IF(K766:K1765&lt;250001,"201-250","above 250")))))</f>
      </c>
      <c r="M766" s="57">
        <v>0.07</v>
      </c>
      <c r="N766" s="45" t="s">
        <v>15</v>
      </c>
      <c r="O766" s="45" t="s">
        <v>55</v>
      </c>
      <c r="P766" s="51"/>
      <c r="Q766" s="52">
        <f>IF(ISBLANK(P766:P1765), "", DATEDIF(J766:J1765, P766:P1765, "Y"))</f>
      </c>
    </row>
    <row x14ac:dyDescent="0.25" r="767" customHeight="1" ht="15.75">
      <c r="A767" s="45" t="s">
        <v>1860</v>
      </c>
      <c r="B767" s="45" t="s">
        <v>81</v>
      </c>
      <c r="C767" s="45" t="s">
        <v>86</v>
      </c>
      <c r="D767" s="45" t="s">
        <v>30</v>
      </c>
      <c r="E767" s="45" t="s">
        <v>1094</v>
      </c>
      <c r="F767" s="45" t="s">
        <v>7</v>
      </c>
      <c r="G767" s="45" t="s">
        <v>8</v>
      </c>
      <c r="H767" s="53">
        <v>25</v>
      </c>
      <c r="I767" s="54">
        <f>IF(H767:H1766&lt;45, "Adult", IF(H767:H1766&lt;60, "Middle Age", IF(H767:H1766&lt;70, "Old", "Very Old")))</f>
      </c>
      <c r="J767" s="55">
        <v>44270</v>
      </c>
      <c r="K767" s="56">
        <v>47974</v>
      </c>
      <c r="L767" s="54">
        <f>IF(K767:K1766&lt;50000,"0-50",IF(K767:K1766&lt;100001,"51-100",IF(K767:K1766&lt;150001,"101-150",IF(K767:K1766&lt;200001,"151-200",IF(K767:K1766&lt;250001,"201-250","above 250")))))</f>
      </c>
      <c r="M767" s="57">
        <v>0</v>
      </c>
      <c r="N767" s="45" t="s">
        <v>12</v>
      </c>
      <c r="O767" s="45" t="s">
        <v>53</v>
      </c>
      <c r="P767" s="51"/>
      <c r="Q767" s="52">
        <f>IF(ISBLANK(P767:P1766), "", DATEDIF(J767:J1766, P767:P1766, "Y"))</f>
      </c>
    </row>
    <row x14ac:dyDescent="0.25" r="768" customHeight="1" ht="15.75">
      <c r="A768" s="45" t="s">
        <v>1861</v>
      </c>
      <c r="B768" s="45" t="s">
        <v>537</v>
      </c>
      <c r="C768" s="45" t="s">
        <v>132</v>
      </c>
      <c r="D768" s="45" t="s">
        <v>32</v>
      </c>
      <c r="E768" s="45" t="s">
        <v>1096</v>
      </c>
      <c r="F768" s="45" t="s">
        <v>7</v>
      </c>
      <c r="G768" s="45" t="s">
        <v>14</v>
      </c>
      <c r="H768" s="53">
        <v>43</v>
      </c>
      <c r="I768" s="54">
        <f>IF(H768:H1767&lt;45, "Adult", IF(H768:H1767&lt;60, "Middle Age", IF(H768:H1767&lt;70, "Old", "Very Old")))</f>
      </c>
      <c r="J768" s="55">
        <v>42090</v>
      </c>
      <c r="K768" s="56">
        <v>120321</v>
      </c>
      <c r="L768" s="54">
        <f>IF(K768:K1767&lt;50000,"0-50",IF(K768:K1767&lt;100001,"51-100",IF(K768:K1767&lt;150001,"101-150",IF(K768:K1767&lt;200001,"151-200",IF(K768:K1767&lt;250001,"201-250","above 250")))))</f>
      </c>
      <c r="M768" s="57">
        <v>0.12</v>
      </c>
      <c r="N768" s="45" t="s">
        <v>15</v>
      </c>
      <c r="O768" s="45" t="s">
        <v>42</v>
      </c>
      <c r="P768" s="51"/>
      <c r="Q768" s="52">
        <f>IF(ISBLANK(P768:P1767), "", DATEDIF(J768:J1767, P768:P1767, "Y"))</f>
      </c>
    </row>
    <row x14ac:dyDescent="0.25" r="769" customHeight="1" ht="15.75">
      <c r="A769" s="45" t="s">
        <v>1862</v>
      </c>
      <c r="B769" s="45" t="s">
        <v>1011</v>
      </c>
      <c r="C769" s="45" t="s">
        <v>106</v>
      </c>
      <c r="D769" s="45" t="s">
        <v>32</v>
      </c>
      <c r="E769" s="45" t="s">
        <v>1094</v>
      </c>
      <c r="F769" s="45" t="s">
        <v>7</v>
      </c>
      <c r="G769" s="45" t="s">
        <v>17</v>
      </c>
      <c r="H769" s="53">
        <v>61</v>
      </c>
      <c r="I769" s="54">
        <f>IF(H769:H1768&lt;45, "Adult", IF(H769:H1768&lt;60, "Middle Age", IF(H769:H1768&lt;70, "Old", "Very Old")))</f>
      </c>
      <c r="J769" s="55">
        <v>41861</v>
      </c>
      <c r="K769" s="56">
        <v>57446</v>
      </c>
      <c r="L769" s="54">
        <f>IF(K769:K1768&lt;50000,"0-50",IF(K769:K1768&lt;100001,"51-100",IF(K769:K1768&lt;150001,"101-150",IF(K769:K1768&lt;200001,"151-200",IF(K769:K1768&lt;250001,"201-250","above 250")))))</f>
      </c>
      <c r="M769" s="57">
        <v>0</v>
      </c>
      <c r="N769" s="45" t="s">
        <v>15</v>
      </c>
      <c r="O769" s="45" t="s">
        <v>61</v>
      </c>
      <c r="P769" s="51"/>
      <c r="Q769" s="52">
        <f>IF(ISBLANK(P769:P1768), "", DATEDIF(J769:J1768, P769:P1768, "Y"))</f>
      </c>
    </row>
    <row x14ac:dyDescent="0.25" r="770" customHeight="1" ht="15.75">
      <c r="A770" s="45" t="s">
        <v>1863</v>
      </c>
      <c r="B770" s="45" t="s">
        <v>512</v>
      </c>
      <c r="C770" s="45" t="s">
        <v>96</v>
      </c>
      <c r="D770" s="45" t="s">
        <v>24</v>
      </c>
      <c r="E770" s="45" t="s">
        <v>1092</v>
      </c>
      <c r="F770" s="45" t="s">
        <v>7</v>
      </c>
      <c r="G770" s="45" t="s">
        <v>14</v>
      </c>
      <c r="H770" s="53">
        <v>42</v>
      </c>
      <c r="I770" s="54">
        <f>IF(H770:H1769&lt;45, "Adult", IF(H770:H1769&lt;60, "Middle Age", IF(H770:H1769&lt;70, "Old", "Very Old")))</f>
      </c>
      <c r="J770" s="55">
        <v>39968</v>
      </c>
      <c r="K770" s="56">
        <v>174099</v>
      </c>
      <c r="L770" s="54">
        <f>IF(K770:K1769&lt;50000,"0-50",IF(K770:K1769&lt;100001,"51-100",IF(K770:K1769&lt;150001,"101-150",IF(K770:K1769&lt;200001,"151-200",IF(K770:K1769&lt;250001,"201-250","above 250")))))</f>
      </c>
      <c r="M770" s="57">
        <v>0.26</v>
      </c>
      <c r="N770" s="45" t="s">
        <v>15</v>
      </c>
      <c r="O770" s="45" t="s">
        <v>42</v>
      </c>
      <c r="P770" s="51"/>
      <c r="Q770" s="52">
        <f>IF(ISBLANK(P770:P1769), "", DATEDIF(J770:J1769, P770:P1769, "Y"))</f>
      </c>
    </row>
    <row x14ac:dyDescent="0.25" r="771" customHeight="1" ht="15.75">
      <c r="A771" s="45" t="s">
        <v>1864</v>
      </c>
      <c r="B771" s="45" t="s">
        <v>974</v>
      </c>
      <c r="C771" s="45" t="s">
        <v>132</v>
      </c>
      <c r="D771" s="45" t="s">
        <v>28</v>
      </c>
      <c r="E771" s="45" t="s">
        <v>1094</v>
      </c>
      <c r="F771" s="45" t="s">
        <v>10</v>
      </c>
      <c r="G771" s="45" t="s">
        <v>8</v>
      </c>
      <c r="H771" s="53">
        <v>63</v>
      </c>
      <c r="I771" s="54">
        <f>IF(H771:H1770&lt;45, "Adult", IF(H771:H1770&lt;60, "Middle Age", IF(H771:H1770&lt;70, "Old", "Very Old")))</f>
      </c>
      <c r="J771" s="55">
        <v>37295</v>
      </c>
      <c r="K771" s="56">
        <v>128703</v>
      </c>
      <c r="L771" s="54">
        <f>IF(K771:K1770&lt;50000,"0-50",IF(K771:K1770&lt;100001,"51-100",IF(K771:K1770&lt;150001,"101-150",IF(K771:K1770&lt;200001,"151-200",IF(K771:K1770&lt;250001,"201-250","above 250")))))</f>
      </c>
      <c r="M771" s="57">
        <v>0.13</v>
      </c>
      <c r="N771" s="45" t="s">
        <v>15</v>
      </c>
      <c r="O771" s="45" t="s">
        <v>42</v>
      </c>
      <c r="P771" s="51"/>
      <c r="Q771" s="52">
        <f>IF(ISBLANK(P771:P1770), "", DATEDIF(J771:J1770, P771:P1770, "Y"))</f>
      </c>
    </row>
    <row x14ac:dyDescent="0.25" r="772" customHeight="1" ht="15.75">
      <c r="A772" s="45" t="s">
        <v>1865</v>
      </c>
      <c r="B772" s="45" t="s">
        <v>278</v>
      </c>
      <c r="C772" s="45" t="s">
        <v>102</v>
      </c>
      <c r="D772" s="45" t="s">
        <v>26</v>
      </c>
      <c r="E772" s="45" t="s">
        <v>1100</v>
      </c>
      <c r="F772" s="45" t="s">
        <v>7</v>
      </c>
      <c r="G772" s="45" t="s">
        <v>14</v>
      </c>
      <c r="H772" s="53">
        <v>32</v>
      </c>
      <c r="I772" s="54">
        <f>IF(H772:H1771&lt;45, "Adult", IF(H772:H1771&lt;60, "Middle Age", IF(H772:H1771&lt;70, "Old", "Very Old")))</f>
      </c>
      <c r="J772" s="55">
        <v>42317</v>
      </c>
      <c r="K772" s="56">
        <v>65247</v>
      </c>
      <c r="L772" s="54">
        <f>IF(K772:K1771&lt;50000,"0-50",IF(K772:K1771&lt;100001,"51-100",IF(K772:K1771&lt;150001,"101-150",IF(K772:K1771&lt;200001,"151-200",IF(K772:K1771&lt;250001,"201-250","above 250")))))</f>
      </c>
      <c r="M772" s="57">
        <v>0</v>
      </c>
      <c r="N772" s="45" t="s">
        <v>15</v>
      </c>
      <c r="O772" s="45" t="s">
        <v>61</v>
      </c>
      <c r="P772" s="51"/>
      <c r="Q772" s="52">
        <f>IF(ISBLANK(P772:P1771), "", DATEDIF(J772:J1771, P772:P1771, "Y"))</f>
      </c>
    </row>
    <row x14ac:dyDescent="0.25" r="773" customHeight="1" ht="15.75">
      <c r="A773" s="45" t="s">
        <v>1866</v>
      </c>
      <c r="B773" s="45" t="s">
        <v>149</v>
      </c>
      <c r="C773" s="45" t="s">
        <v>120</v>
      </c>
      <c r="D773" s="45" t="s">
        <v>26</v>
      </c>
      <c r="E773" s="45" t="s">
        <v>1092</v>
      </c>
      <c r="F773" s="45" t="s">
        <v>10</v>
      </c>
      <c r="G773" s="45" t="s">
        <v>17</v>
      </c>
      <c r="H773" s="53">
        <v>27</v>
      </c>
      <c r="I773" s="54">
        <f>IF(H773:H1772&lt;45, "Adult", IF(H773:H1772&lt;60, "Middle Age", IF(H773:H1772&lt;70, "Old", "Very Old")))</f>
      </c>
      <c r="J773" s="55">
        <v>43371</v>
      </c>
      <c r="K773" s="56">
        <v>64247</v>
      </c>
      <c r="L773" s="54">
        <f>IF(K773:K1772&lt;50000,"0-50",IF(K773:K1772&lt;100001,"51-100",IF(K773:K1772&lt;150001,"101-150",IF(K773:K1772&lt;200001,"151-200",IF(K773:K1772&lt;250001,"201-250","above 250")))))</f>
      </c>
      <c r="M773" s="57">
        <v>0</v>
      </c>
      <c r="N773" s="45" t="s">
        <v>9</v>
      </c>
      <c r="O773" s="45" t="s">
        <v>63</v>
      </c>
      <c r="P773" s="51"/>
      <c r="Q773" s="52">
        <f>IF(ISBLANK(P773:P1772), "", DATEDIF(J773:J1772, P773:P1772, "Y"))</f>
      </c>
    </row>
    <row x14ac:dyDescent="0.25" r="774" customHeight="1" ht="15.75">
      <c r="A774" s="45" t="s">
        <v>1867</v>
      </c>
      <c r="B774" s="45" t="s">
        <v>310</v>
      </c>
      <c r="C774" s="45" t="s">
        <v>110</v>
      </c>
      <c r="D774" s="45" t="s">
        <v>30</v>
      </c>
      <c r="E774" s="45" t="s">
        <v>1092</v>
      </c>
      <c r="F774" s="45" t="s">
        <v>7</v>
      </c>
      <c r="G774" s="45" t="s">
        <v>14</v>
      </c>
      <c r="H774" s="53">
        <v>33</v>
      </c>
      <c r="I774" s="54">
        <f>IF(H774:H1773&lt;45, "Adult", IF(H774:H1773&lt;60, "Middle Age", IF(H774:H1773&lt;70, "Old", "Very Old")))</f>
      </c>
      <c r="J774" s="55">
        <v>41071</v>
      </c>
      <c r="K774" s="56">
        <v>118253</v>
      </c>
      <c r="L774" s="54">
        <f>IF(K774:K1773&lt;50000,"0-50",IF(K774:K1773&lt;100001,"51-100",IF(K774:K1773&lt;150001,"101-150",IF(K774:K1773&lt;200001,"151-200",IF(K774:K1773&lt;250001,"201-250","above 250")))))</f>
      </c>
      <c r="M774" s="57">
        <v>0.08</v>
      </c>
      <c r="N774" s="45" t="s">
        <v>15</v>
      </c>
      <c r="O774" s="45" t="s">
        <v>42</v>
      </c>
      <c r="P774" s="51"/>
      <c r="Q774" s="52">
        <f>IF(ISBLANK(P774:P1773), "", DATEDIF(J774:J1773, P774:P1773, "Y"))</f>
      </c>
    </row>
    <row x14ac:dyDescent="0.25" r="775" customHeight="1" ht="15.75">
      <c r="A775" s="45" t="s">
        <v>1868</v>
      </c>
      <c r="B775" s="45" t="s">
        <v>613</v>
      </c>
      <c r="C775" s="45" t="s">
        <v>118</v>
      </c>
      <c r="D775" s="45" t="s">
        <v>26</v>
      </c>
      <c r="E775" s="45" t="s">
        <v>1094</v>
      </c>
      <c r="F775" s="45" t="s">
        <v>7</v>
      </c>
      <c r="G775" s="45" t="s">
        <v>8</v>
      </c>
      <c r="H775" s="53">
        <v>45</v>
      </c>
      <c r="I775" s="54">
        <f>IF(H775:H1774&lt;45, "Adult", IF(H775:H1774&lt;60, "Middle Age", IF(H775:H1774&lt;70, "Old", "Very Old")))</f>
      </c>
      <c r="J775" s="55">
        <v>38057</v>
      </c>
      <c r="K775" s="56">
        <v>109422</v>
      </c>
      <c r="L775" s="54">
        <f>IF(K775:K1774&lt;50000,"0-50",IF(K775:K1774&lt;100001,"51-100",IF(K775:K1774&lt;150001,"101-150",IF(K775:K1774&lt;200001,"151-200",IF(K775:K1774&lt;250001,"201-250","above 250")))))</f>
      </c>
      <c r="M775" s="57">
        <v>0</v>
      </c>
      <c r="N775" s="45" t="s">
        <v>12</v>
      </c>
      <c r="O775" s="45" t="s">
        <v>53</v>
      </c>
      <c r="P775" s="51"/>
      <c r="Q775" s="52">
        <f>IF(ISBLANK(P775:P1774), "", DATEDIF(J775:J1774, P775:P1774, "Y"))</f>
      </c>
    </row>
    <row x14ac:dyDescent="0.25" r="776" customHeight="1" ht="15.75">
      <c r="A776" s="45" t="s">
        <v>1869</v>
      </c>
      <c r="B776" s="45" t="s">
        <v>491</v>
      </c>
      <c r="C776" s="45" t="s">
        <v>110</v>
      </c>
      <c r="D776" s="45" t="s">
        <v>30</v>
      </c>
      <c r="E776" s="45" t="s">
        <v>1100</v>
      </c>
      <c r="F776" s="45" t="s">
        <v>10</v>
      </c>
      <c r="G776" s="45" t="s">
        <v>8</v>
      </c>
      <c r="H776" s="53">
        <v>41</v>
      </c>
      <c r="I776" s="54">
        <f>IF(H776:H1775&lt;45, "Adult", IF(H776:H1775&lt;60, "Middle Age", IF(H776:H1775&lt;70, "Old", "Very Old")))</f>
      </c>
      <c r="J776" s="55">
        <v>43502</v>
      </c>
      <c r="K776" s="56">
        <v>126950</v>
      </c>
      <c r="L776" s="54">
        <f>IF(K776:K1775&lt;50000,"0-50",IF(K776:K1775&lt;100001,"51-100",IF(K776:K1775&lt;150001,"101-150",IF(K776:K1775&lt;200001,"151-200",IF(K776:K1775&lt;250001,"201-250","above 250")))))</f>
      </c>
      <c r="M776" s="57">
        <v>0.1</v>
      </c>
      <c r="N776" s="45" t="s">
        <v>15</v>
      </c>
      <c r="O776" s="45" t="s">
        <v>51</v>
      </c>
      <c r="P776" s="51"/>
      <c r="Q776" s="52">
        <f>IF(ISBLANK(P776:P1775), "", DATEDIF(J776:J1775, P776:P1775, "Y"))</f>
      </c>
    </row>
    <row x14ac:dyDescent="0.25" r="777" customHeight="1" ht="15.75">
      <c r="A777" s="45" t="s">
        <v>1870</v>
      </c>
      <c r="B777" s="45" t="s">
        <v>372</v>
      </c>
      <c r="C777" s="45" t="s">
        <v>100</v>
      </c>
      <c r="D777" s="45" t="s">
        <v>32</v>
      </c>
      <c r="E777" s="45" t="s">
        <v>1094</v>
      </c>
      <c r="F777" s="45" t="s">
        <v>7</v>
      </c>
      <c r="G777" s="45" t="s">
        <v>8</v>
      </c>
      <c r="H777" s="53">
        <v>36</v>
      </c>
      <c r="I777" s="54">
        <f>IF(H777:H1776&lt;45, "Adult", IF(H777:H1776&lt;60, "Middle Age", IF(H777:H1776&lt;70, "Old", "Very Old")))</f>
      </c>
      <c r="J777" s="55">
        <v>41964</v>
      </c>
      <c r="K777" s="56">
        <v>97500</v>
      </c>
      <c r="L777" s="54">
        <f>IF(K777:K1776&lt;50000,"0-50",IF(K777:K1776&lt;100001,"51-100",IF(K777:K1776&lt;150001,"101-150",IF(K777:K1776&lt;200001,"151-200",IF(K777:K1776&lt;250001,"201-250","above 250")))))</f>
      </c>
      <c r="M777" s="57">
        <v>0</v>
      </c>
      <c r="N777" s="45" t="s">
        <v>15</v>
      </c>
      <c r="O777" s="45" t="s">
        <v>59</v>
      </c>
      <c r="P777" s="51"/>
      <c r="Q777" s="52">
        <f>IF(ISBLANK(P777:P1776), "", DATEDIF(J777:J1776, P777:P1776, "Y"))</f>
      </c>
    </row>
    <row x14ac:dyDescent="0.25" r="778" customHeight="1" ht="15.75">
      <c r="A778" s="45" t="s">
        <v>1871</v>
      </c>
      <c r="B778" s="45" t="s">
        <v>71</v>
      </c>
      <c r="C778" s="45" t="s">
        <v>106</v>
      </c>
      <c r="D778" s="45" t="s">
        <v>32</v>
      </c>
      <c r="E778" s="45" t="s">
        <v>1094</v>
      </c>
      <c r="F778" s="45" t="s">
        <v>10</v>
      </c>
      <c r="G778" s="45" t="s">
        <v>8</v>
      </c>
      <c r="H778" s="53">
        <v>25</v>
      </c>
      <c r="I778" s="54">
        <f>IF(H778:H1777&lt;45, "Adult", IF(H778:H1777&lt;60, "Middle Age", IF(H778:H1777&lt;70, "Old", "Very Old")))</f>
      </c>
      <c r="J778" s="55">
        <v>44213</v>
      </c>
      <c r="K778" s="56">
        <v>41844</v>
      </c>
      <c r="L778" s="54">
        <f>IF(K778:K1777&lt;50000,"0-50",IF(K778:K1777&lt;100001,"51-100",IF(K778:K1777&lt;150001,"101-150",IF(K778:K1777&lt;200001,"151-200",IF(K778:K1777&lt;250001,"201-250","above 250")))))</f>
      </c>
      <c r="M778" s="57">
        <v>0</v>
      </c>
      <c r="N778" s="45" t="s">
        <v>12</v>
      </c>
      <c r="O778" s="45" t="s">
        <v>53</v>
      </c>
      <c r="P778" s="51"/>
      <c r="Q778" s="52">
        <f>IF(ISBLANK(P778:P1777), "", DATEDIF(J778:J1777, P778:P1777, "Y"))</f>
      </c>
    </row>
    <row x14ac:dyDescent="0.25" r="779" customHeight="1" ht="15.75">
      <c r="A779" s="45" t="s">
        <v>1872</v>
      </c>
      <c r="B779" s="45" t="s">
        <v>536</v>
      </c>
      <c r="C779" s="45" t="s">
        <v>82</v>
      </c>
      <c r="D779" s="45" t="s">
        <v>24</v>
      </c>
      <c r="E779" s="45" t="s">
        <v>1092</v>
      </c>
      <c r="F779" s="45" t="s">
        <v>10</v>
      </c>
      <c r="G779" s="45" t="s">
        <v>8</v>
      </c>
      <c r="H779" s="53">
        <v>43</v>
      </c>
      <c r="I779" s="54">
        <f>IF(H779:H1778&lt;45, "Adult", IF(H779:H1778&lt;60, "Middle Age", IF(H779:H1778&lt;70, "Old", "Very Old")))</f>
      </c>
      <c r="J779" s="55">
        <v>41680</v>
      </c>
      <c r="K779" s="56">
        <v>58875</v>
      </c>
      <c r="L779" s="54">
        <f>IF(K779:K1778&lt;50000,"0-50",IF(K779:K1778&lt;100001,"51-100",IF(K779:K1778&lt;150001,"101-150",IF(K779:K1778&lt;200001,"151-200",IF(K779:K1778&lt;250001,"201-250","above 250")))))</f>
      </c>
      <c r="M779" s="57">
        <v>0</v>
      </c>
      <c r="N779" s="45" t="s">
        <v>12</v>
      </c>
      <c r="O779" s="45" t="s">
        <v>49</v>
      </c>
      <c r="P779" s="51"/>
      <c r="Q779" s="52">
        <f>IF(ISBLANK(P779:P1778), "", DATEDIF(J779:J1778, P779:P1778, "Y"))</f>
      </c>
    </row>
    <row x14ac:dyDescent="0.25" r="780" customHeight="1" ht="15.75">
      <c r="A780" s="45" t="s">
        <v>1873</v>
      </c>
      <c r="B780" s="45" t="s">
        <v>405</v>
      </c>
      <c r="C780" s="45" t="s">
        <v>78</v>
      </c>
      <c r="D780" s="45" t="s">
        <v>36</v>
      </c>
      <c r="E780" s="45" t="s">
        <v>1094</v>
      </c>
      <c r="F780" s="45" t="s">
        <v>7</v>
      </c>
      <c r="G780" s="45" t="s">
        <v>8</v>
      </c>
      <c r="H780" s="53">
        <v>37</v>
      </c>
      <c r="I780" s="54">
        <f>IF(H780:H1779&lt;45, "Adult", IF(H780:H1779&lt;60, "Middle Age", IF(H780:H1779&lt;70, "Old", "Very Old")))</f>
      </c>
      <c r="J780" s="55">
        <v>42318</v>
      </c>
      <c r="K780" s="56">
        <v>64204</v>
      </c>
      <c r="L780" s="54">
        <f>IF(K780:K1779&lt;50000,"0-50",IF(K780:K1779&lt;100001,"51-100",IF(K780:K1779&lt;150001,"101-150",IF(K780:K1779&lt;200001,"151-200",IF(K780:K1779&lt;250001,"201-250","above 250")))))</f>
      </c>
      <c r="M780" s="57">
        <v>0</v>
      </c>
      <c r="N780" s="45" t="s">
        <v>15</v>
      </c>
      <c r="O780" s="45" t="s">
        <v>55</v>
      </c>
      <c r="P780" s="58">
        <v>44306</v>
      </c>
      <c r="Q780" s="53">
        <f>IF(ISBLANK(P780:P1779), "", DATEDIF(J780:J1779, P780:P1779, "Y"))</f>
      </c>
    </row>
    <row x14ac:dyDescent="0.25" r="781" customHeight="1" ht="15.75">
      <c r="A781" s="45" t="s">
        <v>1874</v>
      </c>
      <c r="B781" s="45" t="s">
        <v>518</v>
      </c>
      <c r="C781" s="45" t="s">
        <v>82</v>
      </c>
      <c r="D781" s="45" t="s">
        <v>36</v>
      </c>
      <c r="E781" s="45" t="s">
        <v>1100</v>
      </c>
      <c r="F781" s="45" t="s">
        <v>7</v>
      </c>
      <c r="G781" s="45" t="s">
        <v>8</v>
      </c>
      <c r="H781" s="53">
        <v>42</v>
      </c>
      <c r="I781" s="54">
        <f>IF(H781:H1780&lt;45, "Adult", IF(H781:H1780&lt;60, "Middle Age", IF(H781:H1780&lt;70, "Old", "Very Old")))</f>
      </c>
      <c r="J781" s="55">
        <v>40307</v>
      </c>
      <c r="K781" s="56">
        <v>67743</v>
      </c>
      <c r="L781" s="54">
        <f>IF(K781:K1780&lt;50000,"0-50",IF(K781:K1780&lt;100001,"51-100",IF(K781:K1780&lt;150001,"101-150",IF(K781:K1780&lt;200001,"151-200",IF(K781:K1780&lt;250001,"201-250","above 250")))))</f>
      </c>
      <c r="M781" s="57">
        <v>0</v>
      </c>
      <c r="N781" s="45" t="s">
        <v>12</v>
      </c>
      <c r="O781" s="45" t="s">
        <v>47</v>
      </c>
      <c r="P781" s="58">
        <v>41998</v>
      </c>
      <c r="Q781" s="53">
        <f>IF(ISBLANK(P781:P1780), "", DATEDIF(J781:J1780, P781:P1780, "Y"))</f>
      </c>
    </row>
    <row x14ac:dyDescent="0.25" r="782" customHeight="1" ht="15.75">
      <c r="A782" s="45" t="s">
        <v>1875</v>
      </c>
      <c r="B782" s="45" t="s">
        <v>698</v>
      </c>
      <c r="C782" s="45" t="s">
        <v>126</v>
      </c>
      <c r="D782" s="45" t="s">
        <v>36</v>
      </c>
      <c r="E782" s="45" t="s">
        <v>1096</v>
      </c>
      <c r="F782" s="45" t="s">
        <v>7</v>
      </c>
      <c r="G782" s="45" t="s">
        <v>11</v>
      </c>
      <c r="H782" s="53">
        <v>60</v>
      </c>
      <c r="I782" s="54">
        <f>IF(H782:H1781&lt;45, "Adult", IF(H782:H1781&lt;60, "Middle Age", IF(H782:H1781&lt;70, "Old", "Very Old")))</f>
      </c>
      <c r="J782" s="55">
        <v>35641</v>
      </c>
      <c r="K782" s="56">
        <v>71677</v>
      </c>
      <c r="L782" s="54">
        <f>IF(K782:K1781&lt;50000,"0-50",IF(K782:K1781&lt;100001,"51-100",IF(K782:K1781&lt;150001,"101-150",IF(K782:K1781&lt;200001,"151-200",IF(K782:K1781&lt;250001,"201-250","above 250")))))</f>
      </c>
      <c r="M782" s="57">
        <v>0</v>
      </c>
      <c r="N782" s="45" t="s">
        <v>15</v>
      </c>
      <c r="O782" s="45" t="s">
        <v>55</v>
      </c>
      <c r="P782" s="51"/>
      <c r="Q782" s="52">
        <f>IF(ISBLANK(P782:P1781), "", DATEDIF(J782:J1781, P782:P1781, "Y"))</f>
      </c>
    </row>
    <row x14ac:dyDescent="0.25" r="783" customHeight="1" ht="15.75">
      <c r="A783" s="45" t="s">
        <v>1876</v>
      </c>
      <c r="B783" s="45" t="s">
        <v>1005</v>
      </c>
      <c r="C783" s="45" t="s">
        <v>106</v>
      </c>
      <c r="D783" s="45" t="s">
        <v>32</v>
      </c>
      <c r="E783" s="45" t="s">
        <v>1096</v>
      </c>
      <c r="F783" s="45" t="s">
        <v>10</v>
      </c>
      <c r="G783" s="45" t="s">
        <v>8</v>
      </c>
      <c r="H783" s="53">
        <v>61</v>
      </c>
      <c r="I783" s="54">
        <f>IF(H783:H1782&lt;45, "Adult", IF(H783:H1782&lt;60, "Middle Age", IF(H783:H1782&lt;70, "Old", "Very Old")))</f>
      </c>
      <c r="J783" s="55">
        <v>36793</v>
      </c>
      <c r="K783" s="56">
        <v>40063</v>
      </c>
      <c r="L783" s="54">
        <f>IF(K783:K1782&lt;50000,"0-50",IF(K783:K1782&lt;100001,"51-100",IF(K783:K1782&lt;150001,"101-150",IF(K783:K1782&lt;200001,"151-200",IF(K783:K1782&lt;250001,"201-250","above 250")))))</f>
      </c>
      <c r="M783" s="57">
        <v>0</v>
      </c>
      <c r="N783" s="45" t="s">
        <v>15</v>
      </c>
      <c r="O783" s="45" t="s">
        <v>59</v>
      </c>
      <c r="P783" s="51"/>
      <c r="Q783" s="52">
        <f>IF(ISBLANK(P783:P1782), "", DATEDIF(J783:J1782, P783:P1782, "Y"))</f>
      </c>
    </row>
    <row x14ac:dyDescent="0.25" r="784" customHeight="1" ht="15.75">
      <c r="A784" s="45" t="s">
        <v>1877</v>
      </c>
      <c r="B784" s="45" t="s">
        <v>903</v>
      </c>
      <c r="C784" s="45" t="s">
        <v>106</v>
      </c>
      <c r="D784" s="45" t="s">
        <v>32</v>
      </c>
      <c r="E784" s="45" t="s">
        <v>1094</v>
      </c>
      <c r="F784" s="45" t="s">
        <v>7</v>
      </c>
      <c r="G784" s="45" t="s">
        <v>14</v>
      </c>
      <c r="H784" s="53">
        <v>55</v>
      </c>
      <c r="I784" s="54">
        <f>IF(H784:H1783&lt;45, "Adult", IF(H784:H1783&lt;60, "Middle Age", IF(H784:H1783&lt;70, "Old", "Very Old")))</f>
      </c>
      <c r="J784" s="55">
        <v>38107</v>
      </c>
      <c r="K784" s="56">
        <v>40124</v>
      </c>
      <c r="L784" s="54">
        <f>IF(K784:K1783&lt;50000,"0-50",IF(K784:K1783&lt;100001,"51-100",IF(K784:K1783&lt;150001,"101-150",IF(K784:K1783&lt;200001,"151-200",IF(K784:K1783&lt;250001,"201-250","above 250")))))</f>
      </c>
      <c r="M784" s="57">
        <v>0</v>
      </c>
      <c r="N784" s="45" t="s">
        <v>15</v>
      </c>
      <c r="O784" s="45" t="s">
        <v>42</v>
      </c>
      <c r="P784" s="51"/>
      <c r="Q784" s="52">
        <f>IF(ISBLANK(P784:P1783), "", DATEDIF(J784:J1783, P784:P1783, "Y"))</f>
      </c>
    </row>
    <row x14ac:dyDescent="0.25" r="785" customHeight="1" ht="15.75">
      <c r="A785" s="45" t="s">
        <v>1878</v>
      </c>
      <c r="B785" s="45" t="s">
        <v>935</v>
      </c>
      <c r="C785" s="45" t="s">
        <v>84</v>
      </c>
      <c r="D785" s="45" t="s">
        <v>26</v>
      </c>
      <c r="E785" s="45" t="s">
        <v>1094</v>
      </c>
      <c r="F785" s="45" t="s">
        <v>10</v>
      </c>
      <c r="G785" s="45" t="s">
        <v>8</v>
      </c>
      <c r="H785" s="53">
        <v>57</v>
      </c>
      <c r="I785" s="54">
        <f>IF(H785:H1784&lt;45, "Adult", IF(H785:H1784&lt;60, "Middle Age", IF(H785:H1784&lt;70, "Old", "Very Old")))</f>
      </c>
      <c r="J785" s="55">
        <v>43157</v>
      </c>
      <c r="K785" s="56">
        <v>103183</v>
      </c>
      <c r="L785" s="54">
        <f>IF(K785:K1784&lt;50000,"0-50",IF(K785:K1784&lt;100001,"51-100",IF(K785:K1784&lt;150001,"101-150",IF(K785:K1784&lt;200001,"151-200",IF(K785:K1784&lt;250001,"201-250","above 250")))))</f>
      </c>
      <c r="M785" s="57">
        <v>0</v>
      </c>
      <c r="N785" s="45" t="s">
        <v>15</v>
      </c>
      <c r="O785" s="45" t="s">
        <v>42</v>
      </c>
      <c r="P785" s="58">
        <v>44386</v>
      </c>
      <c r="Q785" s="53">
        <f>IF(ISBLANK(P785:P1784), "", DATEDIF(J785:J1784, P785:P1784, "Y"))</f>
      </c>
    </row>
    <row x14ac:dyDescent="0.25" r="786" customHeight="1" ht="15.75">
      <c r="A786" s="45" t="s">
        <v>1879</v>
      </c>
      <c r="B786" s="45" t="s">
        <v>849</v>
      </c>
      <c r="C786" s="45" t="s">
        <v>134</v>
      </c>
      <c r="D786" s="45" t="s">
        <v>32</v>
      </c>
      <c r="E786" s="45" t="s">
        <v>1100</v>
      </c>
      <c r="F786" s="45" t="s">
        <v>10</v>
      </c>
      <c r="G786" s="45" t="s">
        <v>8</v>
      </c>
      <c r="H786" s="53">
        <v>54</v>
      </c>
      <c r="I786" s="54">
        <f>IF(H786:H1785&lt;45, "Adult", IF(H786:H1785&lt;60, "Middle Age", IF(H786:H1785&lt;70, "Old", "Very Old")))</f>
      </c>
      <c r="J786" s="55">
        <v>35961</v>
      </c>
      <c r="K786" s="56">
        <v>95239</v>
      </c>
      <c r="L786" s="54">
        <f>IF(K786:K1785&lt;50000,"0-50",IF(K786:K1785&lt;100001,"51-100",IF(K786:K1785&lt;150001,"101-150",IF(K786:K1785&lt;200001,"151-200",IF(K786:K1785&lt;250001,"201-250","above 250")))))</f>
      </c>
      <c r="M786" s="57">
        <v>0</v>
      </c>
      <c r="N786" s="45" t="s">
        <v>15</v>
      </c>
      <c r="O786" s="45" t="s">
        <v>61</v>
      </c>
      <c r="P786" s="51"/>
      <c r="Q786" s="52">
        <f>IF(ISBLANK(P786:P1785), "", DATEDIF(J786:J1785, P786:P1785, "Y"))</f>
      </c>
    </row>
    <row x14ac:dyDescent="0.25" r="787" customHeight="1" ht="15.75">
      <c r="A787" s="45" t="s">
        <v>1880</v>
      </c>
      <c r="B787" s="45" t="s">
        <v>669</v>
      </c>
      <c r="C787" s="45" t="s">
        <v>94</v>
      </c>
      <c r="D787" s="45" t="s">
        <v>26</v>
      </c>
      <c r="E787" s="45" t="s">
        <v>1094</v>
      </c>
      <c r="F787" s="45" t="s">
        <v>7</v>
      </c>
      <c r="G787" s="45" t="s">
        <v>8</v>
      </c>
      <c r="H787" s="53">
        <v>29</v>
      </c>
      <c r="I787" s="54">
        <f>IF(H787:H1786&lt;45, "Adult", IF(H787:H1786&lt;60, "Middle Age", IF(H787:H1786&lt;70, "Old", "Very Old")))</f>
      </c>
      <c r="J787" s="55">
        <v>43778</v>
      </c>
      <c r="K787" s="56">
        <v>75012</v>
      </c>
      <c r="L787" s="54">
        <f>IF(K787:K1786&lt;50000,"0-50",IF(K787:K1786&lt;100001,"51-100",IF(K787:K1786&lt;150001,"101-150",IF(K787:K1786&lt;200001,"151-200",IF(K787:K1786&lt;250001,"201-250","above 250")))))</f>
      </c>
      <c r="M787" s="57">
        <v>0</v>
      </c>
      <c r="N787" s="45" t="s">
        <v>15</v>
      </c>
      <c r="O787" s="45" t="s">
        <v>51</v>
      </c>
      <c r="P787" s="51"/>
      <c r="Q787" s="52">
        <f>IF(ISBLANK(P787:P1786), "", DATEDIF(J787:J1786, P787:P1786, "Y"))</f>
      </c>
    </row>
    <row x14ac:dyDescent="0.25" r="788" customHeight="1" ht="15.75">
      <c r="A788" s="45" t="s">
        <v>1881</v>
      </c>
      <c r="B788" s="45" t="s">
        <v>309</v>
      </c>
      <c r="C788" s="45" t="s">
        <v>114</v>
      </c>
      <c r="D788" s="45" t="s">
        <v>32</v>
      </c>
      <c r="E788" s="45" t="s">
        <v>1094</v>
      </c>
      <c r="F788" s="45" t="s">
        <v>7</v>
      </c>
      <c r="G788" s="45" t="s">
        <v>8</v>
      </c>
      <c r="H788" s="53">
        <v>33</v>
      </c>
      <c r="I788" s="54">
        <f>IF(H788:H1787&lt;45, "Adult", IF(H788:H1787&lt;60, "Middle Age", IF(H788:H1787&lt;70, "Old", "Very Old")))</f>
      </c>
      <c r="J788" s="55">
        <v>41819</v>
      </c>
      <c r="K788" s="56">
        <v>96366</v>
      </c>
      <c r="L788" s="54">
        <f>IF(K788:K1787&lt;50000,"0-50",IF(K788:K1787&lt;100001,"51-100",IF(K788:K1787&lt;150001,"101-150",IF(K788:K1787&lt;200001,"151-200",IF(K788:K1787&lt;250001,"201-250","above 250")))))</f>
      </c>
      <c r="M788" s="57">
        <v>0</v>
      </c>
      <c r="N788" s="45" t="s">
        <v>12</v>
      </c>
      <c r="O788" s="45" t="s">
        <v>49</v>
      </c>
      <c r="P788" s="51"/>
      <c r="Q788" s="52">
        <f>IF(ISBLANK(P788:P1787), "", DATEDIF(J788:J1787, P788:P1787, "Y"))</f>
      </c>
    </row>
    <row x14ac:dyDescent="0.25" r="789" customHeight="1" ht="15.75">
      <c r="A789" s="45" t="s">
        <v>1882</v>
      </c>
      <c r="B789" s="45" t="s">
        <v>442</v>
      </c>
      <c r="C789" s="45" t="s">
        <v>80</v>
      </c>
      <c r="D789" s="45" t="s">
        <v>34</v>
      </c>
      <c r="E789" s="45" t="s">
        <v>1100</v>
      </c>
      <c r="F789" s="45" t="s">
        <v>7</v>
      </c>
      <c r="G789" s="45" t="s">
        <v>8</v>
      </c>
      <c r="H789" s="53">
        <v>39</v>
      </c>
      <c r="I789" s="54">
        <f>IF(H789:H1788&lt;45, "Adult", IF(H789:H1788&lt;60, "Middle Age", IF(H789:H1788&lt;70, "Old", "Very Old")))</f>
      </c>
      <c r="J789" s="55">
        <v>41849</v>
      </c>
      <c r="K789" s="56">
        <v>40897</v>
      </c>
      <c r="L789" s="54">
        <f>IF(K789:K1788&lt;50000,"0-50",IF(K789:K1788&lt;100001,"51-100",IF(K789:K1788&lt;150001,"101-150",IF(K789:K1788&lt;200001,"151-200",IF(K789:K1788&lt;250001,"201-250","above 250")))))</f>
      </c>
      <c r="M789" s="57">
        <v>0</v>
      </c>
      <c r="N789" s="45" t="s">
        <v>15</v>
      </c>
      <c r="O789" s="45" t="s">
        <v>67</v>
      </c>
      <c r="P789" s="51"/>
      <c r="Q789" s="52">
        <f>IF(ISBLANK(P789:P1788), "", DATEDIF(J789:J1788, P789:P1788, "Y"))</f>
      </c>
    </row>
    <row x14ac:dyDescent="0.25" r="790" customHeight="1" ht="15.75">
      <c r="A790" s="45" t="s">
        <v>1883</v>
      </c>
      <c r="B790" s="45" t="s">
        <v>403</v>
      </c>
      <c r="C790" s="45" t="s">
        <v>110</v>
      </c>
      <c r="D790" s="45" t="s">
        <v>28</v>
      </c>
      <c r="E790" s="45" t="s">
        <v>1092</v>
      </c>
      <c r="F790" s="45" t="s">
        <v>7</v>
      </c>
      <c r="G790" s="45" t="s">
        <v>8</v>
      </c>
      <c r="H790" s="53">
        <v>37</v>
      </c>
      <c r="I790" s="54">
        <f>IF(H790:H1789&lt;45, "Adult", IF(H790:H1789&lt;60, "Middle Age", IF(H790:H1789&lt;70, "Old", "Very Old")))</f>
      </c>
      <c r="J790" s="55">
        <v>42605</v>
      </c>
      <c r="K790" s="56">
        <v>124928</v>
      </c>
      <c r="L790" s="54">
        <f>IF(K790:K1789&lt;50000,"0-50",IF(K790:K1789&lt;100001,"51-100",IF(K790:K1789&lt;150001,"101-150",IF(K790:K1789&lt;200001,"151-200",IF(K790:K1789&lt;250001,"201-250","above 250")))))</f>
      </c>
      <c r="M790" s="57">
        <v>0.06</v>
      </c>
      <c r="N790" s="45" t="s">
        <v>12</v>
      </c>
      <c r="O790" s="45" t="s">
        <v>53</v>
      </c>
      <c r="P790" s="51"/>
      <c r="Q790" s="52">
        <f>IF(ISBLANK(P790:P1789), "", DATEDIF(J790:J1789, P790:P1789, "Y"))</f>
      </c>
    </row>
    <row x14ac:dyDescent="0.25" r="791" customHeight="1" ht="15.75">
      <c r="A791" s="45" t="s">
        <v>1884</v>
      </c>
      <c r="B791" s="45" t="s">
        <v>773</v>
      </c>
      <c r="C791" s="45" t="s">
        <v>110</v>
      </c>
      <c r="D791" s="45" t="s">
        <v>28</v>
      </c>
      <c r="E791" s="45" t="s">
        <v>1096</v>
      </c>
      <c r="F791" s="45" t="s">
        <v>7</v>
      </c>
      <c r="G791" s="45" t="s">
        <v>17</v>
      </c>
      <c r="H791" s="53">
        <v>51</v>
      </c>
      <c r="I791" s="54">
        <f>IF(H791:H1790&lt;45, "Adult", IF(H791:H1790&lt;60, "Middle Age", IF(H791:H1790&lt;70, "Old", "Very Old")))</f>
      </c>
      <c r="J791" s="55">
        <v>41439</v>
      </c>
      <c r="K791" s="56">
        <v>108221</v>
      </c>
      <c r="L791" s="54">
        <f>IF(K791:K1790&lt;50000,"0-50",IF(K791:K1790&lt;100001,"51-100",IF(K791:K1790&lt;150001,"101-150",IF(K791:K1790&lt;200001,"151-200",IF(K791:K1790&lt;250001,"201-250","above 250")))))</f>
      </c>
      <c r="M791" s="57">
        <v>0.05</v>
      </c>
      <c r="N791" s="45" t="s">
        <v>9</v>
      </c>
      <c r="O791" s="45" t="s">
        <v>57</v>
      </c>
      <c r="P791" s="51"/>
      <c r="Q791" s="52">
        <f>IF(ISBLANK(P791:P1790), "", DATEDIF(J791:J1790, P791:P1790, "Y"))</f>
      </c>
    </row>
    <row x14ac:dyDescent="0.25" r="792" customHeight="1" ht="15.75">
      <c r="A792" s="45" t="s">
        <v>1885</v>
      </c>
      <c r="B792" s="45" t="s">
        <v>656</v>
      </c>
      <c r="C792" s="45" t="s">
        <v>130</v>
      </c>
      <c r="D792" s="45" t="s">
        <v>30</v>
      </c>
      <c r="E792" s="45" t="s">
        <v>1100</v>
      </c>
      <c r="F792" s="45" t="s">
        <v>10</v>
      </c>
      <c r="G792" s="45" t="s">
        <v>14</v>
      </c>
      <c r="H792" s="53">
        <v>46</v>
      </c>
      <c r="I792" s="54">
        <f>IF(H792:H1791&lt;45, "Adult", IF(H792:H1791&lt;60, "Middle Age", IF(H792:H1791&lt;70, "Old", "Very Old")))</f>
      </c>
      <c r="J792" s="55">
        <v>39133</v>
      </c>
      <c r="K792" s="56">
        <v>75579</v>
      </c>
      <c r="L792" s="54">
        <f>IF(K792:K1791&lt;50000,"0-50",IF(K792:K1791&lt;100001,"51-100",IF(K792:K1791&lt;150001,"101-150",IF(K792:K1791&lt;200001,"151-200",IF(K792:K1791&lt;250001,"201-250","above 250")))))</f>
      </c>
      <c r="M792" s="57">
        <v>0</v>
      </c>
      <c r="N792" s="45" t="s">
        <v>15</v>
      </c>
      <c r="O792" s="45" t="s">
        <v>67</v>
      </c>
      <c r="P792" s="51"/>
      <c r="Q792" s="52">
        <f>IF(ISBLANK(P792:P1791), "", DATEDIF(J792:J1791, P792:P1791, "Y"))</f>
      </c>
    </row>
    <row x14ac:dyDescent="0.25" r="793" customHeight="1" ht="15.75">
      <c r="A793" s="45" t="s">
        <v>1886</v>
      </c>
      <c r="B793" s="45" t="s">
        <v>494</v>
      </c>
      <c r="C793" s="45" t="s">
        <v>132</v>
      </c>
      <c r="D793" s="45" t="s">
        <v>30</v>
      </c>
      <c r="E793" s="45" t="s">
        <v>1094</v>
      </c>
      <c r="F793" s="45" t="s">
        <v>10</v>
      </c>
      <c r="G793" s="45" t="s">
        <v>17</v>
      </c>
      <c r="H793" s="53">
        <v>41</v>
      </c>
      <c r="I793" s="54">
        <f>IF(H793:H1792&lt;45, "Adult", IF(H793:H1792&lt;60, "Middle Age", IF(H793:H1792&lt;70, "Old", "Very Old")))</f>
      </c>
      <c r="J793" s="55">
        <v>42365</v>
      </c>
      <c r="K793" s="56">
        <v>129903</v>
      </c>
      <c r="L793" s="54">
        <f>IF(K793:K1792&lt;50000,"0-50",IF(K793:K1792&lt;100001,"51-100",IF(K793:K1792&lt;150001,"101-150",IF(K793:K1792&lt;200001,"151-200",IF(K793:K1792&lt;250001,"201-250","above 250")))))</f>
      </c>
      <c r="M793" s="57">
        <v>0.13</v>
      </c>
      <c r="N793" s="45" t="s">
        <v>9</v>
      </c>
      <c r="O793" s="45" t="s">
        <v>65</v>
      </c>
      <c r="P793" s="51"/>
      <c r="Q793" s="52">
        <f>IF(ISBLANK(P793:P1792), "", DATEDIF(J793:J1792, P793:P1792, "Y"))</f>
      </c>
    </row>
    <row x14ac:dyDescent="0.25" r="794" customHeight="1" ht="15.75">
      <c r="A794" s="45" t="s">
        <v>1887</v>
      </c>
      <c r="B794" s="45" t="s">
        <v>77</v>
      </c>
      <c r="C794" s="45" t="s">
        <v>96</v>
      </c>
      <c r="D794" s="45" t="s">
        <v>28</v>
      </c>
      <c r="E794" s="45" t="s">
        <v>1092</v>
      </c>
      <c r="F794" s="45" t="s">
        <v>7</v>
      </c>
      <c r="G794" s="45" t="s">
        <v>8</v>
      </c>
      <c r="H794" s="53">
        <v>25</v>
      </c>
      <c r="I794" s="54">
        <f>IF(H794:H1793&lt;45, "Adult", IF(H794:H1793&lt;60, "Middle Age", IF(H794:H1793&lt;70, "Old", "Very Old")))</f>
      </c>
      <c r="J794" s="55">
        <v>44303</v>
      </c>
      <c r="K794" s="56">
        <v>186870</v>
      </c>
      <c r="L794" s="54">
        <f>IF(K794:K1793&lt;50000,"0-50",IF(K794:K1793&lt;100001,"51-100",IF(K794:K1793&lt;150001,"101-150",IF(K794:K1793&lt;200001,"151-200",IF(K794:K1793&lt;250001,"201-250","above 250")))))</f>
      </c>
      <c r="M794" s="57">
        <v>0.2</v>
      </c>
      <c r="N794" s="45" t="s">
        <v>12</v>
      </c>
      <c r="O794" s="45" t="s">
        <v>69</v>
      </c>
      <c r="P794" s="51"/>
      <c r="Q794" s="52">
        <f>IF(ISBLANK(P794:P1793), "", DATEDIF(J794:J1793, P794:P1793, "Y"))</f>
      </c>
    </row>
    <row x14ac:dyDescent="0.25" r="795" customHeight="1" ht="15.75">
      <c r="A795" s="45" t="s">
        <v>1888</v>
      </c>
      <c r="B795" s="45" t="s">
        <v>400</v>
      </c>
      <c r="C795" s="45" t="s">
        <v>82</v>
      </c>
      <c r="D795" s="45" t="s">
        <v>36</v>
      </c>
      <c r="E795" s="45" t="s">
        <v>1092</v>
      </c>
      <c r="F795" s="45" t="s">
        <v>10</v>
      </c>
      <c r="G795" s="45" t="s">
        <v>14</v>
      </c>
      <c r="H795" s="53">
        <v>37</v>
      </c>
      <c r="I795" s="54">
        <f>IF(H795:H1794&lt;45, "Adult", IF(H795:H1794&lt;60, "Middle Age", IF(H795:H1794&lt;70, "Old", "Very Old")))</f>
      </c>
      <c r="J795" s="55">
        <v>40291</v>
      </c>
      <c r="K795" s="56">
        <v>57531</v>
      </c>
      <c r="L795" s="54">
        <f>IF(K795:K1794&lt;50000,"0-50",IF(K795:K1794&lt;100001,"51-100",IF(K795:K1794&lt;150001,"101-150",IF(K795:K1794&lt;200001,"151-200",IF(K795:K1794&lt;250001,"201-250","above 250")))))</f>
      </c>
      <c r="M795" s="57">
        <v>0</v>
      </c>
      <c r="N795" s="45" t="s">
        <v>15</v>
      </c>
      <c r="O795" s="45" t="s">
        <v>51</v>
      </c>
      <c r="P795" s="51"/>
      <c r="Q795" s="52">
        <f>IF(ISBLANK(P795:P1794), "", DATEDIF(J795:J1794, P795:P1794, "Y"))</f>
      </c>
    </row>
    <row x14ac:dyDescent="0.25" r="796" customHeight="1" ht="15.75">
      <c r="A796" s="45" t="s">
        <v>1889</v>
      </c>
      <c r="B796" s="45" t="s">
        <v>654</v>
      </c>
      <c r="C796" s="45" t="s">
        <v>80</v>
      </c>
      <c r="D796" s="45" t="s">
        <v>28</v>
      </c>
      <c r="E796" s="45" t="s">
        <v>1092</v>
      </c>
      <c r="F796" s="45" t="s">
        <v>10</v>
      </c>
      <c r="G796" s="45" t="s">
        <v>8</v>
      </c>
      <c r="H796" s="53">
        <v>46</v>
      </c>
      <c r="I796" s="54">
        <f>IF(H796:H1795&lt;45, "Adult", IF(H796:H1795&lt;60, "Middle Age", IF(H796:H1795&lt;70, "Old", "Very Old")))</f>
      </c>
      <c r="J796" s="55">
        <v>40657</v>
      </c>
      <c r="K796" s="56">
        <v>55894</v>
      </c>
      <c r="L796" s="54">
        <f>IF(K796:K1795&lt;50000,"0-50",IF(K796:K1795&lt;100001,"51-100",IF(K796:K1795&lt;150001,"101-150",IF(K796:K1795&lt;200001,"151-200",IF(K796:K1795&lt;250001,"201-250","above 250")))))</f>
      </c>
      <c r="M796" s="57">
        <v>0</v>
      </c>
      <c r="N796" s="45" t="s">
        <v>15</v>
      </c>
      <c r="O796" s="45" t="s">
        <v>67</v>
      </c>
      <c r="P796" s="51"/>
      <c r="Q796" s="52">
        <f>IF(ISBLANK(P796:P1795), "", DATEDIF(J796:J1795, P796:P1795, "Y"))</f>
      </c>
    </row>
    <row x14ac:dyDescent="0.25" r="797" customHeight="1" ht="15.75">
      <c r="A797" s="45" t="s">
        <v>1890</v>
      </c>
      <c r="B797" s="45" t="s">
        <v>519</v>
      </c>
      <c r="C797" s="45" t="s">
        <v>102</v>
      </c>
      <c r="D797" s="45" t="s">
        <v>26</v>
      </c>
      <c r="E797" s="45" t="s">
        <v>1094</v>
      </c>
      <c r="F797" s="45" t="s">
        <v>7</v>
      </c>
      <c r="G797" s="45" t="s">
        <v>8</v>
      </c>
      <c r="H797" s="53">
        <v>42</v>
      </c>
      <c r="I797" s="54">
        <f>IF(H797:H1796&lt;45, "Adult", IF(H797:H1796&lt;60, "Middle Age", IF(H797:H1796&lt;70, "Old", "Very Old")))</f>
      </c>
      <c r="J797" s="55">
        <v>41026</v>
      </c>
      <c r="K797" s="56">
        <v>72903</v>
      </c>
      <c r="L797" s="54">
        <f>IF(K797:K1796&lt;50000,"0-50",IF(K797:K1796&lt;100001,"51-100",IF(K797:K1796&lt;150001,"101-150",IF(K797:K1796&lt;200001,"151-200",IF(K797:K1796&lt;250001,"201-250","above 250")))))</f>
      </c>
      <c r="M797" s="57">
        <v>0</v>
      </c>
      <c r="N797" s="45" t="s">
        <v>15</v>
      </c>
      <c r="O797" s="45" t="s">
        <v>61</v>
      </c>
      <c r="P797" s="51"/>
      <c r="Q797" s="52">
        <f>IF(ISBLANK(P797:P1796), "", DATEDIF(J797:J1796, P797:P1796, "Y"))</f>
      </c>
    </row>
    <row x14ac:dyDescent="0.25" r="798" customHeight="1" ht="15.75">
      <c r="A798" s="45" t="s">
        <v>1891</v>
      </c>
      <c r="B798" s="45" t="s">
        <v>402</v>
      </c>
      <c r="C798" s="45" t="s">
        <v>80</v>
      </c>
      <c r="D798" s="45" t="s">
        <v>28</v>
      </c>
      <c r="E798" s="45" t="s">
        <v>1100</v>
      </c>
      <c r="F798" s="45" t="s">
        <v>10</v>
      </c>
      <c r="G798" s="45" t="s">
        <v>8</v>
      </c>
      <c r="H798" s="53">
        <v>37</v>
      </c>
      <c r="I798" s="54">
        <f>IF(H798:H1797&lt;45, "Adult", IF(H798:H1797&lt;60, "Middle Age", IF(H798:H1797&lt;70, "Old", "Very Old")))</f>
      </c>
      <c r="J798" s="55">
        <v>42317</v>
      </c>
      <c r="K798" s="56">
        <v>45369</v>
      </c>
      <c r="L798" s="54">
        <f>IF(K798:K1797&lt;50000,"0-50",IF(K798:K1797&lt;100001,"51-100",IF(K798:K1797&lt;150001,"101-150",IF(K798:K1797&lt;200001,"151-200",IF(K798:K1797&lt;250001,"201-250","above 250")))))</f>
      </c>
      <c r="M798" s="57">
        <v>0</v>
      </c>
      <c r="N798" s="45" t="s">
        <v>12</v>
      </c>
      <c r="O798" s="45" t="s">
        <v>47</v>
      </c>
      <c r="P798" s="51"/>
      <c r="Q798" s="52">
        <f>IF(ISBLANK(P798:P1797), "", DATEDIF(J798:J1797, P798:P1797, "Y"))</f>
      </c>
    </row>
    <row x14ac:dyDescent="0.25" r="799" customHeight="1" ht="15.75">
      <c r="A799" s="45" t="s">
        <v>1892</v>
      </c>
      <c r="B799" s="45" t="s">
        <v>990</v>
      </c>
      <c r="C799" s="45" t="s">
        <v>110</v>
      </c>
      <c r="D799" s="45" t="s">
        <v>28</v>
      </c>
      <c r="E799" s="45" t="s">
        <v>1096</v>
      </c>
      <c r="F799" s="45" t="s">
        <v>10</v>
      </c>
      <c r="G799" s="45" t="s">
        <v>14</v>
      </c>
      <c r="H799" s="53">
        <v>60</v>
      </c>
      <c r="I799" s="54">
        <f>IF(H799:H1798&lt;45, "Adult", IF(H799:H1798&lt;60, "Middle Age", IF(H799:H1798&lt;70, "Old", "Very Old")))</f>
      </c>
      <c r="J799" s="55">
        <v>40344</v>
      </c>
      <c r="K799" s="56">
        <v>106578</v>
      </c>
      <c r="L799" s="54">
        <f>IF(K799:K1798&lt;50000,"0-50",IF(K799:K1798&lt;100001,"51-100",IF(K799:K1798&lt;150001,"101-150",IF(K799:K1798&lt;200001,"151-200",IF(K799:K1798&lt;250001,"201-250","above 250")))))</f>
      </c>
      <c r="M799" s="57">
        <v>0.09</v>
      </c>
      <c r="N799" s="45" t="s">
        <v>15</v>
      </c>
      <c r="O799" s="45" t="s">
        <v>59</v>
      </c>
      <c r="P799" s="51"/>
      <c r="Q799" s="52">
        <f>IF(ISBLANK(P799:P1798), "", DATEDIF(J799:J1798, P799:P1798, "Y"))</f>
      </c>
    </row>
    <row x14ac:dyDescent="0.25" r="800" customHeight="1" ht="15.75">
      <c r="A800" s="45" t="s">
        <v>1893</v>
      </c>
      <c r="B800" s="45" t="s">
        <v>797</v>
      </c>
      <c r="C800" s="45" t="s">
        <v>130</v>
      </c>
      <c r="D800" s="45" t="s">
        <v>30</v>
      </c>
      <c r="E800" s="45" t="s">
        <v>1092</v>
      </c>
      <c r="F800" s="45" t="s">
        <v>7</v>
      </c>
      <c r="G800" s="45" t="s">
        <v>17</v>
      </c>
      <c r="H800" s="53">
        <v>52</v>
      </c>
      <c r="I800" s="54">
        <f>IF(H800:H1799&lt;45, "Adult", IF(H800:H1799&lt;60, "Middle Age", IF(H800:H1799&lt;70, "Old", "Very Old")))</f>
      </c>
      <c r="J800" s="55">
        <v>36416</v>
      </c>
      <c r="K800" s="56">
        <v>92994</v>
      </c>
      <c r="L800" s="54">
        <f>IF(K800:K1799&lt;50000,"0-50",IF(K800:K1799&lt;100001,"51-100",IF(K800:K1799&lt;150001,"101-150",IF(K800:K1799&lt;200001,"151-200",IF(K800:K1799&lt;250001,"201-250","above 250")))))</f>
      </c>
      <c r="M800" s="57">
        <v>0</v>
      </c>
      <c r="N800" s="45" t="s">
        <v>15</v>
      </c>
      <c r="O800" s="45" t="s">
        <v>51</v>
      </c>
      <c r="P800" s="51"/>
      <c r="Q800" s="52">
        <f>IF(ISBLANK(P800:P1799), "", DATEDIF(J800:J1799, P800:P1799, "Y"))</f>
      </c>
    </row>
    <row x14ac:dyDescent="0.25" r="801" customHeight="1" ht="15.75">
      <c r="A801" s="45" t="s">
        <v>1894</v>
      </c>
      <c r="B801" s="45" t="s">
        <v>973</v>
      </c>
      <c r="C801" s="45" t="s">
        <v>128</v>
      </c>
      <c r="D801" s="45" t="s">
        <v>36</v>
      </c>
      <c r="E801" s="45" t="s">
        <v>1096</v>
      </c>
      <c r="F801" s="45" t="s">
        <v>10</v>
      </c>
      <c r="G801" s="45" t="s">
        <v>8</v>
      </c>
      <c r="H801" s="53">
        <v>59</v>
      </c>
      <c r="I801" s="54">
        <f>IF(H801:H1800&lt;45, "Adult", IF(H801:H1800&lt;60, "Middle Age", IF(H801:H1800&lt;70, "Old", "Very Old")))</f>
      </c>
      <c r="J801" s="55">
        <v>35502</v>
      </c>
      <c r="K801" s="56">
        <v>83685</v>
      </c>
      <c r="L801" s="54">
        <f>IF(K801:K1800&lt;50000,"0-50",IF(K801:K1800&lt;100001,"51-100",IF(K801:K1800&lt;150001,"101-150",IF(K801:K1800&lt;200001,"151-200",IF(K801:K1800&lt;250001,"201-250","above 250")))))</f>
      </c>
      <c r="M801" s="57">
        <v>0</v>
      </c>
      <c r="N801" s="45" t="s">
        <v>12</v>
      </c>
      <c r="O801" s="45" t="s">
        <v>47</v>
      </c>
      <c r="P801" s="51"/>
      <c r="Q801" s="52">
        <f>IF(ISBLANK(P801:P1800), "", DATEDIF(J801:J1800, P801:P1800, "Y"))</f>
      </c>
    </row>
    <row x14ac:dyDescent="0.25" r="802" customHeight="1" ht="15.75">
      <c r="A802" s="45" t="s">
        <v>1895</v>
      </c>
      <c r="B802" s="45" t="s">
        <v>706</v>
      </c>
      <c r="C802" s="45" t="s">
        <v>88</v>
      </c>
      <c r="D802" s="45" t="s">
        <v>32</v>
      </c>
      <c r="E802" s="45" t="s">
        <v>1092</v>
      </c>
      <c r="F802" s="45" t="s">
        <v>10</v>
      </c>
      <c r="G802" s="45" t="s">
        <v>14</v>
      </c>
      <c r="H802" s="53">
        <v>48</v>
      </c>
      <c r="I802" s="54">
        <f>IF(H802:H1801&lt;45, "Adult", IF(H802:H1801&lt;60, "Middle Age", IF(H802:H1801&lt;70, "Old", "Very Old")))</f>
      </c>
      <c r="J802" s="55">
        <v>40435</v>
      </c>
      <c r="K802" s="56">
        <v>99335</v>
      </c>
      <c r="L802" s="54">
        <f>IF(K802:K1801&lt;50000,"0-50",IF(K802:K1801&lt;100001,"51-100",IF(K802:K1801&lt;150001,"101-150",IF(K802:K1801&lt;200001,"151-200",IF(K802:K1801&lt;250001,"201-250","above 250")))))</f>
      </c>
      <c r="M802" s="57">
        <v>0</v>
      </c>
      <c r="N802" s="45" t="s">
        <v>15</v>
      </c>
      <c r="O802" s="45" t="s">
        <v>61</v>
      </c>
      <c r="P802" s="51"/>
      <c r="Q802" s="52">
        <f>IF(ISBLANK(P802:P1801), "", DATEDIF(J802:J1801, P802:P1801, "Y"))</f>
      </c>
    </row>
    <row x14ac:dyDescent="0.25" r="803" customHeight="1" ht="15.75">
      <c r="A803" s="45" t="s">
        <v>1896</v>
      </c>
      <c r="B803" s="45" t="s">
        <v>516</v>
      </c>
      <c r="C803" s="45" t="s">
        <v>132</v>
      </c>
      <c r="D803" s="45" t="s">
        <v>30</v>
      </c>
      <c r="E803" s="45" t="s">
        <v>1094</v>
      </c>
      <c r="F803" s="45" t="s">
        <v>10</v>
      </c>
      <c r="G803" s="45" t="s">
        <v>14</v>
      </c>
      <c r="H803" s="53">
        <v>42</v>
      </c>
      <c r="I803" s="54">
        <f>IF(H803:H1802&lt;45, "Adult", IF(H803:H1802&lt;60, "Middle Age", IF(H803:H1802&lt;70, "Old", "Very Old")))</f>
      </c>
      <c r="J803" s="55">
        <v>41382</v>
      </c>
      <c r="K803" s="56">
        <v>131179</v>
      </c>
      <c r="L803" s="54">
        <f>IF(K803:K1802&lt;50000,"0-50",IF(K803:K1802&lt;100001,"51-100",IF(K803:K1802&lt;150001,"101-150",IF(K803:K1802&lt;200001,"151-200",IF(K803:K1802&lt;250001,"201-250","above 250")))))</f>
      </c>
      <c r="M803" s="57">
        <v>0.15</v>
      </c>
      <c r="N803" s="45" t="s">
        <v>15</v>
      </c>
      <c r="O803" s="45" t="s">
        <v>55</v>
      </c>
      <c r="P803" s="51"/>
      <c r="Q803" s="52">
        <f>IF(ISBLANK(P803:P1802), "", DATEDIF(J803:J1802, P803:P1802, "Y"))</f>
      </c>
    </row>
    <row x14ac:dyDescent="0.25" r="804" customHeight="1" ht="15.75">
      <c r="A804" s="45" t="s">
        <v>1897</v>
      </c>
      <c r="B804" s="45" t="s">
        <v>350</v>
      </c>
      <c r="C804" s="45" t="s">
        <v>90</v>
      </c>
      <c r="D804" s="45" t="s">
        <v>32</v>
      </c>
      <c r="E804" s="45" t="s">
        <v>1096</v>
      </c>
      <c r="F804" s="45" t="s">
        <v>10</v>
      </c>
      <c r="G804" s="45" t="s">
        <v>8</v>
      </c>
      <c r="H804" s="53">
        <v>35</v>
      </c>
      <c r="I804" s="54">
        <f>IF(H804:H1803&lt;45, "Adult", IF(H804:H1803&lt;60, "Middle Age", IF(H804:H1803&lt;70, "Old", "Very Old")))</f>
      </c>
      <c r="J804" s="55">
        <v>42493</v>
      </c>
      <c r="K804" s="56">
        <v>73899</v>
      </c>
      <c r="L804" s="54">
        <f>IF(K804:K1803&lt;50000,"0-50",IF(K804:K1803&lt;100001,"51-100",IF(K804:K1803&lt;150001,"101-150",IF(K804:K1803&lt;200001,"151-200",IF(K804:K1803&lt;250001,"201-250","above 250")))))</f>
      </c>
      <c r="M804" s="57">
        <v>0.05</v>
      </c>
      <c r="N804" s="45" t="s">
        <v>12</v>
      </c>
      <c r="O804" s="45" t="s">
        <v>49</v>
      </c>
      <c r="P804" s="51"/>
      <c r="Q804" s="52">
        <f>IF(ISBLANK(P804:P1803), "", DATEDIF(J804:J1803, P804:P1803, "Y"))</f>
      </c>
    </row>
    <row x14ac:dyDescent="0.25" r="805" customHeight="1" ht="15.75">
      <c r="A805" s="45" t="s">
        <v>1898</v>
      </c>
      <c r="B805" s="45" t="s">
        <v>1067</v>
      </c>
      <c r="C805" s="45" t="s">
        <v>142</v>
      </c>
      <c r="D805" s="45" t="s">
        <v>24</v>
      </c>
      <c r="E805" s="45" t="s">
        <v>1094</v>
      </c>
      <c r="F805" s="45" t="s">
        <v>10</v>
      </c>
      <c r="G805" s="45" t="s">
        <v>8</v>
      </c>
      <c r="H805" s="53">
        <v>64</v>
      </c>
      <c r="I805" s="54">
        <f>IF(H805:H1804&lt;45, "Adult", IF(H805:H1804&lt;60, "Middle Age", IF(H805:H1804&lt;70, "Old", "Very Old")))</f>
      </c>
      <c r="J805" s="55">
        <v>41362</v>
      </c>
      <c r="K805" s="56">
        <v>252325</v>
      </c>
      <c r="L805" s="54">
        <f>IF(K805:K1804&lt;50000,"0-50",IF(K805:K1804&lt;100001,"51-100",IF(K805:K1804&lt;150001,"101-150",IF(K805:K1804&lt;200001,"151-200",IF(K805:K1804&lt;250001,"201-250","above 250")))))</f>
      </c>
      <c r="M805" s="57">
        <v>0.4</v>
      </c>
      <c r="N805" s="45" t="s">
        <v>15</v>
      </c>
      <c r="O805" s="45" t="s">
        <v>55</v>
      </c>
      <c r="P805" s="51"/>
      <c r="Q805" s="52">
        <f>IF(ISBLANK(P805:P1804), "", DATEDIF(J805:J1804, P805:P1804, "Y"))</f>
      </c>
    </row>
    <row x14ac:dyDescent="0.25" r="806" customHeight="1" ht="15.75">
      <c r="A806" s="45" t="s">
        <v>1899</v>
      </c>
      <c r="B806" s="45" t="s">
        <v>240</v>
      </c>
      <c r="C806" s="45" t="s">
        <v>82</v>
      </c>
      <c r="D806" s="45" t="s">
        <v>28</v>
      </c>
      <c r="E806" s="45" t="s">
        <v>1092</v>
      </c>
      <c r="F806" s="45" t="s">
        <v>7</v>
      </c>
      <c r="G806" s="45" t="s">
        <v>14</v>
      </c>
      <c r="H806" s="53">
        <v>30</v>
      </c>
      <c r="I806" s="54">
        <f>IF(H806:H1805&lt;45, "Adult", IF(H806:H1805&lt;60, "Middle Age", IF(H806:H1805&lt;70, "Old", "Very Old")))</f>
      </c>
      <c r="J806" s="55">
        <v>42068</v>
      </c>
      <c r="K806" s="56">
        <v>52697</v>
      </c>
      <c r="L806" s="54">
        <f>IF(K806:K1805&lt;50000,"0-50",IF(K806:K1805&lt;100001,"51-100",IF(K806:K1805&lt;150001,"101-150",IF(K806:K1805&lt;200001,"151-200",IF(K806:K1805&lt;250001,"201-250","above 250")))))</f>
      </c>
      <c r="M806" s="57">
        <v>0</v>
      </c>
      <c r="N806" s="45" t="s">
        <v>15</v>
      </c>
      <c r="O806" s="45" t="s">
        <v>67</v>
      </c>
      <c r="P806" s="51"/>
      <c r="Q806" s="52">
        <f>IF(ISBLANK(P806:P1805), "", DATEDIF(J806:J1805, P806:P1805, "Y"))</f>
      </c>
    </row>
    <row x14ac:dyDescent="0.25" r="807" customHeight="1" ht="15.75">
      <c r="A807" s="45" t="s">
        <v>1900</v>
      </c>
      <c r="B807" s="45" t="s">
        <v>210</v>
      </c>
      <c r="C807" s="45" t="s">
        <v>118</v>
      </c>
      <c r="D807" s="45" t="s">
        <v>26</v>
      </c>
      <c r="E807" s="45" t="s">
        <v>1096</v>
      </c>
      <c r="F807" s="45" t="s">
        <v>7</v>
      </c>
      <c r="G807" s="45" t="s">
        <v>17</v>
      </c>
      <c r="H807" s="53">
        <v>29</v>
      </c>
      <c r="I807" s="54">
        <f>IF(H807:H1806&lt;45, "Adult", IF(H807:H1806&lt;60, "Middle Age", IF(H807:H1806&lt;70, "Old", "Very Old")))</f>
      </c>
      <c r="J807" s="55">
        <v>44099</v>
      </c>
      <c r="K807" s="56">
        <v>123588</v>
      </c>
      <c r="L807" s="54">
        <f>IF(K807:K1806&lt;50000,"0-50",IF(K807:K1806&lt;100001,"51-100",IF(K807:K1806&lt;150001,"101-150",IF(K807:K1806&lt;200001,"151-200",IF(K807:K1806&lt;250001,"201-250","above 250")))))</f>
      </c>
      <c r="M807" s="57">
        <v>0</v>
      </c>
      <c r="N807" s="45" t="s">
        <v>9</v>
      </c>
      <c r="O807" s="45" t="s">
        <v>65</v>
      </c>
      <c r="P807" s="51"/>
      <c r="Q807" s="52">
        <f>IF(ISBLANK(P807:P1806), "", DATEDIF(J807:J1806, P807:P1806, "Y"))</f>
      </c>
    </row>
    <row x14ac:dyDescent="0.25" r="808" customHeight="1" ht="15.75">
      <c r="A808" s="45" t="s">
        <v>1901</v>
      </c>
      <c r="B808" s="45" t="s">
        <v>681</v>
      </c>
      <c r="C808" s="45" t="s">
        <v>142</v>
      </c>
      <c r="D808" s="45" t="s">
        <v>24</v>
      </c>
      <c r="E808" s="45" t="s">
        <v>1100</v>
      </c>
      <c r="F808" s="45" t="s">
        <v>7</v>
      </c>
      <c r="G808" s="45" t="s">
        <v>8</v>
      </c>
      <c r="H808" s="53">
        <v>47</v>
      </c>
      <c r="I808" s="54">
        <f>IF(H808:H1807&lt;45, "Adult", IF(H808:H1807&lt;60, "Middle Age", IF(H808:H1807&lt;70, "Old", "Very Old")))</f>
      </c>
      <c r="J808" s="55">
        <v>44556</v>
      </c>
      <c r="K808" s="56">
        <v>243568</v>
      </c>
      <c r="L808" s="54">
        <f>IF(K808:K1807&lt;50000,"0-50",IF(K808:K1807&lt;100001,"51-100",IF(K808:K1807&lt;150001,"101-150",IF(K808:K1807&lt;200001,"151-200",IF(K808:K1807&lt;250001,"201-250","above 250")))))</f>
      </c>
      <c r="M808" s="57">
        <v>0.33</v>
      </c>
      <c r="N808" s="45" t="s">
        <v>15</v>
      </c>
      <c r="O808" s="45" t="s">
        <v>42</v>
      </c>
      <c r="P808" s="51"/>
      <c r="Q808" s="52">
        <f>IF(ISBLANK(P808:P1807), "", DATEDIF(J808:J1807, P808:P1807, "Y"))</f>
      </c>
    </row>
    <row x14ac:dyDescent="0.25" r="809" customHeight="1" ht="15.75">
      <c r="A809" s="45" t="s">
        <v>1902</v>
      </c>
      <c r="B809" s="45" t="s">
        <v>732</v>
      </c>
      <c r="C809" s="45" t="s">
        <v>96</v>
      </c>
      <c r="D809" s="45" t="s">
        <v>36</v>
      </c>
      <c r="E809" s="45" t="s">
        <v>1092</v>
      </c>
      <c r="F809" s="45" t="s">
        <v>10</v>
      </c>
      <c r="G809" s="45" t="s">
        <v>8</v>
      </c>
      <c r="H809" s="53">
        <v>49</v>
      </c>
      <c r="I809" s="54">
        <f>IF(H809:H1808&lt;45, "Adult", IF(H809:H1808&lt;60, "Middle Age", IF(H809:H1808&lt;70, "Old", "Very Old")))</f>
      </c>
      <c r="J809" s="55">
        <v>37092</v>
      </c>
      <c r="K809" s="56">
        <v>199176</v>
      </c>
      <c r="L809" s="54">
        <f>IF(K809:K1808&lt;50000,"0-50",IF(K809:K1808&lt;100001,"51-100",IF(K809:K1808&lt;150001,"101-150",IF(K809:K1808&lt;200001,"151-200",IF(K809:K1808&lt;250001,"201-250","above 250")))))</f>
      </c>
      <c r="M809" s="57">
        <v>0.24</v>
      </c>
      <c r="N809" s="45" t="s">
        <v>15</v>
      </c>
      <c r="O809" s="45" t="s">
        <v>61</v>
      </c>
      <c r="P809" s="51"/>
      <c r="Q809" s="52">
        <f>IF(ISBLANK(P809:P1808), "", DATEDIF(J809:J1808, P809:P1808, "Y"))</f>
      </c>
    </row>
    <row x14ac:dyDescent="0.25" r="810" customHeight="1" ht="15.75">
      <c r="A810" s="45" t="s">
        <v>1903</v>
      </c>
      <c r="B810" s="45" t="s">
        <v>919</v>
      </c>
      <c r="C810" s="45" t="s">
        <v>138</v>
      </c>
      <c r="D810" s="45" t="s">
        <v>32</v>
      </c>
      <c r="E810" s="45" t="s">
        <v>1096</v>
      </c>
      <c r="F810" s="45" t="s">
        <v>7</v>
      </c>
      <c r="G810" s="45" t="s">
        <v>8</v>
      </c>
      <c r="H810" s="53">
        <v>56</v>
      </c>
      <c r="I810" s="54">
        <f>IF(H810:H1809&lt;45, "Adult", IF(H810:H1809&lt;60, "Middle Age", IF(H810:H1809&lt;70, "Old", "Very Old")))</f>
      </c>
      <c r="J810" s="55">
        <v>35238</v>
      </c>
      <c r="K810" s="56">
        <v>82806</v>
      </c>
      <c r="L810" s="54">
        <f>IF(K810:K1809&lt;50000,"0-50",IF(K810:K1809&lt;100001,"51-100",IF(K810:K1809&lt;150001,"101-150",IF(K810:K1809&lt;200001,"151-200",IF(K810:K1809&lt;250001,"201-250","above 250")))))</f>
      </c>
      <c r="M810" s="57">
        <v>0</v>
      </c>
      <c r="N810" s="45" t="s">
        <v>15</v>
      </c>
      <c r="O810" s="45" t="s">
        <v>67</v>
      </c>
      <c r="P810" s="51"/>
      <c r="Q810" s="52">
        <f>IF(ISBLANK(P810:P1809), "", DATEDIF(J810:J1809, P810:P1809, "Y"))</f>
      </c>
    </row>
    <row x14ac:dyDescent="0.25" r="811" customHeight="1" ht="15.75">
      <c r="A811" s="45" t="s">
        <v>1904</v>
      </c>
      <c r="B811" s="45" t="s">
        <v>823</v>
      </c>
      <c r="C811" s="45" t="s">
        <v>96</v>
      </c>
      <c r="D811" s="45" t="s">
        <v>34</v>
      </c>
      <c r="E811" s="45" t="s">
        <v>1096</v>
      </c>
      <c r="F811" s="45" t="s">
        <v>7</v>
      </c>
      <c r="G811" s="45" t="s">
        <v>8</v>
      </c>
      <c r="H811" s="53">
        <v>53</v>
      </c>
      <c r="I811" s="54">
        <f>IF(H811:H1810&lt;45, "Adult", IF(H811:H1810&lt;60, "Middle Age", IF(H811:H1810&lt;70, "Old", "Very Old")))</f>
      </c>
      <c r="J811" s="55">
        <v>35601</v>
      </c>
      <c r="K811" s="56">
        <v>164399</v>
      </c>
      <c r="L811" s="54">
        <f>IF(K811:K1810&lt;50000,"0-50",IF(K811:K1810&lt;100001,"51-100",IF(K811:K1810&lt;150001,"101-150",IF(K811:K1810&lt;200001,"151-200",IF(K811:K1810&lt;250001,"201-250","above 250")))))</f>
      </c>
      <c r="M811" s="57">
        <v>0.25</v>
      </c>
      <c r="N811" s="45" t="s">
        <v>15</v>
      </c>
      <c r="O811" s="45" t="s">
        <v>67</v>
      </c>
      <c r="P811" s="51"/>
      <c r="Q811" s="52">
        <f>IF(ISBLANK(P811:P1810), "", DATEDIF(J811:J1810, P811:P1810, "Y"))</f>
      </c>
    </row>
    <row x14ac:dyDescent="0.25" r="812" customHeight="1" ht="15.75">
      <c r="A812" s="45" t="s">
        <v>1905</v>
      </c>
      <c r="B812" s="45" t="s">
        <v>283</v>
      </c>
      <c r="C812" s="45" t="s">
        <v>132</v>
      </c>
      <c r="D812" s="45" t="s">
        <v>30</v>
      </c>
      <c r="E812" s="45" t="s">
        <v>1094</v>
      </c>
      <c r="F812" s="45" t="s">
        <v>7</v>
      </c>
      <c r="G812" s="45" t="s">
        <v>8</v>
      </c>
      <c r="H812" s="53">
        <v>32</v>
      </c>
      <c r="I812" s="54">
        <f>IF(H812:H1811&lt;45, "Adult", IF(H812:H1811&lt;60, "Middle Age", IF(H812:H1811&lt;70, "Old", "Very Old")))</f>
      </c>
      <c r="J812" s="55">
        <v>42839</v>
      </c>
      <c r="K812" s="56">
        <v>154956</v>
      </c>
      <c r="L812" s="54">
        <f>IF(K812:K1811&lt;50000,"0-50",IF(K812:K1811&lt;100001,"51-100",IF(K812:K1811&lt;150001,"101-150",IF(K812:K1811&lt;200001,"151-200",IF(K812:K1811&lt;250001,"201-250","above 250")))))</f>
      </c>
      <c r="M812" s="57">
        <v>0.13</v>
      </c>
      <c r="N812" s="45" t="s">
        <v>15</v>
      </c>
      <c r="O812" s="45" t="s">
        <v>61</v>
      </c>
      <c r="P812" s="51"/>
      <c r="Q812" s="52">
        <f>IF(ISBLANK(P812:P1811), "", DATEDIF(J812:J1811, P812:P1811, "Y"))</f>
      </c>
    </row>
    <row x14ac:dyDescent="0.25" r="813" customHeight="1" ht="15.75">
      <c r="A813" s="45" t="s">
        <v>1906</v>
      </c>
      <c r="B813" s="45" t="s">
        <v>280</v>
      </c>
      <c r="C813" s="45" t="s">
        <v>132</v>
      </c>
      <c r="D813" s="45" t="s">
        <v>34</v>
      </c>
      <c r="E813" s="45" t="s">
        <v>1094</v>
      </c>
      <c r="F813" s="45" t="s">
        <v>10</v>
      </c>
      <c r="G813" s="45" t="s">
        <v>8</v>
      </c>
      <c r="H813" s="53">
        <v>32</v>
      </c>
      <c r="I813" s="54">
        <f>IF(H813:H1812&lt;45, "Adult", IF(H813:H1812&lt;60, "Middle Age", IF(H813:H1812&lt;70, "Old", "Very Old")))</f>
      </c>
      <c r="J813" s="55">
        <v>42764</v>
      </c>
      <c r="K813" s="56">
        <v>143970</v>
      </c>
      <c r="L813" s="54">
        <f>IF(K813:K1812&lt;50000,"0-50",IF(K813:K1812&lt;100001,"51-100",IF(K813:K1812&lt;150001,"101-150",IF(K813:K1812&lt;200001,"151-200",IF(K813:K1812&lt;250001,"201-250","above 250")))))</f>
      </c>
      <c r="M813" s="57">
        <v>0.12</v>
      </c>
      <c r="N813" s="45" t="s">
        <v>15</v>
      </c>
      <c r="O813" s="45" t="s">
        <v>67</v>
      </c>
      <c r="P813" s="58">
        <v>43078</v>
      </c>
      <c r="Q813" s="53">
        <f>IF(ISBLANK(P813:P1812), "", DATEDIF(J813:J1812, P813:P1812, "Y"))</f>
      </c>
    </row>
    <row x14ac:dyDescent="0.25" r="814" customHeight="1" ht="15.75">
      <c r="A814" s="45" t="s">
        <v>1907</v>
      </c>
      <c r="B814" s="45" t="s">
        <v>804</v>
      </c>
      <c r="C814" s="45" t="s">
        <v>96</v>
      </c>
      <c r="D814" s="45" t="s">
        <v>36</v>
      </c>
      <c r="E814" s="45" t="s">
        <v>1100</v>
      </c>
      <c r="F814" s="45" t="s">
        <v>10</v>
      </c>
      <c r="G814" s="45" t="s">
        <v>17</v>
      </c>
      <c r="H814" s="53">
        <v>52</v>
      </c>
      <c r="I814" s="54">
        <f>IF(H814:H1813&lt;45, "Adult", IF(H814:H1813&lt;60, "Middle Age", IF(H814:H1813&lt;70, "Old", "Very Old")))</f>
      </c>
      <c r="J814" s="55">
        <v>44099</v>
      </c>
      <c r="K814" s="56">
        <v>163143</v>
      </c>
      <c r="L814" s="54">
        <f>IF(K814:K1813&lt;50000,"0-50",IF(K814:K1813&lt;100001,"51-100",IF(K814:K1813&lt;150001,"101-150",IF(K814:K1813&lt;200001,"151-200",IF(K814:K1813&lt;250001,"201-250","above 250")))))</f>
      </c>
      <c r="M814" s="57">
        <v>0.28</v>
      </c>
      <c r="N814" s="45" t="s">
        <v>9</v>
      </c>
      <c r="O814" s="45" t="s">
        <v>65</v>
      </c>
      <c r="P814" s="51"/>
      <c r="Q814" s="52">
        <f>IF(ISBLANK(P814:P1813), "", DATEDIF(J814:J1813, P814:P1813, "Y"))</f>
      </c>
    </row>
    <row x14ac:dyDescent="0.25" r="815" customHeight="1" ht="15.75">
      <c r="A815" s="45" t="s">
        <v>1908</v>
      </c>
      <c r="B815" s="45" t="s">
        <v>423</v>
      </c>
      <c r="C815" s="45" t="s">
        <v>128</v>
      </c>
      <c r="D815" s="45" t="s">
        <v>24</v>
      </c>
      <c r="E815" s="45" t="s">
        <v>1096</v>
      </c>
      <c r="F815" s="45" t="s">
        <v>7</v>
      </c>
      <c r="G815" s="45" t="s">
        <v>14</v>
      </c>
      <c r="H815" s="53">
        <v>38</v>
      </c>
      <c r="I815" s="54">
        <f>IF(H815:H1814&lt;45, "Adult", IF(H815:H1814&lt;60, "Middle Age", IF(H815:H1814&lt;70, "Old", "Very Old")))</f>
      </c>
      <c r="J815" s="55">
        <v>44036</v>
      </c>
      <c r="K815" s="56">
        <v>89390</v>
      </c>
      <c r="L815" s="54">
        <f>IF(K815:K1814&lt;50000,"0-50",IF(K815:K1814&lt;100001,"51-100",IF(K815:K1814&lt;150001,"101-150",IF(K815:K1814&lt;200001,"151-200",IF(K815:K1814&lt;250001,"201-250","above 250")))))</f>
      </c>
      <c r="M815" s="57">
        <v>0</v>
      </c>
      <c r="N815" s="45" t="s">
        <v>15</v>
      </c>
      <c r="O815" s="45" t="s">
        <v>67</v>
      </c>
      <c r="P815" s="51"/>
      <c r="Q815" s="52">
        <f>IF(ISBLANK(P815:P1814), "", DATEDIF(J815:J1814, P815:P1814, "Y"))</f>
      </c>
    </row>
    <row x14ac:dyDescent="0.25" r="816" customHeight="1" ht="15.75">
      <c r="A816" s="45" t="s">
        <v>1909</v>
      </c>
      <c r="B816" s="45" t="s">
        <v>486</v>
      </c>
      <c r="C816" s="45" t="s">
        <v>114</v>
      </c>
      <c r="D816" s="45" t="s">
        <v>32</v>
      </c>
      <c r="E816" s="45" t="s">
        <v>1094</v>
      </c>
      <c r="F816" s="45" t="s">
        <v>10</v>
      </c>
      <c r="G816" s="45" t="s">
        <v>14</v>
      </c>
      <c r="H816" s="53">
        <v>41</v>
      </c>
      <c r="I816" s="54">
        <f>IF(H816:H1815&lt;45, "Adult", IF(H816:H1815&lt;60, "Middle Age", IF(H816:H1815&lt;70, "Old", "Very Old")))</f>
      </c>
      <c r="J816" s="55">
        <v>43013</v>
      </c>
      <c r="K816" s="56">
        <v>67468</v>
      </c>
      <c r="L816" s="54">
        <f>IF(K816:K1815&lt;50000,"0-50",IF(K816:K1815&lt;100001,"51-100",IF(K816:K1815&lt;150001,"101-150",IF(K816:K1815&lt;200001,"151-200",IF(K816:K1815&lt;250001,"201-250","above 250")))))</f>
      </c>
      <c r="M816" s="57">
        <v>0</v>
      </c>
      <c r="N816" s="45" t="s">
        <v>15</v>
      </c>
      <c r="O816" s="45" t="s">
        <v>59</v>
      </c>
      <c r="P816" s="51"/>
      <c r="Q816" s="52">
        <f>IF(ISBLANK(P816:P1815), "", DATEDIF(J816:J1815, P816:P1815, "Y"))</f>
      </c>
    </row>
    <row x14ac:dyDescent="0.25" r="817" customHeight="1" ht="15.75">
      <c r="A817" s="45" t="s">
        <v>1910</v>
      </c>
      <c r="B817" s="45" t="s">
        <v>731</v>
      </c>
      <c r="C817" s="45" t="s">
        <v>98</v>
      </c>
      <c r="D817" s="45" t="s">
        <v>26</v>
      </c>
      <c r="E817" s="45" t="s">
        <v>1094</v>
      </c>
      <c r="F817" s="45" t="s">
        <v>7</v>
      </c>
      <c r="G817" s="45" t="s">
        <v>17</v>
      </c>
      <c r="H817" s="53">
        <v>49</v>
      </c>
      <c r="I817" s="54">
        <f>IF(H817:H1816&lt;45, "Adult", IF(H817:H1816&lt;60, "Middle Age", IF(H817:H1816&lt;70, "Old", "Very Old")))</f>
      </c>
      <c r="J817" s="55">
        <v>42441</v>
      </c>
      <c r="K817" s="56">
        <v>100810</v>
      </c>
      <c r="L817" s="54">
        <f>IF(K817:K1816&lt;50000,"0-50",IF(K817:K1816&lt;100001,"51-100",IF(K817:K1816&lt;150001,"101-150",IF(K817:K1816&lt;200001,"151-200",IF(K817:K1816&lt;250001,"201-250","above 250")))))</f>
      </c>
      <c r="M817" s="57">
        <v>0.12</v>
      </c>
      <c r="N817" s="45" t="s">
        <v>9</v>
      </c>
      <c r="O817" s="45" t="s">
        <v>63</v>
      </c>
      <c r="P817" s="51"/>
      <c r="Q817" s="52">
        <f>IF(ISBLANK(P817:P1816), "", DATEDIF(J817:J1816, P817:P1816, "Y"))</f>
      </c>
    </row>
    <row x14ac:dyDescent="0.25" r="818" customHeight="1" ht="15.75">
      <c r="A818" s="45" t="s">
        <v>1911</v>
      </c>
      <c r="B818" s="45" t="s">
        <v>348</v>
      </c>
      <c r="C818" s="45" t="s">
        <v>128</v>
      </c>
      <c r="D818" s="45" t="s">
        <v>28</v>
      </c>
      <c r="E818" s="45" t="s">
        <v>1094</v>
      </c>
      <c r="F818" s="45" t="s">
        <v>7</v>
      </c>
      <c r="G818" s="45" t="s">
        <v>8</v>
      </c>
      <c r="H818" s="53">
        <v>35</v>
      </c>
      <c r="I818" s="54">
        <f>IF(H818:H1817&lt;45, "Adult", IF(H818:H1817&lt;60, "Middle Age", IF(H818:H1817&lt;70, "Old", "Very Old")))</f>
      </c>
      <c r="J818" s="55">
        <v>43542</v>
      </c>
      <c r="K818" s="56">
        <v>74779</v>
      </c>
      <c r="L818" s="54">
        <f>IF(K818:K1817&lt;50000,"0-50",IF(K818:K1817&lt;100001,"51-100",IF(K818:K1817&lt;150001,"101-150",IF(K818:K1817&lt;200001,"151-200",IF(K818:K1817&lt;250001,"201-250","above 250")))))</f>
      </c>
      <c r="M818" s="57">
        <v>0</v>
      </c>
      <c r="N818" s="45" t="s">
        <v>15</v>
      </c>
      <c r="O818" s="45" t="s">
        <v>61</v>
      </c>
      <c r="P818" s="51"/>
      <c r="Q818" s="52">
        <f>IF(ISBLANK(P818:P1817), "", DATEDIF(J818:J1817, P818:P1817, "Y"))</f>
      </c>
    </row>
    <row x14ac:dyDescent="0.25" r="819" customHeight="1" ht="15.75">
      <c r="A819" s="45" t="s">
        <v>1912</v>
      </c>
      <c r="B819" s="45" t="s">
        <v>202</v>
      </c>
      <c r="C819" s="45" t="s">
        <v>116</v>
      </c>
      <c r="D819" s="45" t="s">
        <v>32</v>
      </c>
      <c r="E819" s="45" t="s">
        <v>1100</v>
      </c>
      <c r="F819" s="45" t="s">
        <v>7</v>
      </c>
      <c r="G819" s="45" t="s">
        <v>8</v>
      </c>
      <c r="H819" s="53">
        <v>29</v>
      </c>
      <c r="I819" s="54">
        <f>IF(H819:H1818&lt;45, "Adult", IF(H819:H1818&lt;60, "Middle Age", IF(H819:H1818&lt;70, "Old", "Very Old")))</f>
      </c>
      <c r="J819" s="55">
        <v>43048</v>
      </c>
      <c r="K819" s="56">
        <v>63985</v>
      </c>
      <c r="L819" s="54">
        <f>IF(K819:K1818&lt;50000,"0-50",IF(K819:K1818&lt;100001,"51-100",IF(K819:K1818&lt;150001,"101-150",IF(K819:K1818&lt;200001,"151-200",IF(K819:K1818&lt;250001,"201-250","above 250")))))</f>
      </c>
      <c r="M819" s="57">
        <v>0</v>
      </c>
      <c r="N819" s="45" t="s">
        <v>15</v>
      </c>
      <c r="O819" s="45" t="s">
        <v>59</v>
      </c>
      <c r="P819" s="51"/>
      <c r="Q819" s="52">
        <f>IF(ISBLANK(P819:P1818), "", DATEDIF(J819:J1818, P819:P1818, "Y"))</f>
      </c>
    </row>
    <row x14ac:dyDescent="0.25" r="820" customHeight="1" ht="15.75">
      <c r="A820" s="45" t="s">
        <v>1913</v>
      </c>
      <c r="B820" s="45" t="s">
        <v>1066</v>
      </c>
      <c r="C820" s="45" t="s">
        <v>124</v>
      </c>
      <c r="D820" s="45" t="s">
        <v>32</v>
      </c>
      <c r="E820" s="45" t="s">
        <v>1094</v>
      </c>
      <c r="F820" s="45" t="s">
        <v>7</v>
      </c>
      <c r="G820" s="45" t="s">
        <v>14</v>
      </c>
      <c r="H820" s="53">
        <v>64</v>
      </c>
      <c r="I820" s="54">
        <f>IF(H820:H1819&lt;45, "Adult", IF(H820:H1819&lt;60, "Middle Age", IF(H820:H1819&lt;70, "Old", "Very Old")))</f>
      </c>
      <c r="J820" s="55">
        <v>38176</v>
      </c>
      <c r="K820" s="56">
        <v>77903</v>
      </c>
      <c r="L820" s="54">
        <f>IF(K820:K1819&lt;50000,"0-50",IF(K820:K1819&lt;100001,"51-100",IF(K820:K1819&lt;150001,"101-150",IF(K820:K1819&lt;200001,"151-200",IF(K820:K1819&lt;250001,"201-250","above 250")))))</f>
      </c>
      <c r="M820" s="57">
        <v>0</v>
      </c>
      <c r="N820" s="45" t="s">
        <v>15</v>
      </c>
      <c r="O820" s="45" t="s">
        <v>67</v>
      </c>
      <c r="P820" s="51"/>
      <c r="Q820" s="52">
        <f>IF(ISBLANK(P820:P1819), "", DATEDIF(J820:J1819, P820:P1819, "Y"))</f>
      </c>
    </row>
    <row x14ac:dyDescent="0.25" r="821" customHeight="1" ht="15.75">
      <c r="A821" s="45" t="s">
        <v>1914</v>
      </c>
      <c r="B821" s="45" t="s">
        <v>308</v>
      </c>
      <c r="C821" s="45" t="s">
        <v>96</v>
      </c>
      <c r="D821" s="45" t="s">
        <v>34</v>
      </c>
      <c r="E821" s="45" t="s">
        <v>1100</v>
      </c>
      <c r="F821" s="45" t="s">
        <v>10</v>
      </c>
      <c r="G821" s="45" t="s">
        <v>14</v>
      </c>
      <c r="H821" s="53">
        <v>33</v>
      </c>
      <c r="I821" s="54">
        <f>IF(H821:H1820&lt;45, "Adult", IF(H821:H1820&lt;60, "Middle Age", IF(H821:H1820&lt;70, "Old", "Very Old")))</f>
      </c>
      <c r="J821" s="55">
        <v>42898</v>
      </c>
      <c r="K821" s="56">
        <v>164396</v>
      </c>
      <c r="L821" s="54">
        <f>IF(K821:K1820&lt;50000,"0-50",IF(K821:K1820&lt;100001,"51-100",IF(K821:K1820&lt;150001,"101-150",IF(K821:K1820&lt;200001,"151-200",IF(K821:K1820&lt;250001,"201-250","above 250")))))</f>
      </c>
      <c r="M821" s="57">
        <v>0.29</v>
      </c>
      <c r="N821" s="45" t="s">
        <v>15</v>
      </c>
      <c r="O821" s="45" t="s">
        <v>55</v>
      </c>
      <c r="P821" s="51"/>
      <c r="Q821" s="52">
        <f>IF(ISBLANK(P821:P1820), "", DATEDIF(J821:J1820, P821:P1820, "Y"))</f>
      </c>
    </row>
    <row x14ac:dyDescent="0.25" r="822" customHeight="1" ht="15.75">
      <c r="A822" s="45" t="s">
        <v>1915</v>
      </c>
      <c r="B822" s="45" t="s">
        <v>205</v>
      </c>
      <c r="C822" s="45" t="s">
        <v>108</v>
      </c>
      <c r="D822" s="45" t="s">
        <v>32</v>
      </c>
      <c r="E822" s="45" t="s">
        <v>1100</v>
      </c>
      <c r="F822" s="45" t="s">
        <v>10</v>
      </c>
      <c r="G822" s="45" t="s">
        <v>8</v>
      </c>
      <c r="H822" s="53">
        <v>29</v>
      </c>
      <c r="I822" s="54">
        <f>IF(H822:H1821&lt;45, "Adult", IF(H822:H1821&lt;60, "Middle Age", IF(H822:H1821&lt;70, "Old", "Very Old")))</f>
      </c>
      <c r="J822" s="55">
        <v>44375</v>
      </c>
      <c r="K822" s="56">
        <v>71234</v>
      </c>
      <c r="L822" s="54">
        <f>IF(K822:K1821&lt;50000,"0-50",IF(K822:K1821&lt;100001,"51-100",IF(K822:K1821&lt;150001,"101-150",IF(K822:K1821&lt;200001,"151-200",IF(K822:K1821&lt;250001,"201-250","above 250")))))</f>
      </c>
      <c r="M822" s="57">
        <v>0</v>
      </c>
      <c r="N822" s="45" t="s">
        <v>15</v>
      </c>
      <c r="O822" s="45" t="s">
        <v>67</v>
      </c>
      <c r="P822" s="51"/>
      <c r="Q822" s="52">
        <f>IF(ISBLANK(P822:P1821), "", DATEDIF(J822:J1821, P822:P1821, "Y"))</f>
      </c>
    </row>
    <row x14ac:dyDescent="0.25" r="823" customHeight="1" ht="15.75">
      <c r="A823" s="45" t="s">
        <v>1916</v>
      </c>
      <c r="B823" s="45" t="s">
        <v>1042</v>
      </c>
      <c r="C823" s="45" t="s">
        <v>110</v>
      </c>
      <c r="D823" s="45" t="s">
        <v>28</v>
      </c>
      <c r="E823" s="45" t="s">
        <v>1100</v>
      </c>
      <c r="F823" s="45" t="s">
        <v>10</v>
      </c>
      <c r="G823" s="45" t="s">
        <v>8</v>
      </c>
      <c r="H823" s="53">
        <v>63</v>
      </c>
      <c r="I823" s="54">
        <f>IF(H823:H1822&lt;45, "Adult", IF(H823:H1822&lt;60, "Middle Age", IF(H823:H1822&lt;70, "Old", "Very Old")))</f>
      </c>
      <c r="J823" s="55">
        <v>38096</v>
      </c>
      <c r="K823" s="56">
        <v>122487</v>
      </c>
      <c r="L823" s="54">
        <f>IF(K823:K1822&lt;50000,"0-50",IF(K823:K1822&lt;100001,"51-100",IF(K823:K1822&lt;150001,"101-150",IF(K823:K1822&lt;200001,"151-200",IF(K823:K1822&lt;250001,"201-250","above 250")))))</f>
      </c>
      <c r="M823" s="57">
        <v>0.08</v>
      </c>
      <c r="N823" s="45" t="s">
        <v>12</v>
      </c>
      <c r="O823" s="45" t="s">
        <v>69</v>
      </c>
      <c r="P823" s="51"/>
      <c r="Q823" s="52">
        <f>IF(ISBLANK(P823:P1822), "", DATEDIF(J823:J1822, P823:P1822, "Y"))</f>
      </c>
    </row>
    <row x14ac:dyDescent="0.25" r="824" customHeight="1" ht="15.75">
      <c r="A824" s="45" t="s">
        <v>1917</v>
      </c>
      <c r="B824" s="45" t="s">
        <v>277</v>
      </c>
      <c r="C824" s="45" t="s">
        <v>110</v>
      </c>
      <c r="D824" s="45" t="s">
        <v>30</v>
      </c>
      <c r="E824" s="45" t="s">
        <v>1096</v>
      </c>
      <c r="F824" s="45" t="s">
        <v>7</v>
      </c>
      <c r="G824" s="45" t="s">
        <v>8</v>
      </c>
      <c r="H824" s="53">
        <v>32</v>
      </c>
      <c r="I824" s="54">
        <f>IF(H824:H1823&lt;45, "Adult", IF(H824:H1823&lt;60, "Middle Age", IF(H824:H1823&lt;70, "Old", "Very Old")))</f>
      </c>
      <c r="J824" s="55">
        <v>42738</v>
      </c>
      <c r="K824" s="56">
        <v>101870</v>
      </c>
      <c r="L824" s="54">
        <f>IF(K824:K1823&lt;50000,"0-50",IF(K824:K1823&lt;100001,"51-100",IF(K824:K1823&lt;150001,"101-150",IF(K824:K1823&lt;200001,"151-200",IF(K824:K1823&lt;250001,"201-250","above 250")))))</f>
      </c>
      <c r="M824" s="57">
        <v>0.1</v>
      </c>
      <c r="N824" s="45" t="s">
        <v>15</v>
      </c>
      <c r="O824" s="45" t="s">
        <v>61</v>
      </c>
      <c r="P824" s="51"/>
      <c r="Q824" s="52">
        <f>IF(ISBLANK(P824:P1823), "", DATEDIF(J824:J1823, P824:P1823, "Y"))</f>
      </c>
    </row>
    <row x14ac:dyDescent="0.25" r="825" customHeight="1" ht="15.75">
      <c r="A825" s="45" t="s">
        <v>1918</v>
      </c>
      <c r="B825" s="45" t="s">
        <v>1068</v>
      </c>
      <c r="C825" s="45" t="s">
        <v>136</v>
      </c>
      <c r="D825" s="45" t="s">
        <v>32</v>
      </c>
      <c r="E825" s="45" t="s">
        <v>1092</v>
      </c>
      <c r="F825" s="45" t="s">
        <v>10</v>
      </c>
      <c r="G825" s="45" t="s">
        <v>17</v>
      </c>
      <c r="H825" s="53">
        <v>64</v>
      </c>
      <c r="I825" s="54">
        <f>IF(H825:H1824&lt;45, "Adult", IF(H825:H1824&lt;60, "Middle Age", IF(H825:H1824&lt;70, "Old", "Very Old")))</f>
      </c>
      <c r="J825" s="55">
        <v>44009</v>
      </c>
      <c r="K825" s="56">
        <v>40316</v>
      </c>
      <c r="L825" s="54">
        <f>IF(K825:K1824&lt;50000,"0-50",IF(K825:K1824&lt;100001,"51-100",IF(K825:K1824&lt;150001,"101-150",IF(K825:K1824&lt;200001,"151-200",IF(K825:K1824&lt;250001,"201-250","above 250")))))</f>
      </c>
      <c r="M825" s="57">
        <v>0</v>
      </c>
      <c r="N825" s="45" t="s">
        <v>9</v>
      </c>
      <c r="O825" s="45" t="s">
        <v>57</v>
      </c>
      <c r="P825" s="51"/>
      <c r="Q825" s="52">
        <f>IF(ISBLANK(P825:P1824), "", DATEDIF(J825:J1824, P825:P1824, "Y"))</f>
      </c>
    </row>
    <row x14ac:dyDescent="0.25" r="826" customHeight="1" ht="15.75">
      <c r="A826" s="45" t="s">
        <v>1919</v>
      </c>
      <c r="B826" s="45" t="s">
        <v>902</v>
      </c>
      <c r="C826" s="45" t="s">
        <v>110</v>
      </c>
      <c r="D826" s="45" t="s">
        <v>32</v>
      </c>
      <c r="E826" s="45" t="s">
        <v>1092</v>
      </c>
      <c r="F826" s="45" t="s">
        <v>7</v>
      </c>
      <c r="G826" s="45" t="s">
        <v>8</v>
      </c>
      <c r="H826" s="53">
        <v>55</v>
      </c>
      <c r="I826" s="54">
        <f>IF(H826:H1825&lt;45, "Adult", IF(H826:H1825&lt;60, "Middle Age", IF(H826:H1825&lt;70, "Old", "Very Old")))</f>
      </c>
      <c r="J826" s="55">
        <v>38391</v>
      </c>
      <c r="K826" s="56">
        <v>115145</v>
      </c>
      <c r="L826" s="54">
        <f>IF(K826:K1825&lt;50000,"0-50",IF(K826:K1825&lt;100001,"51-100",IF(K826:K1825&lt;150001,"101-150",IF(K826:K1825&lt;200001,"151-200",IF(K826:K1825&lt;250001,"201-250","above 250")))))</f>
      </c>
      <c r="M826" s="57">
        <v>0.05</v>
      </c>
      <c r="N826" s="45" t="s">
        <v>12</v>
      </c>
      <c r="O826" s="45" t="s">
        <v>53</v>
      </c>
      <c r="P826" s="51"/>
      <c r="Q826" s="52">
        <f>IF(ISBLANK(P826:P1825), "", DATEDIF(J826:J1825, P826:P1825, "Y"))</f>
      </c>
    </row>
    <row x14ac:dyDescent="0.25" r="827" customHeight="1" ht="15.75">
      <c r="A827" s="45" t="s">
        <v>1920</v>
      </c>
      <c r="B827" s="45" t="s">
        <v>538</v>
      </c>
      <c r="C827" s="45" t="s">
        <v>88</v>
      </c>
      <c r="D827" s="45" t="s">
        <v>32</v>
      </c>
      <c r="E827" s="45" t="s">
        <v>1094</v>
      </c>
      <c r="F827" s="45" t="s">
        <v>7</v>
      </c>
      <c r="G827" s="45" t="s">
        <v>17</v>
      </c>
      <c r="H827" s="53">
        <v>43</v>
      </c>
      <c r="I827" s="54">
        <f>IF(H827:H1826&lt;45, "Adult", IF(H827:H1826&lt;60, "Middle Age", IF(H827:H1826&lt;70, "Old", "Very Old")))</f>
      </c>
      <c r="J827" s="55">
        <v>39885</v>
      </c>
      <c r="K827" s="56">
        <v>62335</v>
      </c>
      <c r="L827" s="54">
        <f>IF(K827:K1826&lt;50000,"0-50",IF(K827:K1826&lt;100001,"51-100",IF(K827:K1826&lt;150001,"101-150",IF(K827:K1826&lt;200001,"151-200",IF(K827:K1826&lt;250001,"201-250","above 250")))))</f>
      </c>
      <c r="M827" s="57">
        <v>0</v>
      </c>
      <c r="N827" s="45" t="s">
        <v>9</v>
      </c>
      <c r="O827" s="45" t="s">
        <v>57</v>
      </c>
      <c r="P827" s="51"/>
      <c r="Q827" s="52">
        <f>IF(ISBLANK(P827:P1826), "", DATEDIF(J827:J1826, P827:P1826, "Y"))</f>
      </c>
    </row>
    <row x14ac:dyDescent="0.25" r="828" customHeight="1" ht="15.75">
      <c r="A828" s="45" t="s">
        <v>1921</v>
      </c>
      <c r="B828" s="45" t="s">
        <v>918</v>
      </c>
      <c r="C828" s="45" t="s">
        <v>80</v>
      </c>
      <c r="D828" s="45" t="s">
        <v>28</v>
      </c>
      <c r="E828" s="45" t="s">
        <v>1094</v>
      </c>
      <c r="F828" s="45" t="s">
        <v>10</v>
      </c>
      <c r="G828" s="45" t="s">
        <v>8</v>
      </c>
      <c r="H828" s="53">
        <v>56</v>
      </c>
      <c r="I828" s="54">
        <f>IF(H828:H1827&lt;45, "Adult", IF(H828:H1827&lt;60, "Middle Age", IF(H828:H1827&lt;70, "Old", "Very Old")))</f>
      </c>
      <c r="J828" s="55">
        <v>38847</v>
      </c>
      <c r="K828" s="56">
        <v>41561</v>
      </c>
      <c r="L828" s="54">
        <f>IF(K828:K1827&lt;50000,"0-50",IF(K828:K1827&lt;100001,"51-100",IF(K828:K1827&lt;150001,"101-150",IF(K828:K1827&lt;200001,"151-200",IF(K828:K1827&lt;250001,"201-250","above 250")))))</f>
      </c>
      <c r="M828" s="57">
        <v>0</v>
      </c>
      <c r="N828" s="45" t="s">
        <v>15</v>
      </c>
      <c r="O828" s="45" t="s">
        <v>42</v>
      </c>
      <c r="P828" s="51"/>
      <c r="Q828" s="52">
        <f>IF(ISBLANK(P828:P1827), "", DATEDIF(J828:J1827, P828:P1827, "Y"))</f>
      </c>
    </row>
    <row x14ac:dyDescent="0.25" r="829" customHeight="1" ht="15.75">
      <c r="A829" s="45" t="s">
        <v>1922</v>
      </c>
      <c r="B829" s="45" t="s">
        <v>406</v>
      </c>
      <c r="C829" s="45" t="s">
        <v>132</v>
      </c>
      <c r="D829" s="45" t="s">
        <v>28</v>
      </c>
      <c r="E829" s="45" t="s">
        <v>1096</v>
      </c>
      <c r="F829" s="45" t="s">
        <v>7</v>
      </c>
      <c r="G829" s="45" t="s">
        <v>8</v>
      </c>
      <c r="H829" s="53">
        <v>37</v>
      </c>
      <c r="I829" s="54">
        <f>IF(H829:H1828&lt;45, "Adult", IF(H829:H1828&lt;60, "Middle Age", IF(H829:H1828&lt;70, "Old", "Very Old")))</f>
      </c>
      <c r="J829" s="55">
        <v>40657</v>
      </c>
      <c r="K829" s="56">
        <v>131183</v>
      </c>
      <c r="L829" s="54">
        <f>IF(K829:K1828&lt;50000,"0-50",IF(K829:K1828&lt;100001,"51-100",IF(K829:K1828&lt;150001,"101-150",IF(K829:K1828&lt;200001,"151-200",IF(K829:K1828&lt;250001,"201-250","above 250")))))</f>
      </c>
      <c r="M829" s="57">
        <v>0.14</v>
      </c>
      <c r="N829" s="45" t="s">
        <v>12</v>
      </c>
      <c r="O829" s="45" t="s">
        <v>69</v>
      </c>
      <c r="P829" s="58">
        <v>42445</v>
      </c>
      <c r="Q829" s="53">
        <f>IF(ISBLANK(P829:P1828), "", DATEDIF(J829:J1828, P829:P1828, "Y"))</f>
      </c>
    </row>
    <row x14ac:dyDescent="0.25" r="830" customHeight="1" ht="15.75">
      <c r="A830" s="45" t="s">
        <v>1923</v>
      </c>
      <c r="B830" s="45" t="s">
        <v>615</v>
      </c>
      <c r="C830" s="45" t="s">
        <v>138</v>
      </c>
      <c r="D830" s="45" t="s">
        <v>32</v>
      </c>
      <c r="E830" s="45" t="s">
        <v>1094</v>
      </c>
      <c r="F830" s="45" t="s">
        <v>7</v>
      </c>
      <c r="G830" s="45" t="s">
        <v>8</v>
      </c>
      <c r="H830" s="53">
        <v>45</v>
      </c>
      <c r="I830" s="54">
        <f>IF(H830:H1829&lt;45, "Adult", IF(H830:H1829&lt;60, "Middle Age", IF(H830:H1829&lt;70, "Old", "Very Old")))</f>
      </c>
      <c r="J830" s="55">
        <v>37445</v>
      </c>
      <c r="K830" s="56">
        <v>92655</v>
      </c>
      <c r="L830" s="54">
        <f>IF(K830:K1829&lt;50000,"0-50",IF(K830:K1829&lt;100001,"51-100",IF(K830:K1829&lt;150001,"101-150",IF(K830:K1829&lt;200001,"151-200",IF(K830:K1829&lt;250001,"201-250","above 250")))))</f>
      </c>
      <c r="M830" s="57">
        <v>0</v>
      </c>
      <c r="N830" s="45" t="s">
        <v>12</v>
      </c>
      <c r="O830" s="45" t="s">
        <v>49</v>
      </c>
      <c r="P830" s="51"/>
      <c r="Q830" s="52">
        <f>IF(ISBLANK(P830:P1829), "", DATEDIF(J830:J1829, P830:P1829, "Y"))</f>
      </c>
    </row>
    <row x14ac:dyDescent="0.25" r="831" customHeight="1" ht="15.75">
      <c r="A831" s="45" t="s">
        <v>1924</v>
      </c>
      <c r="B831" s="45" t="s">
        <v>733</v>
      </c>
      <c r="C831" s="45" t="s">
        <v>132</v>
      </c>
      <c r="D831" s="45" t="s">
        <v>36</v>
      </c>
      <c r="E831" s="45" t="s">
        <v>1094</v>
      </c>
      <c r="F831" s="45" t="s">
        <v>7</v>
      </c>
      <c r="G831" s="45" t="s">
        <v>17</v>
      </c>
      <c r="H831" s="53">
        <v>49</v>
      </c>
      <c r="I831" s="54">
        <f>IF(H831:H1830&lt;45, "Adult", IF(H831:H1830&lt;60, "Middle Age", IF(H831:H1830&lt;70, "Old", "Very Old")))</f>
      </c>
      <c r="J831" s="55">
        <v>35157</v>
      </c>
      <c r="K831" s="56">
        <v>157057</v>
      </c>
      <c r="L831" s="54">
        <f>IF(K831:K1830&lt;50000,"0-50",IF(K831:K1830&lt;100001,"51-100",IF(K831:K1830&lt;150001,"101-150",IF(K831:K1830&lt;200001,"151-200",IF(K831:K1830&lt;250001,"201-250","above 250")))))</f>
      </c>
      <c r="M831" s="57">
        <v>0.12</v>
      </c>
      <c r="N831" s="45" t="s">
        <v>15</v>
      </c>
      <c r="O831" s="45" t="s">
        <v>59</v>
      </c>
      <c r="P831" s="51"/>
      <c r="Q831" s="52">
        <f>IF(ISBLANK(P831:P1830), "", DATEDIF(J831:J1830, P831:P1830, "Y"))</f>
      </c>
    </row>
    <row x14ac:dyDescent="0.25" r="832" customHeight="1" ht="15.75">
      <c r="A832" s="45" t="s">
        <v>1925</v>
      </c>
      <c r="B832" s="45" t="s">
        <v>1012</v>
      </c>
      <c r="C832" s="45" t="s">
        <v>100</v>
      </c>
      <c r="D832" s="45" t="s">
        <v>32</v>
      </c>
      <c r="E832" s="45" t="s">
        <v>1096</v>
      </c>
      <c r="F832" s="45" t="s">
        <v>7</v>
      </c>
      <c r="G832" s="45" t="s">
        <v>14</v>
      </c>
      <c r="H832" s="53">
        <v>61</v>
      </c>
      <c r="I832" s="54">
        <f>IF(H832:H1831&lt;45, "Adult", IF(H832:H1831&lt;60, "Middle Age", IF(H832:H1831&lt;70, "Old", "Very Old")))</f>
      </c>
      <c r="J832" s="55">
        <v>38392</v>
      </c>
      <c r="K832" s="56">
        <v>64462</v>
      </c>
      <c r="L832" s="54">
        <f>IF(K832:K1831&lt;50000,"0-50",IF(K832:K1831&lt;100001,"51-100",IF(K832:K1831&lt;150001,"101-150",IF(K832:K1831&lt;200001,"151-200",IF(K832:K1831&lt;250001,"201-250","above 250")))))</f>
      </c>
      <c r="M832" s="57">
        <v>0</v>
      </c>
      <c r="N832" s="45" t="s">
        <v>15</v>
      </c>
      <c r="O832" s="45" t="s">
        <v>51</v>
      </c>
      <c r="P832" s="51"/>
      <c r="Q832" s="52">
        <f>IF(ISBLANK(P832:P1831), "", DATEDIF(J832:J1831, P832:P1831, "Y"))</f>
      </c>
    </row>
    <row x14ac:dyDescent="0.25" r="833" customHeight="1" ht="15.75">
      <c r="A833" s="45" t="s">
        <v>1926</v>
      </c>
      <c r="B833" s="45" t="s">
        <v>489</v>
      </c>
      <c r="C833" s="45" t="s">
        <v>120</v>
      </c>
      <c r="D833" s="45" t="s">
        <v>26</v>
      </c>
      <c r="E833" s="45" t="s">
        <v>1100</v>
      </c>
      <c r="F833" s="45" t="s">
        <v>7</v>
      </c>
      <c r="G833" s="45" t="s">
        <v>14</v>
      </c>
      <c r="H833" s="53">
        <v>41</v>
      </c>
      <c r="I833" s="54">
        <f>IF(H833:H1832&lt;45, "Adult", IF(H833:H1832&lt;60, "Middle Age", IF(H833:H1832&lt;70, "Old", "Very Old")))</f>
      </c>
      <c r="J833" s="55">
        <v>38632</v>
      </c>
      <c r="K833" s="56">
        <v>79352</v>
      </c>
      <c r="L833" s="54">
        <f>IF(K833:K1832&lt;50000,"0-50",IF(K833:K1832&lt;100001,"51-100",IF(K833:K1832&lt;150001,"101-150",IF(K833:K1832&lt;200001,"151-200",IF(K833:K1832&lt;250001,"201-250","above 250")))))</f>
      </c>
      <c r="M833" s="57">
        <v>0</v>
      </c>
      <c r="N833" s="45" t="s">
        <v>15</v>
      </c>
      <c r="O833" s="45" t="s">
        <v>67</v>
      </c>
      <c r="P833" s="51"/>
      <c r="Q833" s="52">
        <f>IF(ISBLANK(P833:P1832), "", DATEDIF(J833:J1832, P833:P1832, "Y"))</f>
      </c>
    </row>
    <row x14ac:dyDescent="0.25" r="834" customHeight="1" ht="15.75">
      <c r="A834" s="45" t="s">
        <v>1927</v>
      </c>
      <c r="B834" s="45" t="s">
        <v>897</v>
      </c>
      <c r="C834" s="45" t="s">
        <v>132</v>
      </c>
      <c r="D834" s="45" t="s">
        <v>34</v>
      </c>
      <c r="E834" s="45" t="s">
        <v>1096</v>
      </c>
      <c r="F834" s="45" t="s">
        <v>7</v>
      </c>
      <c r="G834" s="45" t="s">
        <v>14</v>
      </c>
      <c r="H834" s="53">
        <v>55</v>
      </c>
      <c r="I834" s="54">
        <f>IF(H834:H1833&lt;45, "Adult", IF(H834:H1833&lt;60, "Middle Age", IF(H834:H1833&lt;70, "Old", "Very Old")))</f>
      </c>
      <c r="J834" s="55">
        <v>36977</v>
      </c>
      <c r="K834" s="56">
        <v>157812</v>
      </c>
      <c r="L834" s="54">
        <f>IF(K834:K1833&lt;50000,"0-50",IF(K834:K1833&lt;100001,"51-100",IF(K834:K1833&lt;150001,"101-150",IF(K834:K1833&lt;200001,"151-200",IF(K834:K1833&lt;250001,"201-250","above 250")))))</f>
      </c>
      <c r="M834" s="57">
        <v>0.11</v>
      </c>
      <c r="N834" s="45" t="s">
        <v>15</v>
      </c>
      <c r="O834" s="45" t="s">
        <v>59</v>
      </c>
      <c r="P834" s="51"/>
      <c r="Q834" s="52">
        <f>IF(ISBLANK(P834:P1833), "", DATEDIF(J834:J1833, P834:P1833, "Y"))</f>
      </c>
    </row>
    <row x14ac:dyDescent="0.25" r="835" customHeight="1" ht="15.75">
      <c r="A835" s="45" t="s">
        <v>1928</v>
      </c>
      <c r="B835" s="45" t="s">
        <v>148</v>
      </c>
      <c r="C835" s="45" t="s">
        <v>120</v>
      </c>
      <c r="D835" s="45" t="s">
        <v>26</v>
      </c>
      <c r="E835" s="45" t="s">
        <v>1100</v>
      </c>
      <c r="F835" s="45" t="s">
        <v>10</v>
      </c>
      <c r="G835" s="45" t="s">
        <v>14</v>
      </c>
      <c r="H835" s="53">
        <v>27</v>
      </c>
      <c r="I835" s="54">
        <f>IF(H835:H1834&lt;45, "Adult", IF(H835:H1834&lt;60, "Middle Age", IF(H835:H1834&lt;70, "Old", "Very Old")))</f>
      </c>
      <c r="J835" s="55">
        <v>43354</v>
      </c>
      <c r="K835" s="56">
        <v>80745</v>
      </c>
      <c r="L835" s="54">
        <f>IF(K835:K1834&lt;50000,"0-50",IF(K835:K1834&lt;100001,"51-100",IF(K835:K1834&lt;150001,"101-150",IF(K835:K1834&lt;200001,"151-200",IF(K835:K1834&lt;250001,"201-250","above 250")))))</f>
      </c>
      <c r="M835" s="57">
        <v>0</v>
      </c>
      <c r="N835" s="45" t="s">
        <v>15</v>
      </c>
      <c r="O835" s="45" t="s">
        <v>51</v>
      </c>
      <c r="P835" s="51"/>
      <c r="Q835" s="52">
        <f>IF(ISBLANK(P835:P1834), "", DATEDIF(J835:J1834, P835:P1834, "Y"))</f>
      </c>
    </row>
    <row x14ac:dyDescent="0.25" r="836" customHeight="1" ht="15.75">
      <c r="A836" s="45" t="s">
        <v>1929</v>
      </c>
      <c r="B836" s="45" t="s">
        <v>937</v>
      </c>
      <c r="C836" s="45" t="s">
        <v>134</v>
      </c>
      <c r="D836" s="45" t="s">
        <v>32</v>
      </c>
      <c r="E836" s="45" t="s">
        <v>1094</v>
      </c>
      <c r="F836" s="45" t="s">
        <v>7</v>
      </c>
      <c r="G836" s="45" t="s">
        <v>14</v>
      </c>
      <c r="H836" s="53">
        <v>57</v>
      </c>
      <c r="I836" s="54">
        <f>IF(H836:H1835&lt;45, "Adult", IF(H836:H1835&lt;60, "Middle Age", IF(H836:H1835&lt;70, "Old", "Very Old")))</f>
      </c>
      <c r="J836" s="55">
        <v>35113</v>
      </c>
      <c r="K836" s="56">
        <v>75354</v>
      </c>
      <c r="L836" s="54">
        <f>IF(K836:K1835&lt;50000,"0-50",IF(K836:K1835&lt;100001,"51-100",IF(K836:K1835&lt;150001,"101-150",IF(K836:K1835&lt;200001,"151-200",IF(K836:K1835&lt;250001,"201-250","above 250")))))</f>
      </c>
      <c r="M836" s="57">
        <v>0</v>
      </c>
      <c r="N836" s="45" t="s">
        <v>15</v>
      </c>
      <c r="O836" s="45" t="s">
        <v>42</v>
      </c>
      <c r="P836" s="58">
        <v>35413</v>
      </c>
      <c r="Q836" s="53">
        <f>IF(ISBLANK(P836:P1835), "", DATEDIF(J836:J1835, P836:P1835, "Y"))</f>
      </c>
    </row>
    <row x14ac:dyDescent="0.25" r="837" customHeight="1" ht="15.75">
      <c r="A837" s="45" t="s">
        <v>1930</v>
      </c>
      <c r="B837" s="45" t="s">
        <v>916</v>
      </c>
      <c r="C837" s="45" t="s">
        <v>98</v>
      </c>
      <c r="D837" s="45" t="s">
        <v>26</v>
      </c>
      <c r="E837" s="45" t="s">
        <v>1092</v>
      </c>
      <c r="F837" s="45" t="s">
        <v>10</v>
      </c>
      <c r="G837" s="45" t="s">
        <v>17</v>
      </c>
      <c r="H837" s="53">
        <v>56</v>
      </c>
      <c r="I837" s="54">
        <f>IF(H837:H1836&lt;45, "Adult", IF(H837:H1836&lt;60, "Middle Age", IF(H837:H1836&lt;70, "Old", "Very Old")))</f>
      </c>
      <c r="J837" s="55">
        <v>43363</v>
      </c>
      <c r="K837" s="56">
        <v>78938</v>
      </c>
      <c r="L837" s="54">
        <f>IF(K837:K1836&lt;50000,"0-50",IF(K837:K1836&lt;100001,"51-100",IF(K837:K1836&lt;150001,"101-150",IF(K837:K1836&lt;200001,"151-200",IF(K837:K1836&lt;250001,"201-250","above 250")))))</f>
      </c>
      <c r="M837" s="57">
        <v>0.14</v>
      </c>
      <c r="N837" s="45" t="s">
        <v>15</v>
      </c>
      <c r="O837" s="45" t="s">
        <v>61</v>
      </c>
      <c r="P837" s="51"/>
      <c r="Q837" s="52">
        <f>IF(ISBLANK(P837:P1836), "", DATEDIF(J837:J1836, P837:P1836, "Y"))</f>
      </c>
    </row>
    <row x14ac:dyDescent="0.25" r="838" customHeight="1" ht="15.75">
      <c r="A838" s="45" t="s">
        <v>1931</v>
      </c>
      <c r="B838" s="45" t="s">
        <v>968</v>
      </c>
      <c r="C838" s="45" t="s">
        <v>118</v>
      </c>
      <c r="D838" s="45" t="s">
        <v>26</v>
      </c>
      <c r="E838" s="45" t="s">
        <v>1100</v>
      </c>
      <c r="F838" s="45" t="s">
        <v>10</v>
      </c>
      <c r="G838" s="45" t="s">
        <v>17</v>
      </c>
      <c r="H838" s="53">
        <v>59</v>
      </c>
      <c r="I838" s="54">
        <f>IF(H838:H1837&lt;45, "Adult", IF(H838:H1837&lt;60, "Middle Age", IF(H838:H1837&lt;70, "Old", "Very Old")))</f>
      </c>
      <c r="J838" s="55">
        <v>39701</v>
      </c>
      <c r="K838" s="56">
        <v>96313</v>
      </c>
      <c r="L838" s="54">
        <f>IF(K838:K1837&lt;50000,"0-50",IF(K838:K1837&lt;100001,"51-100",IF(K838:K1837&lt;150001,"101-150",IF(K838:K1837&lt;200001,"151-200",IF(K838:K1837&lt;250001,"201-250","above 250")))))</f>
      </c>
      <c r="M838" s="57">
        <v>0</v>
      </c>
      <c r="N838" s="45" t="s">
        <v>15</v>
      </c>
      <c r="O838" s="45" t="s">
        <v>42</v>
      </c>
      <c r="P838" s="51"/>
      <c r="Q838" s="52">
        <f>IF(ISBLANK(P838:P1837), "", DATEDIF(J838:J1837, P838:P1837, "Y"))</f>
      </c>
    </row>
    <row x14ac:dyDescent="0.25" r="839" customHeight="1" ht="15.75">
      <c r="A839" s="45" t="s">
        <v>1932</v>
      </c>
      <c r="B839" s="45" t="s">
        <v>623</v>
      </c>
      <c r="C839" s="45" t="s">
        <v>96</v>
      </c>
      <c r="D839" s="45" t="s">
        <v>26</v>
      </c>
      <c r="E839" s="45" t="s">
        <v>1096</v>
      </c>
      <c r="F839" s="45" t="s">
        <v>10</v>
      </c>
      <c r="G839" s="45" t="s">
        <v>14</v>
      </c>
      <c r="H839" s="53">
        <v>45</v>
      </c>
      <c r="I839" s="54">
        <f>IF(H839:H1838&lt;45, "Adult", IF(H839:H1838&lt;60, "Middle Age", IF(H839:H1838&lt;70, "Old", "Very Old")))</f>
      </c>
      <c r="J839" s="55">
        <v>40511</v>
      </c>
      <c r="K839" s="56">
        <v>153767</v>
      </c>
      <c r="L839" s="54">
        <f>IF(K839:K1838&lt;50000,"0-50",IF(K839:K1838&lt;100001,"51-100",IF(K839:K1838&lt;150001,"101-150",IF(K839:K1838&lt;200001,"151-200",IF(K839:K1838&lt;250001,"201-250","above 250")))))</f>
      </c>
      <c r="M839" s="57">
        <v>0.27</v>
      </c>
      <c r="N839" s="45" t="s">
        <v>15</v>
      </c>
      <c r="O839" s="45" t="s">
        <v>61</v>
      </c>
      <c r="P839" s="51"/>
      <c r="Q839" s="52">
        <f>IF(ISBLANK(P839:P1838), "", DATEDIF(J839:J1838, P839:P1838, "Y"))</f>
      </c>
    </row>
    <row x14ac:dyDescent="0.25" r="840" customHeight="1" ht="15.75">
      <c r="A840" s="45" t="s">
        <v>1933</v>
      </c>
      <c r="B840" s="45" t="s">
        <v>520</v>
      </c>
      <c r="C840" s="45" t="s">
        <v>110</v>
      </c>
      <c r="D840" s="45" t="s">
        <v>34</v>
      </c>
      <c r="E840" s="45" t="s">
        <v>1092</v>
      </c>
      <c r="F840" s="45" t="s">
        <v>7</v>
      </c>
      <c r="G840" s="45" t="s">
        <v>11</v>
      </c>
      <c r="H840" s="53">
        <v>42</v>
      </c>
      <c r="I840" s="54">
        <f>IF(H840:H1839&lt;45, "Adult", IF(H840:H1839&lt;60, "Middle Age", IF(H840:H1839&lt;70, "Old", "Very Old")))</f>
      </c>
      <c r="J840" s="55">
        <v>42266</v>
      </c>
      <c r="K840" s="56">
        <v>103423</v>
      </c>
      <c r="L840" s="54">
        <f>IF(K840:K1839&lt;50000,"0-50",IF(K840:K1839&lt;100001,"51-100",IF(K840:K1839&lt;150001,"101-150",IF(K840:K1839&lt;200001,"151-200",IF(K840:K1839&lt;250001,"201-250","above 250")))))</f>
      </c>
      <c r="M840" s="57">
        <v>0.06</v>
      </c>
      <c r="N840" s="45" t="s">
        <v>15</v>
      </c>
      <c r="O840" s="45" t="s">
        <v>55</v>
      </c>
      <c r="P840" s="51"/>
      <c r="Q840" s="52">
        <f>IF(ISBLANK(P840:P1839), "", DATEDIF(J840:J1839, P840:P1839, "Y"))</f>
      </c>
    </row>
    <row x14ac:dyDescent="0.25" r="841" customHeight="1" ht="15.75">
      <c r="A841" s="45" t="s">
        <v>1934</v>
      </c>
      <c r="B841" s="45" t="s">
        <v>64</v>
      </c>
      <c r="C841" s="45" t="s">
        <v>92</v>
      </c>
      <c r="D841" s="45" t="s">
        <v>26</v>
      </c>
      <c r="E841" s="45" t="s">
        <v>1100</v>
      </c>
      <c r="F841" s="45" t="s">
        <v>7</v>
      </c>
      <c r="G841" s="45" t="s">
        <v>8</v>
      </c>
      <c r="H841" s="53">
        <v>25</v>
      </c>
      <c r="I841" s="54">
        <f>IF(H841:H1840&lt;45, "Adult", IF(H841:H1840&lt;60, "Middle Age", IF(H841:H1840&lt;70, "Old", "Very Old")))</f>
      </c>
      <c r="J841" s="55">
        <v>44370</v>
      </c>
      <c r="K841" s="56">
        <v>86464</v>
      </c>
      <c r="L841" s="54">
        <f>IF(K841:K1840&lt;50000,"0-50",IF(K841:K1840&lt;100001,"51-100",IF(K841:K1840&lt;150001,"101-150",IF(K841:K1840&lt;200001,"151-200",IF(K841:K1840&lt;250001,"201-250","above 250")))))</f>
      </c>
      <c r="M841" s="57">
        <v>0</v>
      </c>
      <c r="N841" s="45" t="s">
        <v>12</v>
      </c>
      <c r="O841" s="45" t="s">
        <v>69</v>
      </c>
      <c r="P841" s="51"/>
      <c r="Q841" s="52">
        <f>IF(ISBLANK(P841:P1840), "", DATEDIF(J841:J1840, P841:P1840, "Y"))</f>
      </c>
    </row>
    <row x14ac:dyDescent="0.25" r="842" customHeight="1" ht="15.75">
      <c r="A842" s="45" t="s">
        <v>1935</v>
      </c>
      <c r="B842" s="45" t="s">
        <v>201</v>
      </c>
      <c r="C842" s="45" t="s">
        <v>92</v>
      </c>
      <c r="D842" s="45" t="s">
        <v>26</v>
      </c>
      <c r="E842" s="45" t="s">
        <v>1100</v>
      </c>
      <c r="F842" s="45" t="s">
        <v>7</v>
      </c>
      <c r="G842" s="45" t="s">
        <v>17</v>
      </c>
      <c r="H842" s="53">
        <v>29</v>
      </c>
      <c r="I842" s="54">
        <f>IF(H842:H1841&lt;45, "Adult", IF(H842:H1841&lt;60, "Middle Age", IF(H842:H1841&lt;70, "Old", "Very Old")))</f>
      </c>
      <c r="J842" s="55">
        <v>43114</v>
      </c>
      <c r="K842" s="56">
        <v>80516</v>
      </c>
      <c r="L842" s="54">
        <f>IF(K842:K1841&lt;50000,"0-50",IF(K842:K1841&lt;100001,"51-100",IF(K842:K1841&lt;150001,"101-150",IF(K842:K1841&lt;200001,"151-200",IF(K842:K1841&lt;250001,"201-250","above 250")))))</f>
      </c>
      <c r="M842" s="57">
        <v>0</v>
      </c>
      <c r="N842" s="45" t="s">
        <v>9</v>
      </c>
      <c r="O842" s="45" t="s">
        <v>65</v>
      </c>
      <c r="P842" s="51"/>
      <c r="Q842" s="52">
        <f>IF(ISBLANK(P842:P1841), "", DATEDIF(J842:J1841, P842:P1841, "Y"))</f>
      </c>
    </row>
    <row x14ac:dyDescent="0.25" r="843" customHeight="1" ht="15.75">
      <c r="A843" s="45" t="s">
        <v>1936</v>
      </c>
      <c r="B843" s="45" t="s">
        <v>303</v>
      </c>
      <c r="C843" s="45" t="s">
        <v>110</v>
      </c>
      <c r="D843" s="45" t="s">
        <v>30</v>
      </c>
      <c r="E843" s="45" t="s">
        <v>1096</v>
      </c>
      <c r="F843" s="45" t="s">
        <v>7</v>
      </c>
      <c r="G843" s="45" t="s">
        <v>11</v>
      </c>
      <c r="H843" s="53">
        <v>33</v>
      </c>
      <c r="I843" s="54">
        <f>IF(H843:H1842&lt;45, "Adult", IF(H843:H1842&lt;60, "Middle Age", IF(H843:H1842&lt;70, "Old", "Very Old")))</f>
      </c>
      <c r="J843" s="55">
        <v>41507</v>
      </c>
      <c r="K843" s="56">
        <v>105390</v>
      </c>
      <c r="L843" s="54">
        <f>IF(K843:K1842&lt;50000,"0-50",IF(K843:K1842&lt;100001,"51-100",IF(K843:K1842&lt;150001,"101-150",IF(K843:K1842&lt;200001,"151-200",IF(K843:K1842&lt;250001,"201-250","above 250")))))</f>
      </c>
      <c r="M843" s="57">
        <v>0.06</v>
      </c>
      <c r="N843" s="45" t="s">
        <v>15</v>
      </c>
      <c r="O843" s="45" t="s">
        <v>55</v>
      </c>
      <c r="P843" s="51"/>
      <c r="Q843" s="52">
        <f>IF(ISBLANK(P843:P1842), "", DATEDIF(J843:J1842, P843:P1842, "Y"))</f>
      </c>
    </row>
    <row x14ac:dyDescent="0.25" r="844" customHeight="1" ht="15.75">
      <c r="A844" s="45" t="s">
        <v>1937</v>
      </c>
      <c r="B844" s="45" t="s">
        <v>750</v>
      </c>
      <c r="C844" s="45" t="s">
        <v>88</v>
      </c>
      <c r="D844" s="45" t="s">
        <v>32</v>
      </c>
      <c r="E844" s="45" t="s">
        <v>1094</v>
      </c>
      <c r="F844" s="45" t="s">
        <v>7</v>
      </c>
      <c r="G844" s="45" t="s">
        <v>8</v>
      </c>
      <c r="H844" s="53">
        <v>50</v>
      </c>
      <c r="I844" s="54">
        <f>IF(H844:H1843&lt;45, "Adult", IF(H844:H1843&lt;60, "Middle Age", IF(H844:H1843&lt;70, "Old", "Very Old")))</f>
      </c>
      <c r="J844" s="55">
        <v>44445</v>
      </c>
      <c r="K844" s="56">
        <v>83418</v>
      </c>
      <c r="L844" s="54">
        <f>IF(K844:K1843&lt;50000,"0-50",IF(K844:K1843&lt;100001,"51-100",IF(K844:K1843&lt;150001,"101-150",IF(K844:K1843&lt;200001,"151-200",IF(K844:K1843&lt;250001,"201-250","above 250")))))</f>
      </c>
      <c r="M844" s="57">
        <v>0</v>
      </c>
      <c r="N844" s="45" t="s">
        <v>12</v>
      </c>
      <c r="O844" s="45" t="s">
        <v>69</v>
      </c>
      <c r="P844" s="51"/>
      <c r="Q844" s="52">
        <f>IF(ISBLANK(P844:P1843), "", DATEDIF(J844:J1843, P844:P1843, "Y"))</f>
      </c>
    </row>
    <row x14ac:dyDescent="0.25" r="845" customHeight="1" ht="15.75">
      <c r="A845" s="45" t="s">
        <v>1938</v>
      </c>
      <c r="B845" s="45" t="s">
        <v>608</v>
      </c>
      <c r="C845" s="45" t="s">
        <v>124</v>
      </c>
      <c r="D845" s="45" t="s">
        <v>32</v>
      </c>
      <c r="E845" s="45" t="s">
        <v>1096</v>
      </c>
      <c r="F845" s="45" t="s">
        <v>7</v>
      </c>
      <c r="G845" s="45" t="s">
        <v>14</v>
      </c>
      <c r="H845" s="53">
        <v>45</v>
      </c>
      <c r="I845" s="54">
        <f>IF(H845:H1844&lt;45, "Adult", IF(H845:H1844&lt;60, "Middle Age", IF(H845:H1844&lt;70, "Old", "Very Old")))</f>
      </c>
      <c r="J845" s="55">
        <v>43042</v>
      </c>
      <c r="K845" s="56">
        <v>66660</v>
      </c>
      <c r="L845" s="54">
        <f>IF(K845:K1844&lt;50000,"0-50",IF(K845:K1844&lt;100001,"51-100",IF(K845:K1844&lt;150001,"101-150",IF(K845:K1844&lt;200001,"151-200",IF(K845:K1844&lt;250001,"201-250","above 250")))))</f>
      </c>
      <c r="M845" s="57">
        <v>0</v>
      </c>
      <c r="N845" s="45" t="s">
        <v>15</v>
      </c>
      <c r="O845" s="45" t="s">
        <v>42</v>
      </c>
      <c r="P845" s="51"/>
      <c r="Q845" s="52">
        <f>IF(ISBLANK(P845:P1844), "", DATEDIF(J845:J1844, P845:P1844, "Y"))</f>
      </c>
    </row>
    <row x14ac:dyDescent="0.25" r="846" customHeight="1" ht="15.75">
      <c r="A846" s="45" t="s">
        <v>1939</v>
      </c>
      <c r="B846" s="45" t="s">
        <v>970</v>
      </c>
      <c r="C846" s="45" t="s">
        <v>110</v>
      </c>
      <c r="D846" s="45" t="s">
        <v>30</v>
      </c>
      <c r="E846" s="45" t="s">
        <v>1096</v>
      </c>
      <c r="F846" s="45" t="s">
        <v>10</v>
      </c>
      <c r="G846" s="45" t="s">
        <v>17</v>
      </c>
      <c r="H846" s="53">
        <v>59</v>
      </c>
      <c r="I846" s="54">
        <f>IF(H846:H1845&lt;45, "Adult", IF(H846:H1845&lt;60, "Middle Age", IF(H846:H1845&lt;70, "Old", "Very Old")))</f>
      </c>
      <c r="J846" s="55">
        <v>42165</v>
      </c>
      <c r="K846" s="56">
        <v>101985</v>
      </c>
      <c r="L846" s="54">
        <f>IF(K846:K1845&lt;50000,"0-50",IF(K846:K1845&lt;100001,"51-100",IF(K846:K1845&lt;150001,"101-150",IF(K846:K1845&lt;200001,"151-200",IF(K846:K1845&lt;250001,"201-250","above 250")))))</f>
      </c>
      <c r="M846" s="57">
        <v>0.07</v>
      </c>
      <c r="N846" s="45" t="s">
        <v>15</v>
      </c>
      <c r="O846" s="45" t="s">
        <v>59</v>
      </c>
      <c r="P846" s="51"/>
      <c r="Q846" s="52">
        <f>IF(ISBLANK(P846:P1845), "", DATEDIF(J846:J1845, P846:P1845, "Y"))</f>
      </c>
    </row>
    <row x14ac:dyDescent="0.25" r="847" customHeight="1" ht="15.75">
      <c r="A847" s="45" t="s">
        <v>1940</v>
      </c>
      <c r="B847" s="45" t="s">
        <v>203</v>
      </c>
      <c r="C847" s="45" t="s">
        <v>142</v>
      </c>
      <c r="D847" s="45" t="s">
        <v>28</v>
      </c>
      <c r="E847" s="45" t="s">
        <v>1100</v>
      </c>
      <c r="F847" s="45" t="s">
        <v>10</v>
      </c>
      <c r="G847" s="45" t="s">
        <v>17</v>
      </c>
      <c r="H847" s="53">
        <v>29</v>
      </c>
      <c r="I847" s="54">
        <f>IF(H847:H1846&lt;45, "Adult", IF(H847:H1846&lt;60, "Middle Age", IF(H847:H1846&lt;70, "Old", "Very Old")))</f>
      </c>
      <c r="J847" s="55">
        <v>43439</v>
      </c>
      <c r="K847" s="56">
        <v>199504</v>
      </c>
      <c r="L847" s="54">
        <f>IF(K847:K1846&lt;50000,"0-50",IF(K847:K1846&lt;100001,"51-100",IF(K847:K1846&lt;150001,"101-150",IF(K847:K1846&lt;200001,"151-200",IF(K847:K1846&lt;250001,"201-250","above 250")))))</f>
      </c>
      <c r="M847" s="57">
        <v>0.3</v>
      </c>
      <c r="N847" s="45" t="s">
        <v>15</v>
      </c>
      <c r="O847" s="45" t="s">
        <v>42</v>
      </c>
      <c r="P847" s="51"/>
      <c r="Q847" s="52">
        <f>IF(ISBLANK(P847:P1846), "", DATEDIF(J847:J1846, P847:P1846, "Y"))</f>
      </c>
    </row>
    <row x14ac:dyDescent="0.25" r="848" customHeight="1" ht="15.75">
      <c r="A848" s="45" t="s">
        <v>1941</v>
      </c>
      <c r="B848" s="45" t="s">
        <v>803</v>
      </c>
      <c r="C848" s="45" t="s">
        <v>132</v>
      </c>
      <c r="D848" s="45" t="s">
        <v>36</v>
      </c>
      <c r="E848" s="45" t="s">
        <v>1100</v>
      </c>
      <c r="F848" s="45" t="s">
        <v>7</v>
      </c>
      <c r="G848" s="45" t="s">
        <v>17</v>
      </c>
      <c r="H848" s="53">
        <v>52</v>
      </c>
      <c r="I848" s="54">
        <f>IF(H848:H1847&lt;45, "Adult", IF(H848:H1847&lt;60, "Middle Age", IF(H848:H1847&lt;70, "Old", "Very Old")))</f>
      </c>
      <c r="J848" s="55">
        <v>38995</v>
      </c>
      <c r="K848" s="56">
        <v>147966</v>
      </c>
      <c r="L848" s="54">
        <f>IF(K848:K1847&lt;50000,"0-50",IF(K848:K1847&lt;100001,"51-100",IF(K848:K1847&lt;150001,"101-150",IF(K848:K1847&lt;200001,"151-200",IF(K848:K1847&lt;250001,"201-250","above 250")))))</f>
      </c>
      <c r="M848" s="57">
        <v>0.11</v>
      </c>
      <c r="N848" s="45" t="s">
        <v>9</v>
      </c>
      <c r="O848" s="45" t="s">
        <v>63</v>
      </c>
      <c r="P848" s="58">
        <v>43608</v>
      </c>
      <c r="Q848" s="53">
        <f>IF(ISBLANK(P848:P1847), "", DATEDIF(J848:J1847, P848:P1847, "Y"))</f>
      </c>
    </row>
    <row x14ac:dyDescent="0.25" r="849" customHeight="1" ht="15.75">
      <c r="A849" s="45" t="s">
        <v>1942</v>
      </c>
      <c r="B849" s="45" t="s">
        <v>951</v>
      </c>
      <c r="C849" s="45" t="s">
        <v>86</v>
      </c>
      <c r="D849" s="45" t="s">
        <v>30</v>
      </c>
      <c r="E849" s="45" t="s">
        <v>1096</v>
      </c>
      <c r="F849" s="45" t="s">
        <v>10</v>
      </c>
      <c r="G849" s="45" t="s">
        <v>8</v>
      </c>
      <c r="H849" s="53">
        <v>58</v>
      </c>
      <c r="I849" s="54">
        <f>IF(H849:H1848&lt;45, "Adult", IF(H849:H1848&lt;60, "Middle Age", IF(H849:H1848&lt;70, "Old", "Very Old")))</f>
      </c>
      <c r="J849" s="55">
        <v>41810</v>
      </c>
      <c r="K849" s="56">
        <v>41728</v>
      </c>
      <c r="L849" s="54">
        <f>IF(K849:K1848&lt;50000,"0-50",IF(K849:K1848&lt;100001,"51-100",IF(K849:K1848&lt;150001,"101-150",IF(K849:K1848&lt;200001,"151-200",IF(K849:K1848&lt;250001,"201-250","above 250")))))</f>
      </c>
      <c r="M849" s="57">
        <v>0</v>
      </c>
      <c r="N849" s="45" t="s">
        <v>12</v>
      </c>
      <c r="O849" s="45" t="s">
        <v>53</v>
      </c>
      <c r="P849" s="51"/>
      <c r="Q849" s="52">
        <f>IF(ISBLANK(P849:P1848), "", DATEDIF(J849:J1848, P849:P1848, "Y"))</f>
      </c>
    </row>
    <row x14ac:dyDescent="0.25" r="850" customHeight="1" ht="15.75">
      <c r="A850" s="45" t="s">
        <v>1943</v>
      </c>
      <c r="B850" s="45" t="s">
        <v>1026</v>
      </c>
      <c r="C850" s="45" t="s">
        <v>128</v>
      </c>
      <c r="D850" s="45" t="s">
        <v>24</v>
      </c>
      <c r="E850" s="45" t="s">
        <v>1096</v>
      </c>
      <c r="F850" s="45" t="s">
        <v>10</v>
      </c>
      <c r="G850" s="45" t="s">
        <v>17</v>
      </c>
      <c r="H850" s="53">
        <v>62</v>
      </c>
      <c r="I850" s="54">
        <f>IF(H850:H1849&lt;45, "Adult", IF(H850:H1849&lt;60, "Middle Age", IF(H850:H1849&lt;70, "Old", "Very Old")))</f>
      </c>
      <c r="J850" s="55">
        <v>40591</v>
      </c>
      <c r="K850" s="56">
        <v>94422</v>
      </c>
      <c r="L850" s="54">
        <f>IF(K850:K1849&lt;50000,"0-50",IF(K850:K1849&lt;100001,"51-100",IF(K850:K1849&lt;150001,"101-150",IF(K850:K1849&lt;200001,"151-200",IF(K850:K1849&lt;250001,"201-250","above 250")))))</f>
      </c>
      <c r="M850" s="57">
        <v>0</v>
      </c>
      <c r="N850" s="45" t="s">
        <v>15</v>
      </c>
      <c r="O850" s="45" t="s">
        <v>61</v>
      </c>
      <c r="P850" s="51"/>
      <c r="Q850" s="52">
        <f>IF(ISBLANK(P850:P1849), "", DATEDIF(J850:J1849, P850:P1849, "Y"))</f>
      </c>
    </row>
    <row x14ac:dyDescent="0.25" r="851" customHeight="1" ht="15.75">
      <c r="A851" s="45" t="s">
        <v>1944</v>
      </c>
      <c r="B851" s="45" t="s">
        <v>259</v>
      </c>
      <c r="C851" s="45" t="s">
        <v>96</v>
      </c>
      <c r="D851" s="45" t="s">
        <v>36</v>
      </c>
      <c r="E851" s="45" t="s">
        <v>1100</v>
      </c>
      <c r="F851" s="45" t="s">
        <v>10</v>
      </c>
      <c r="G851" s="45" t="s">
        <v>8</v>
      </c>
      <c r="H851" s="53">
        <v>31</v>
      </c>
      <c r="I851" s="54">
        <f>IF(H851:H1850&lt;45, "Adult", IF(H851:H1850&lt;60, "Middle Age", IF(H851:H1850&lt;70, "Old", "Very Old")))</f>
      </c>
      <c r="J851" s="55">
        <v>42184</v>
      </c>
      <c r="K851" s="56">
        <v>191026</v>
      </c>
      <c r="L851" s="54">
        <f>IF(K851:K1850&lt;50000,"0-50",IF(K851:K1850&lt;100001,"51-100",IF(K851:K1850&lt;150001,"101-150",IF(K851:K1850&lt;200001,"151-200",IF(K851:K1850&lt;250001,"201-250","above 250")))))</f>
      </c>
      <c r="M851" s="57">
        <v>0.16</v>
      </c>
      <c r="N851" s="45" t="s">
        <v>15</v>
      </c>
      <c r="O851" s="45" t="s">
        <v>55</v>
      </c>
      <c r="P851" s="51"/>
      <c r="Q851" s="52">
        <f>IF(ISBLANK(P851:P1850), "", DATEDIF(J851:J1850, P851:P1850, "Y"))</f>
      </c>
    </row>
    <row x14ac:dyDescent="0.25" r="852" customHeight="1" ht="15.75">
      <c r="A852" s="45" t="s">
        <v>1945</v>
      </c>
      <c r="B852" s="45" t="s">
        <v>513</v>
      </c>
      <c r="C852" s="45" t="s">
        <v>142</v>
      </c>
      <c r="D852" s="45" t="s">
        <v>32</v>
      </c>
      <c r="E852" s="45" t="s">
        <v>1092</v>
      </c>
      <c r="F852" s="45" t="s">
        <v>10</v>
      </c>
      <c r="G852" s="45" t="s">
        <v>17</v>
      </c>
      <c r="H852" s="53">
        <v>42</v>
      </c>
      <c r="I852" s="54">
        <f>IF(H852:H1851&lt;45, "Adult", IF(H852:H1851&lt;60, "Middle Age", IF(H852:H1851&lt;70, "Old", "Very Old")))</f>
      </c>
      <c r="J852" s="55">
        <v>40511</v>
      </c>
      <c r="K852" s="56">
        <v>186725</v>
      </c>
      <c r="L852" s="54">
        <f>IF(K852:K1851&lt;50000,"0-50",IF(K852:K1851&lt;100001,"51-100",IF(K852:K1851&lt;150001,"101-150",IF(K852:K1851&lt;200001,"151-200",IF(K852:K1851&lt;250001,"201-250","above 250")))))</f>
      </c>
      <c r="M852" s="57">
        <v>0.32</v>
      </c>
      <c r="N852" s="45" t="s">
        <v>9</v>
      </c>
      <c r="O852" s="45" t="s">
        <v>57</v>
      </c>
      <c r="P852" s="51"/>
      <c r="Q852" s="52">
        <f>IF(ISBLANK(P852:P1851), "", DATEDIF(J852:J1851, P852:P1851, "Y"))</f>
      </c>
    </row>
    <row x14ac:dyDescent="0.25" r="853" customHeight="1" ht="15.75">
      <c r="A853" s="45" t="s">
        <v>1946</v>
      </c>
      <c r="B853" s="45" t="s">
        <v>915</v>
      </c>
      <c r="C853" s="45" t="s">
        <v>86</v>
      </c>
      <c r="D853" s="45" t="s">
        <v>30</v>
      </c>
      <c r="E853" s="45" t="s">
        <v>1092</v>
      </c>
      <c r="F853" s="45" t="s">
        <v>7</v>
      </c>
      <c r="G853" s="45" t="s">
        <v>14</v>
      </c>
      <c r="H853" s="53">
        <v>56</v>
      </c>
      <c r="I853" s="54">
        <f>IF(H853:H1852&lt;45, "Adult", IF(H853:H1852&lt;60, "Middle Age", IF(H853:H1852&lt;70, "Old", "Very Old")))</f>
      </c>
      <c r="J853" s="55">
        <v>40045</v>
      </c>
      <c r="K853" s="56">
        <v>52800</v>
      </c>
      <c r="L853" s="54">
        <f>IF(K853:K1852&lt;50000,"0-50",IF(K853:K1852&lt;100001,"51-100",IF(K853:K1852&lt;150001,"101-150",IF(K853:K1852&lt;200001,"151-200",IF(K853:K1852&lt;250001,"201-250","above 250")))))</f>
      </c>
      <c r="M853" s="57">
        <v>0</v>
      </c>
      <c r="N853" s="45" t="s">
        <v>15</v>
      </c>
      <c r="O853" s="45" t="s">
        <v>61</v>
      </c>
      <c r="P853" s="51"/>
      <c r="Q853" s="52">
        <f>IF(ISBLANK(P853:P1852), "", DATEDIF(J853:J1852, P853:P1852, "Y"))</f>
      </c>
    </row>
    <row x14ac:dyDescent="0.25" r="854" customHeight="1" ht="15.75">
      <c r="A854" s="45" t="s">
        <v>1947</v>
      </c>
      <c r="B854" s="45" t="s">
        <v>848</v>
      </c>
      <c r="C854" s="45" t="s">
        <v>118</v>
      </c>
      <c r="D854" s="45" t="s">
        <v>26</v>
      </c>
      <c r="E854" s="45" t="s">
        <v>1096</v>
      </c>
      <c r="F854" s="45" t="s">
        <v>10</v>
      </c>
      <c r="G854" s="45" t="s">
        <v>14</v>
      </c>
      <c r="H854" s="53">
        <v>54</v>
      </c>
      <c r="I854" s="54">
        <f>IF(H854:H1853&lt;45, "Adult", IF(H854:H1853&lt;60, "Middle Age", IF(H854:H1853&lt;70, "Old", "Very Old")))</f>
      </c>
      <c r="J854" s="55">
        <v>40517</v>
      </c>
      <c r="K854" s="56">
        <v>113982</v>
      </c>
      <c r="L854" s="54">
        <f>IF(K854:K1853&lt;50000,"0-50",IF(K854:K1853&lt;100001,"51-100",IF(K854:K1853&lt;150001,"101-150",IF(K854:K1853&lt;200001,"151-200",IF(K854:K1853&lt;250001,"201-250","above 250")))))</f>
      </c>
      <c r="M854" s="57">
        <v>0</v>
      </c>
      <c r="N854" s="45" t="s">
        <v>15</v>
      </c>
      <c r="O854" s="45" t="s">
        <v>67</v>
      </c>
      <c r="P854" s="51"/>
      <c r="Q854" s="52">
        <f>IF(ISBLANK(P854:P1853), "", DATEDIF(J854:J1853, P854:P1853, "Y"))</f>
      </c>
    </row>
    <row x14ac:dyDescent="0.25" r="855" customHeight="1" ht="15.75">
      <c r="A855" s="45" t="s">
        <v>1948</v>
      </c>
      <c r="B855" s="45" t="s">
        <v>851</v>
      </c>
      <c r="C855" s="45" t="s">
        <v>78</v>
      </c>
      <c r="D855" s="45" t="s">
        <v>36</v>
      </c>
      <c r="E855" s="45" t="s">
        <v>1092</v>
      </c>
      <c r="F855" s="45" t="s">
        <v>7</v>
      </c>
      <c r="G855" s="45" t="s">
        <v>8</v>
      </c>
      <c r="H855" s="53">
        <v>54</v>
      </c>
      <c r="I855" s="54">
        <f>IF(H855:H1854&lt;45, "Adult", IF(H855:H1854&lt;60, "Middle Age", IF(H855:H1854&lt;70, "Old", "Very Old")))</f>
      </c>
      <c r="J855" s="55">
        <v>44271</v>
      </c>
      <c r="K855" s="56">
        <v>56239</v>
      </c>
      <c r="L855" s="54">
        <f>IF(K855:K1854&lt;50000,"0-50",IF(K855:K1854&lt;100001,"51-100",IF(K855:K1854&lt;150001,"101-150",IF(K855:K1854&lt;200001,"151-200",IF(K855:K1854&lt;250001,"201-250","above 250")))))</f>
      </c>
      <c r="M855" s="57">
        <v>0</v>
      </c>
      <c r="N855" s="45" t="s">
        <v>12</v>
      </c>
      <c r="O855" s="45" t="s">
        <v>53</v>
      </c>
      <c r="P855" s="51"/>
      <c r="Q855" s="52">
        <f>IF(ISBLANK(P855:P1854), "", DATEDIF(J855:J1854, P855:P1854, "Y"))</f>
      </c>
    </row>
    <row x14ac:dyDescent="0.25" r="856" customHeight="1" ht="15.75">
      <c r="A856" s="45" t="s">
        <v>1949</v>
      </c>
      <c r="B856" s="45" t="s">
        <v>109</v>
      </c>
      <c r="C856" s="45" t="s">
        <v>80</v>
      </c>
      <c r="D856" s="45" t="s">
        <v>36</v>
      </c>
      <c r="E856" s="45" t="s">
        <v>1094</v>
      </c>
      <c r="F856" s="45" t="s">
        <v>10</v>
      </c>
      <c r="G856" s="45" t="s">
        <v>17</v>
      </c>
      <c r="H856" s="53">
        <v>26</v>
      </c>
      <c r="I856" s="54">
        <f>IF(H856:H1855&lt;45, "Adult", IF(H856:H1855&lt;60, "Middle Age", IF(H856:H1855&lt;70, "Old", "Very Old")))</f>
      </c>
      <c r="J856" s="55">
        <v>44257</v>
      </c>
      <c r="K856" s="56">
        <v>44732</v>
      </c>
      <c r="L856" s="54">
        <f>IF(K856:K1855&lt;50000,"0-50",IF(K856:K1855&lt;100001,"51-100",IF(K856:K1855&lt;150001,"101-150",IF(K856:K1855&lt;200001,"151-200",IF(K856:K1855&lt;250001,"201-250","above 250")))))</f>
      </c>
      <c r="M856" s="57">
        <v>0</v>
      </c>
      <c r="N856" s="45" t="s">
        <v>9</v>
      </c>
      <c r="O856" s="45" t="s">
        <v>63</v>
      </c>
      <c r="P856" s="51"/>
      <c r="Q856" s="52">
        <f>IF(ISBLANK(P856:P1855), "", DATEDIF(J856:J1855, P856:P1855, "Y"))</f>
      </c>
    </row>
    <row x14ac:dyDescent="0.25" r="857" customHeight="1" ht="15.75">
      <c r="A857" s="45" t="s">
        <v>1950</v>
      </c>
      <c r="B857" s="45" t="s">
        <v>734</v>
      </c>
      <c r="C857" s="45" t="s">
        <v>96</v>
      </c>
      <c r="D857" s="45" t="s">
        <v>34</v>
      </c>
      <c r="E857" s="45" t="s">
        <v>1100</v>
      </c>
      <c r="F857" s="45" t="s">
        <v>10</v>
      </c>
      <c r="G857" s="45" t="s">
        <v>8</v>
      </c>
      <c r="H857" s="53">
        <v>49</v>
      </c>
      <c r="I857" s="54">
        <f>IF(H857:H1856&lt;45, "Adult", IF(H857:H1856&lt;60, "Middle Age", IF(H857:H1856&lt;70, "Old", "Very Old")))</f>
      </c>
      <c r="J857" s="55">
        <v>41816</v>
      </c>
      <c r="K857" s="56">
        <v>153961</v>
      </c>
      <c r="L857" s="54">
        <f>IF(K857:K1856&lt;50000,"0-50",IF(K857:K1856&lt;100001,"51-100",IF(K857:K1856&lt;150001,"101-150",IF(K857:K1856&lt;200001,"151-200",IF(K857:K1856&lt;250001,"201-250","above 250")))))</f>
      </c>
      <c r="M857" s="57">
        <v>0.25</v>
      </c>
      <c r="N857" s="45" t="s">
        <v>12</v>
      </c>
      <c r="O857" s="45" t="s">
        <v>69</v>
      </c>
      <c r="P857" s="51"/>
      <c r="Q857" s="52">
        <f>IF(ISBLANK(P857:P1856), "", DATEDIF(J857:J1856, P857:P1856, "Y"))</f>
      </c>
    </row>
    <row x14ac:dyDescent="0.25" r="858" customHeight="1" ht="15.75">
      <c r="A858" s="45" t="s">
        <v>1951</v>
      </c>
      <c r="B858" s="45" t="s">
        <v>614</v>
      </c>
      <c r="C858" s="45" t="s">
        <v>114</v>
      </c>
      <c r="D858" s="45" t="s">
        <v>32</v>
      </c>
      <c r="E858" s="45" t="s">
        <v>1096</v>
      </c>
      <c r="F858" s="45" t="s">
        <v>7</v>
      </c>
      <c r="G858" s="45" t="s">
        <v>8</v>
      </c>
      <c r="H858" s="53">
        <v>45</v>
      </c>
      <c r="I858" s="54">
        <f>IF(H858:H1857&lt;45, "Adult", IF(H858:H1857&lt;60, "Middle Age", IF(H858:H1857&lt;70, "Old", "Very Old")))</f>
      </c>
      <c r="J858" s="55">
        <v>39069</v>
      </c>
      <c r="K858" s="56">
        <v>68337</v>
      </c>
      <c r="L858" s="54">
        <f>IF(K858:K1857&lt;50000,"0-50",IF(K858:K1857&lt;100001,"51-100",IF(K858:K1857&lt;150001,"101-150",IF(K858:K1857&lt;200001,"151-200",IF(K858:K1857&lt;250001,"201-250","above 250")))))</f>
      </c>
      <c r="M858" s="57">
        <v>0</v>
      </c>
      <c r="N858" s="45" t="s">
        <v>12</v>
      </c>
      <c r="O858" s="45" t="s">
        <v>53</v>
      </c>
      <c r="P858" s="51"/>
      <c r="Q858" s="52">
        <f>IF(ISBLANK(P858:P1857), "", DATEDIF(J858:J1857, P858:P1857, "Y"))</f>
      </c>
    </row>
    <row x14ac:dyDescent="0.25" r="859" customHeight="1" ht="15.75">
      <c r="A859" s="45" t="s">
        <v>1952</v>
      </c>
      <c r="B859" s="45" t="s">
        <v>616</v>
      </c>
      <c r="C859" s="45" t="s">
        <v>132</v>
      </c>
      <c r="D859" s="45" t="s">
        <v>30</v>
      </c>
      <c r="E859" s="45" t="s">
        <v>1100</v>
      </c>
      <c r="F859" s="45" t="s">
        <v>10</v>
      </c>
      <c r="G859" s="45" t="s">
        <v>8</v>
      </c>
      <c r="H859" s="53">
        <v>45</v>
      </c>
      <c r="I859" s="54">
        <f>IF(H859:H1858&lt;45, "Adult", IF(H859:H1858&lt;60, "Middle Age", IF(H859:H1858&lt;70, "Old", "Very Old")))</f>
      </c>
      <c r="J859" s="55">
        <v>40305</v>
      </c>
      <c r="K859" s="56">
        <v>145093</v>
      </c>
      <c r="L859" s="54">
        <f>IF(K859:K1858&lt;50000,"0-50",IF(K859:K1858&lt;100001,"51-100",IF(K859:K1858&lt;150001,"101-150",IF(K859:K1858&lt;200001,"151-200",IF(K859:K1858&lt;250001,"201-250","above 250")))))</f>
      </c>
      <c r="M859" s="57">
        <v>0.12</v>
      </c>
      <c r="N859" s="45" t="s">
        <v>15</v>
      </c>
      <c r="O859" s="45" t="s">
        <v>51</v>
      </c>
      <c r="P859" s="51"/>
      <c r="Q859" s="52">
        <f>IF(ISBLANK(P859:P1858), "", DATEDIF(J859:J1858, P859:P1858, "Y"))</f>
      </c>
    </row>
    <row x14ac:dyDescent="0.25" r="860" customHeight="1" ht="15.75">
      <c r="A860" s="45" t="s">
        <v>1953</v>
      </c>
      <c r="B860" s="45" t="s">
        <v>107</v>
      </c>
      <c r="C860" s="45" t="s">
        <v>108</v>
      </c>
      <c r="D860" s="45" t="s">
        <v>32</v>
      </c>
      <c r="E860" s="45" t="s">
        <v>1096</v>
      </c>
      <c r="F860" s="45" t="s">
        <v>7</v>
      </c>
      <c r="G860" s="45" t="s">
        <v>14</v>
      </c>
      <c r="H860" s="53">
        <v>26</v>
      </c>
      <c r="I860" s="54">
        <f>IF(H860:H1859&lt;45, "Adult", IF(H860:H1859&lt;60, "Middle Age", IF(H860:H1859&lt;70, "Old", "Very Old")))</f>
      </c>
      <c r="J860" s="55">
        <v>44266</v>
      </c>
      <c r="K860" s="56">
        <v>74170</v>
      </c>
      <c r="L860" s="54">
        <f>IF(K860:K1859&lt;50000,"0-50",IF(K860:K1859&lt;100001,"51-100",IF(K860:K1859&lt;150001,"101-150",IF(K860:K1859&lt;200001,"151-200",IF(K860:K1859&lt;250001,"201-250","above 250")))))</f>
      </c>
      <c r="M860" s="57">
        <v>0</v>
      </c>
      <c r="N860" s="45" t="s">
        <v>15</v>
      </c>
      <c r="O860" s="45" t="s">
        <v>42</v>
      </c>
      <c r="P860" s="51"/>
      <c r="Q860" s="52">
        <f>IF(ISBLANK(P860:P1859), "", DATEDIF(J860:J1859, P860:P1859, "Y"))</f>
      </c>
    </row>
    <row x14ac:dyDescent="0.25" r="861" customHeight="1" ht="15.75">
      <c r="A861" s="45" t="s">
        <v>1954</v>
      </c>
      <c r="B861" s="45" t="s">
        <v>969</v>
      </c>
      <c r="C861" s="45" t="s">
        <v>102</v>
      </c>
      <c r="D861" s="45" t="s">
        <v>26</v>
      </c>
      <c r="E861" s="45" t="s">
        <v>1092</v>
      </c>
      <c r="F861" s="45" t="s">
        <v>10</v>
      </c>
      <c r="G861" s="45" t="s">
        <v>14</v>
      </c>
      <c r="H861" s="53">
        <v>59</v>
      </c>
      <c r="I861" s="54">
        <f>IF(H861:H1860&lt;45, "Adult", IF(H861:H1860&lt;60, "Middle Age", IF(H861:H1860&lt;70, "Old", "Very Old")))</f>
      </c>
      <c r="J861" s="55">
        <v>35153</v>
      </c>
      <c r="K861" s="56">
        <v>62605</v>
      </c>
      <c r="L861" s="54">
        <f>IF(K861:K1860&lt;50000,"0-50",IF(K861:K1860&lt;100001,"51-100",IF(K861:K1860&lt;150001,"101-150",IF(K861:K1860&lt;200001,"151-200",IF(K861:K1860&lt;250001,"201-250","above 250")))))</f>
      </c>
      <c r="M861" s="57">
        <v>0</v>
      </c>
      <c r="N861" s="45" t="s">
        <v>15</v>
      </c>
      <c r="O861" s="45" t="s">
        <v>42</v>
      </c>
      <c r="P861" s="51"/>
      <c r="Q861" s="52">
        <f>IF(ISBLANK(P861:P1860), "", DATEDIF(J861:J1860, P861:P1860, "Y"))</f>
      </c>
    </row>
    <row x14ac:dyDescent="0.25" r="862" customHeight="1" ht="15.75">
      <c r="A862" s="45" t="s">
        <v>1955</v>
      </c>
      <c r="B862" s="45" t="s">
        <v>776</v>
      </c>
      <c r="C862" s="45" t="s">
        <v>110</v>
      </c>
      <c r="D862" s="45" t="s">
        <v>32</v>
      </c>
      <c r="E862" s="45" t="s">
        <v>1096</v>
      </c>
      <c r="F862" s="45" t="s">
        <v>7</v>
      </c>
      <c r="G862" s="45" t="s">
        <v>14</v>
      </c>
      <c r="H862" s="53">
        <v>51</v>
      </c>
      <c r="I862" s="54">
        <f>IF(H862:H1861&lt;45, "Adult", IF(H862:H1861&lt;60, "Middle Age", IF(H862:H1861&lt;70, "Old", "Very Old")))</f>
      </c>
      <c r="J862" s="55">
        <v>43903</v>
      </c>
      <c r="K862" s="56">
        <v>107195</v>
      </c>
      <c r="L862" s="54">
        <f>IF(K862:K1861&lt;50000,"0-50",IF(K862:K1861&lt;100001,"51-100",IF(K862:K1861&lt;150001,"101-150",IF(K862:K1861&lt;200001,"151-200",IF(K862:K1861&lt;250001,"201-250","above 250")))))</f>
      </c>
      <c r="M862" s="57">
        <v>0.09</v>
      </c>
      <c r="N862" s="45" t="s">
        <v>15</v>
      </c>
      <c r="O862" s="45" t="s">
        <v>42</v>
      </c>
      <c r="P862" s="51"/>
      <c r="Q862" s="52">
        <f>IF(ISBLANK(P862:P1861), "", DATEDIF(J862:J1861, P862:P1861, "Y"))</f>
      </c>
    </row>
    <row x14ac:dyDescent="0.25" r="863" customHeight="1" ht="15.75">
      <c r="A863" s="45" t="s">
        <v>1956</v>
      </c>
      <c r="B863" s="45" t="s">
        <v>622</v>
      </c>
      <c r="C863" s="45" t="s">
        <v>132</v>
      </c>
      <c r="D863" s="45" t="s">
        <v>34</v>
      </c>
      <c r="E863" s="45" t="s">
        <v>1096</v>
      </c>
      <c r="F863" s="45" t="s">
        <v>10</v>
      </c>
      <c r="G863" s="45" t="s">
        <v>14</v>
      </c>
      <c r="H863" s="53">
        <v>45</v>
      </c>
      <c r="I863" s="54">
        <f>IF(H863:H1862&lt;45, "Adult", IF(H863:H1862&lt;60, "Middle Age", IF(H863:H1862&lt;70, "Old", "Very Old")))</f>
      </c>
      <c r="J863" s="55">
        <v>43111</v>
      </c>
      <c r="K863" s="56">
        <v>127422</v>
      </c>
      <c r="L863" s="54">
        <f>IF(K863:K1862&lt;50000,"0-50",IF(K863:K1862&lt;100001,"51-100",IF(K863:K1862&lt;150001,"101-150",IF(K863:K1862&lt;200001,"151-200",IF(K863:K1862&lt;250001,"201-250","above 250")))))</f>
      </c>
      <c r="M863" s="57">
        <v>0.15</v>
      </c>
      <c r="N863" s="45" t="s">
        <v>15</v>
      </c>
      <c r="O863" s="45" t="s">
        <v>55</v>
      </c>
      <c r="P863" s="51"/>
      <c r="Q863" s="52">
        <f>IF(ISBLANK(P863:P1862), "", DATEDIF(J863:J1862, P863:P1862, "Y"))</f>
      </c>
    </row>
    <row x14ac:dyDescent="0.25" r="864" customHeight="1" ht="15.75">
      <c r="A864" s="45" t="s">
        <v>1957</v>
      </c>
      <c r="B864" s="45" t="s">
        <v>349</v>
      </c>
      <c r="C864" s="45" t="s">
        <v>96</v>
      </c>
      <c r="D864" s="45" t="s">
        <v>24</v>
      </c>
      <c r="E864" s="45" t="s">
        <v>1092</v>
      </c>
      <c r="F864" s="45" t="s">
        <v>7</v>
      </c>
      <c r="G864" s="45" t="s">
        <v>14</v>
      </c>
      <c r="H864" s="53">
        <v>35</v>
      </c>
      <c r="I864" s="54">
        <f>IF(H864:H1863&lt;45, "Adult", IF(H864:H1863&lt;60, "Middle Age", IF(H864:H1863&lt;70, "Old", "Very Old")))</f>
      </c>
      <c r="J864" s="55">
        <v>42912</v>
      </c>
      <c r="K864" s="56">
        <v>161269</v>
      </c>
      <c r="L864" s="54">
        <f>IF(K864:K1863&lt;50000,"0-50",IF(K864:K1863&lt;100001,"51-100",IF(K864:K1863&lt;150001,"101-150",IF(K864:K1863&lt;200001,"151-200",IF(K864:K1863&lt;250001,"201-250","above 250")))))</f>
      </c>
      <c r="M864" s="57">
        <v>0.27</v>
      </c>
      <c r="N864" s="45" t="s">
        <v>15</v>
      </c>
      <c r="O864" s="45" t="s">
        <v>59</v>
      </c>
      <c r="P864" s="51"/>
      <c r="Q864" s="52">
        <f>IF(ISBLANK(P864:P1863), "", DATEDIF(J864:J1863, P864:P1863, "Y"))</f>
      </c>
    </row>
    <row x14ac:dyDescent="0.25" r="865" customHeight="1" ht="15.75">
      <c r="A865" s="45" t="s">
        <v>1958</v>
      </c>
      <c r="B865" s="45" t="s">
        <v>279</v>
      </c>
      <c r="C865" s="45" t="s">
        <v>142</v>
      </c>
      <c r="D865" s="45" t="s">
        <v>34</v>
      </c>
      <c r="E865" s="45" t="s">
        <v>1100</v>
      </c>
      <c r="F865" s="45" t="s">
        <v>7</v>
      </c>
      <c r="G865" s="45" t="s">
        <v>17</v>
      </c>
      <c r="H865" s="53">
        <v>32</v>
      </c>
      <c r="I865" s="54">
        <f>IF(H865:H1864&lt;45, "Adult", IF(H865:H1864&lt;60, "Middle Age", IF(H865:H1864&lt;70, "Old", "Very Old")))</f>
      </c>
      <c r="J865" s="55">
        <v>41675</v>
      </c>
      <c r="K865" s="56">
        <v>203445</v>
      </c>
      <c r="L865" s="54">
        <f>IF(K865:K1864&lt;50000,"0-50",IF(K865:K1864&lt;100001,"51-100",IF(K865:K1864&lt;150001,"101-150",IF(K865:K1864&lt;200001,"151-200",IF(K865:K1864&lt;250001,"201-250","above 250")))))</f>
      </c>
      <c r="M865" s="57">
        <v>0.34</v>
      </c>
      <c r="N865" s="45" t="s">
        <v>9</v>
      </c>
      <c r="O865" s="45" t="s">
        <v>57</v>
      </c>
      <c r="P865" s="51"/>
      <c r="Q865" s="52">
        <f>IF(ISBLANK(P865:P1864), "", DATEDIF(J865:J1864, P865:P1864, "Y"))</f>
      </c>
    </row>
    <row x14ac:dyDescent="0.25" r="866" customHeight="1" ht="15.75">
      <c r="A866" s="45" t="s">
        <v>1959</v>
      </c>
      <c r="B866" s="45" t="s">
        <v>407</v>
      </c>
      <c r="C866" s="45" t="s">
        <v>132</v>
      </c>
      <c r="D866" s="45" t="s">
        <v>30</v>
      </c>
      <c r="E866" s="45" t="s">
        <v>1092</v>
      </c>
      <c r="F866" s="45" t="s">
        <v>7</v>
      </c>
      <c r="G866" s="45" t="s">
        <v>8</v>
      </c>
      <c r="H866" s="53">
        <v>37</v>
      </c>
      <c r="I866" s="54">
        <f>IF(H866:H1865&lt;45, "Adult", IF(H866:H1865&lt;60, "Middle Age", IF(H866:H1865&lt;70, "Old", "Very Old")))</f>
      </c>
      <c r="J866" s="55">
        <v>40560</v>
      </c>
      <c r="K866" s="56">
        <v>131353</v>
      </c>
      <c r="L866" s="54">
        <f>IF(K866:K1865&lt;50000,"0-50",IF(K866:K1865&lt;100001,"51-100",IF(K866:K1865&lt;150001,"101-150",IF(K866:K1865&lt;200001,"151-200",IF(K866:K1865&lt;250001,"201-250","above 250")))))</f>
      </c>
      <c r="M866" s="57">
        <v>0.11</v>
      </c>
      <c r="N866" s="45" t="s">
        <v>12</v>
      </c>
      <c r="O866" s="45" t="s">
        <v>69</v>
      </c>
      <c r="P866" s="51"/>
      <c r="Q866" s="52">
        <f>IF(ISBLANK(P866:P1865), "", DATEDIF(J866:J1865, P866:P1865, "Y"))</f>
      </c>
    </row>
    <row x14ac:dyDescent="0.25" r="867" customHeight="1" ht="15.75">
      <c r="A867" s="45" t="s">
        <v>1960</v>
      </c>
      <c r="B867" s="45" t="s">
        <v>628</v>
      </c>
      <c r="C867" s="45" t="s">
        <v>122</v>
      </c>
      <c r="D867" s="45" t="s">
        <v>32</v>
      </c>
      <c r="E867" s="45" t="s">
        <v>1094</v>
      </c>
      <c r="F867" s="45" t="s">
        <v>10</v>
      </c>
      <c r="G867" s="45" t="s">
        <v>8</v>
      </c>
      <c r="H867" s="53">
        <v>45</v>
      </c>
      <c r="I867" s="54">
        <f>IF(H867:H1866&lt;45, "Adult", IF(H867:H1866&lt;60, "Middle Age", IF(H867:H1866&lt;70, "Old", "Very Old")))</f>
      </c>
      <c r="J867" s="55">
        <v>40253</v>
      </c>
      <c r="K867" s="56">
        <v>88182</v>
      </c>
      <c r="L867" s="54">
        <f>IF(K867:K1866&lt;50000,"0-50",IF(K867:K1866&lt;100001,"51-100",IF(K867:K1866&lt;150001,"101-150",IF(K867:K1866&lt;200001,"151-200",IF(K867:K1866&lt;250001,"201-250","above 250")))))</f>
      </c>
      <c r="M867" s="57">
        <v>0</v>
      </c>
      <c r="N867" s="45" t="s">
        <v>12</v>
      </c>
      <c r="O867" s="45" t="s">
        <v>49</v>
      </c>
      <c r="P867" s="51"/>
      <c r="Q867" s="52">
        <f>IF(ISBLANK(P867:P1866), "", DATEDIF(J867:J1866, P867:P1866, "Y"))</f>
      </c>
    </row>
    <row x14ac:dyDescent="0.25" r="868" customHeight="1" ht="15.75">
      <c r="A868" s="45" t="s">
        <v>1961</v>
      </c>
      <c r="B868" s="45" t="s">
        <v>1009</v>
      </c>
      <c r="C868" s="45" t="s">
        <v>100</v>
      </c>
      <c r="D868" s="45" t="s">
        <v>32</v>
      </c>
      <c r="E868" s="45" t="s">
        <v>1096</v>
      </c>
      <c r="F868" s="45" t="s">
        <v>10</v>
      </c>
      <c r="G868" s="45" t="s">
        <v>14</v>
      </c>
      <c r="H868" s="53">
        <v>61</v>
      </c>
      <c r="I868" s="54">
        <f>IF(H868:H1867&lt;45, "Adult", IF(H868:H1867&lt;60, "Middle Age", IF(H868:H1867&lt;70, "Old", "Very Old")))</f>
      </c>
      <c r="J868" s="55">
        <v>43703</v>
      </c>
      <c r="K868" s="56">
        <v>75780</v>
      </c>
      <c r="L868" s="54">
        <f>IF(K868:K1867&lt;50000,"0-50",IF(K868:K1867&lt;100001,"51-100",IF(K868:K1867&lt;150001,"101-150",IF(K868:K1867&lt;200001,"151-200",IF(K868:K1867&lt;250001,"201-250","above 250")))))</f>
      </c>
      <c r="M868" s="57">
        <v>0</v>
      </c>
      <c r="N868" s="45" t="s">
        <v>15</v>
      </c>
      <c r="O868" s="45" t="s">
        <v>67</v>
      </c>
      <c r="P868" s="51"/>
      <c r="Q868" s="52">
        <f>IF(ISBLANK(P868:P1867), "", DATEDIF(J868:J1867, P868:P1867, "Y"))</f>
      </c>
    </row>
    <row x14ac:dyDescent="0.25" r="869" customHeight="1" ht="15.75">
      <c r="A869" s="45" t="s">
        <v>1962</v>
      </c>
      <c r="B869" s="45" t="s">
        <v>606</v>
      </c>
      <c r="C869" s="45" t="s">
        <v>82</v>
      </c>
      <c r="D869" s="45" t="s">
        <v>36</v>
      </c>
      <c r="E869" s="45" t="s">
        <v>1092</v>
      </c>
      <c r="F869" s="45" t="s">
        <v>7</v>
      </c>
      <c r="G869" s="45" t="s">
        <v>8</v>
      </c>
      <c r="H869" s="53">
        <v>45</v>
      </c>
      <c r="I869" s="54">
        <f>IF(H869:H1868&lt;45, "Adult", IF(H869:H1868&lt;60, "Middle Age", IF(H869:H1868&lt;70, "Old", "Very Old")))</f>
      </c>
      <c r="J869" s="55">
        <v>43557</v>
      </c>
      <c r="K869" s="56">
        <v>52621</v>
      </c>
      <c r="L869" s="54">
        <f>IF(K869:K1868&lt;50000,"0-50",IF(K869:K1868&lt;100001,"51-100",IF(K869:K1868&lt;150001,"101-150",IF(K869:K1868&lt;200001,"151-200",IF(K869:K1868&lt;250001,"201-250","above 250")))))</f>
      </c>
      <c r="M869" s="57">
        <v>0</v>
      </c>
      <c r="N869" s="45" t="s">
        <v>12</v>
      </c>
      <c r="O869" s="45" t="s">
        <v>47</v>
      </c>
      <c r="P869" s="51"/>
      <c r="Q869" s="52">
        <f>IF(ISBLANK(P869:P1868), "", DATEDIF(J869:J1868, P869:P1868, "Y"))</f>
      </c>
    </row>
    <row x14ac:dyDescent="0.25" r="870" customHeight="1" ht="15.75">
      <c r="A870" s="45" t="s">
        <v>1963</v>
      </c>
      <c r="B870" s="45" t="s">
        <v>992</v>
      </c>
      <c r="C870" s="45" t="s">
        <v>98</v>
      </c>
      <c r="D870" s="45" t="s">
        <v>26</v>
      </c>
      <c r="E870" s="45" t="s">
        <v>1092</v>
      </c>
      <c r="F870" s="45" t="s">
        <v>10</v>
      </c>
      <c r="G870" s="45" t="s">
        <v>8</v>
      </c>
      <c r="H870" s="53">
        <v>60</v>
      </c>
      <c r="I870" s="54">
        <f>IF(H870:H1869&lt;45, "Adult", IF(H870:H1869&lt;60, "Middle Age", IF(H870:H1869&lt;70, "Old", "Very Old")))</f>
      </c>
      <c r="J870" s="55">
        <v>43146</v>
      </c>
      <c r="K870" s="56">
        <v>106079</v>
      </c>
      <c r="L870" s="54">
        <f>IF(K870:K1869&lt;50000,"0-50",IF(K870:K1869&lt;100001,"51-100",IF(K870:K1869&lt;150001,"101-150",IF(K870:K1869&lt;200001,"151-200",IF(K870:K1869&lt;250001,"201-250","above 250")))))</f>
      </c>
      <c r="M870" s="57">
        <v>0.14</v>
      </c>
      <c r="N870" s="45" t="s">
        <v>15</v>
      </c>
      <c r="O870" s="45" t="s">
        <v>42</v>
      </c>
      <c r="P870" s="58">
        <v>44295</v>
      </c>
      <c r="Q870" s="53">
        <f>IF(ISBLANK(P870:P1869), "", DATEDIF(J870:J1869, P870:P1869, "Y"))</f>
      </c>
    </row>
    <row x14ac:dyDescent="0.25" r="871" customHeight="1" ht="15.75">
      <c r="A871" s="45" t="s">
        <v>1964</v>
      </c>
      <c r="B871" s="45" t="s">
        <v>236</v>
      </c>
      <c r="C871" s="45" t="s">
        <v>88</v>
      </c>
      <c r="D871" s="45" t="s">
        <v>32</v>
      </c>
      <c r="E871" s="45" t="s">
        <v>1100</v>
      </c>
      <c r="F871" s="45" t="s">
        <v>10</v>
      </c>
      <c r="G871" s="45" t="s">
        <v>17</v>
      </c>
      <c r="H871" s="53">
        <v>30</v>
      </c>
      <c r="I871" s="54">
        <f>IF(H871:H1870&lt;45, "Adult", IF(H871:H1870&lt;60, "Middle Age", IF(H871:H1870&lt;70, "Old", "Very Old")))</f>
      </c>
      <c r="J871" s="55">
        <v>42777</v>
      </c>
      <c r="K871" s="56">
        <v>92058</v>
      </c>
      <c r="L871" s="54">
        <f>IF(K871:K1870&lt;50000,"0-50",IF(K871:K1870&lt;100001,"51-100",IF(K871:K1870&lt;150001,"101-150",IF(K871:K1870&lt;200001,"151-200",IF(K871:K1870&lt;250001,"201-250","above 250")))))</f>
      </c>
      <c r="M871" s="57">
        <v>0</v>
      </c>
      <c r="N871" s="45" t="s">
        <v>15</v>
      </c>
      <c r="O871" s="45" t="s">
        <v>42</v>
      </c>
      <c r="P871" s="51"/>
      <c r="Q871" s="52">
        <f>IF(ISBLANK(P871:P1870), "", DATEDIF(J871:J1870, P871:P1870, "Y"))</f>
      </c>
    </row>
    <row x14ac:dyDescent="0.25" r="872" customHeight="1" ht="15.75">
      <c r="A872" s="45" t="s">
        <v>1965</v>
      </c>
      <c r="B872" s="45" t="s">
        <v>1063</v>
      </c>
      <c r="C872" s="45" t="s">
        <v>102</v>
      </c>
      <c r="D872" s="45" t="s">
        <v>26</v>
      </c>
      <c r="E872" s="45" t="s">
        <v>1094</v>
      </c>
      <c r="F872" s="45" t="s">
        <v>10</v>
      </c>
      <c r="G872" s="45" t="s">
        <v>8</v>
      </c>
      <c r="H872" s="53">
        <v>64</v>
      </c>
      <c r="I872" s="54">
        <f>IF(H872:H1871&lt;45, "Adult", IF(H872:H1871&lt;60, "Middle Age", IF(H872:H1871&lt;70, "Old", "Very Old")))</f>
      </c>
      <c r="J872" s="55">
        <v>43527</v>
      </c>
      <c r="K872" s="56">
        <v>67114</v>
      </c>
      <c r="L872" s="54">
        <f>IF(K872:K1871&lt;50000,"0-50",IF(K872:K1871&lt;100001,"51-100",IF(K872:K1871&lt;150001,"101-150",IF(K872:K1871&lt;200001,"151-200",IF(K872:K1871&lt;250001,"201-250","above 250")))))</f>
      </c>
      <c r="M872" s="57">
        <v>0</v>
      </c>
      <c r="N872" s="45" t="s">
        <v>15</v>
      </c>
      <c r="O872" s="45" t="s">
        <v>61</v>
      </c>
      <c r="P872" s="51"/>
      <c r="Q872" s="52">
        <f>IF(ISBLANK(P872:P1871), "", DATEDIF(J872:J1871, P872:P1871, "Y"))</f>
      </c>
    </row>
    <row x14ac:dyDescent="0.25" r="873" customHeight="1" ht="15.75">
      <c r="A873" s="45" t="s">
        <v>1966</v>
      </c>
      <c r="B873" s="45" t="s">
        <v>70</v>
      </c>
      <c r="C873" s="45" t="s">
        <v>82</v>
      </c>
      <c r="D873" s="45" t="s">
        <v>28</v>
      </c>
      <c r="E873" s="45" t="s">
        <v>1092</v>
      </c>
      <c r="F873" s="45" t="s">
        <v>7</v>
      </c>
      <c r="G873" s="45" t="s">
        <v>17</v>
      </c>
      <c r="H873" s="53">
        <v>25</v>
      </c>
      <c r="I873" s="54">
        <f>IF(H873:H1872&lt;45, "Adult", IF(H873:H1872&lt;60, "Middle Age", IF(H873:H1872&lt;70, "Old", "Very Old")))</f>
      </c>
      <c r="J873" s="55">
        <v>44024</v>
      </c>
      <c r="K873" s="56">
        <v>56565</v>
      </c>
      <c r="L873" s="54">
        <f>IF(K873:K1872&lt;50000,"0-50",IF(K873:K1872&lt;100001,"51-100",IF(K873:K1872&lt;150001,"101-150",IF(K873:K1872&lt;200001,"151-200",IF(K873:K1872&lt;250001,"201-250","above 250")))))</f>
      </c>
      <c r="M873" s="57">
        <v>0</v>
      </c>
      <c r="N873" s="45" t="s">
        <v>9</v>
      </c>
      <c r="O873" s="45" t="s">
        <v>65</v>
      </c>
      <c r="P873" s="51"/>
      <c r="Q873" s="52">
        <f>IF(ISBLANK(P873:P1872), "", DATEDIF(J873:J1872, P873:P1872, "Y"))</f>
      </c>
    </row>
    <row x14ac:dyDescent="0.25" r="874" customHeight="1" ht="15.75">
      <c r="A874" s="45" t="s">
        <v>1967</v>
      </c>
      <c r="B874" s="45" t="s">
        <v>1013</v>
      </c>
      <c r="C874" s="45" t="s">
        <v>104</v>
      </c>
      <c r="D874" s="45" t="s">
        <v>30</v>
      </c>
      <c r="E874" s="45" t="s">
        <v>1094</v>
      </c>
      <c r="F874" s="45" t="s">
        <v>7</v>
      </c>
      <c r="G874" s="45" t="s">
        <v>14</v>
      </c>
      <c r="H874" s="53">
        <v>61</v>
      </c>
      <c r="I874" s="54">
        <f>IF(H874:H1873&lt;45, "Adult", IF(H874:H1873&lt;60, "Middle Age", IF(H874:H1873&lt;70, "Old", "Very Old")))</f>
      </c>
      <c r="J874" s="55">
        <v>40683</v>
      </c>
      <c r="K874" s="56">
        <v>64937</v>
      </c>
      <c r="L874" s="54">
        <f>IF(K874:K1873&lt;50000,"0-50",IF(K874:K1873&lt;100001,"51-100",IF(K874:K1873&lt;150001,"101-150",IF(K874:K1873&lt;200001,"151-200",IF(K874:K1873&lt;250001,"201-250","above 250")))))</f>
      </c>
      <c r="M874" s="57">
        <v>0</v>
      </c>
      <c r="N874" s="45" t="s">
        <v>15</v>
      </c>
      <c r="O874" s="45" t="s">
        <v>61</v>
      </c>
      <c r="P874" s="51"/>
      <c r="Q874" s="52">
        <f>IF(ISBLANK(P874:P1873), "", DATEDIF(J874:J1873, P874:P1873, "Y"))</f>
      </c>
    </row>
    <row x14ac:dyDescent="0.25" r="875" customHeight="1" ht="15.75">
      <c r="A875" s="45" t="s">
        <v>1968</v>
      </c>
      <c r="B875" s="45" t="s">
        <v>1081</v>
      </c>
      <c r="C875" s="45" t="s">
        <v>110</v>
      </c>
      <c r="D875" s="45" t="s">
        <v>34</v>
      </c>
      <c r="E875" s="45" t="s">
        <v>1094</v>
      </c>
      <c r="F875" s="45" t="s">
        <v>7</v>
      </c>
      <c r="G875" s="45" t="s">
        <v>17</v>
      </c>
      <c r="H875" s="53">
        <v>65</v>
      </c>
      <c r="I875" s="54">
        <f>IF(H875:H1874&lt;45, "Adult", IF(H875:H1874&lt;60, "Middle Age", IF(H875:H1874&lt;70, "Old", "Very Old")))</f>
      </c>
      <c r="J875" s="55">
        <v>38967</v>
      </c>
      <c r="K875" s="56">
        <v>127626</v>
      </c>
      <c r="L875" s="54">
        <f>IF(K875:K1874&lt;50000,"0-50",IF(K875:K1874&lt;100001,"51-100",IF(K875:K1874&lt;150001,"101-150",IF(K875:K1874&lt;200001,"151-200",IF(K875:K1874&lt;250001,"201-250","above 250")))))</f>
      </c>
      <c r="M875" s="57">
        <v>0.1</v>
      </c>
      <c r="N875" s="45" t="s">
        <v>15</v>
      </c>
      <c r="O875" s="45" t="s">
        <v>59</v>
      </c>
      <c r="P875" s="51"/>
      <c r="Q875" s="52">
        <f>IF(ISBLANK(P875:P1874), "", DATEDIF(J875:J1874, P875:P1874, "Y"))</f>
      </c>
    </row>
    <row x14ac:dyDescent="0.25" r="876" customHeight="1" ht="15.75">
      <c r="A876" s="45" t="s">
        <v>1969</v>
      </c>
      <c r="B876" s="45" t="s">
        <v>1007</v>
      </c>
      <c r="C876" s="45" t="s">
        <v>114</v>
      </c>
      <c r="D876" s="45" t="s">
        <v>32</v>
      </c>
      <c r="E876" s="45" t="s">
        <v>1100</v>
      </c>
      <c r="F876" s="45" t="s">
        <v>10</v>
      </c>
      <c r="G876" s="45" t="s">
        <v>11</v>
      </c>
      <c r="H876" s="53">
        <v>61</v>
      </c>
      <c r="I876" s="54">
        <f>IF(H876:H1875&lt;45, "Adult", IF(H876:H1875&lt;60, "Middle Age", IF(H876:H1875&lt;70, "Old", "Very Old")))</f>
      </c>
      <c r="J876" s="55">
        <v>38013</v>
      </c>
      <c r="K876" s="56">
        <v>88478</v>
      </c>
      <c r="L876" s="54">
        <f>IF(K876:K1875&lt;50000,"0-50",IF(K876:K1875&lt;100001,"51-100",IF(K876:K1875&lt;150001,"101-150",IF(K876:K1875&lt;200001,"151-200",IF(K876:K1875&lt;250001,"201-250","above 250")))))</f>
      </c>
      <c r="M876" s="57">
        <v>0</v>
      </c>
      <c r="N876" s="45" t="s">
        <v>15</v>
      </c>
      <c r="O876" s="45" t="s">
        <v>42</v>
      </c>
      <c r="P876" s="51"/>
      <c r="Q876" s="52">
        <f>IF(ISBLANK(P876:P1875), "", DATEDIF(J876:J1875, P876:P1875, "Y"))</f>
      </c>
    </row>
    <row x14ac:dyDescent="0.25" r="877" customHeight="1" ht="15.75">
      <c r="A877" s="45" t="s">
        <v>1970</v>
      </c>
      <c r="B877" s="45" t="s">
        <v>710</v>
      </c>
      <c r="C877" s="45" t="s">
        <v>90</v>
      </c>
      <c r="D877" s="45" t="s">
        <v>32</v>
      </c>
      <c r="E877" s="45" t="s">
        <v>1096</v>
      </c>
      <c r="F877" s="45" t="s">
        <v>7</v>
      </c>
      <c r="G877" s="45" t="s">
        <v>8</v>
      </c>
      <c r="H877" s="53">
        <v>48</v>
      </c>
      <c r="I877" s="54">
        <f>IF(H877:H1876&lt;45, "Adult", IF(H877:H1876&lt;60, "Middle Age", IF(H877:H1876&lt;70, "Old", "Very Old")))</f>
      </c>
      <c r="J877" s="55">
        <v>41749</v>
      </c>
      <c r="K877" s="56">
        <v>91679</v>
      </c>
      <c r="L877" s="54">
        <f>IF(K877:K1876&lt;50000,"0-50",IF(K877:K1876&lt;100001,"51-100",IF(K877:K1876&lt;150001,"101-150",IF(K877:K1876&lt;200001,"151-200",IF(K877:K1876&lt;250001,"201-250","above 250")))))</f>
      </c>
      <c r="M877" s="57">
        <v>0.07</v>
      </c>
      <c r="N877" s="45" t="s">
        <v>12</v>
      </c>
      <c r="O877" s="45" t="s">
        <v>53</v>
      </c>
      <c r="P877" s="51"/>
      <c r="Q877" s="52">
        <f>IF(ISBLANK(P877:P1876), "", DATEDIF(J877:J1876, P877:P1876, "Y"))</f>
      </c>
    </row>
    <row x14ac:dyDescent="0.25" r="878" customHeight="1" ht="15.75">
      <c r="A878" s="45" t="s">
        <v>1971</v>
      </c>
      <c r="B878" s="45" t="s">
        <v>952</v>
      </c>
      <c r="C878" s="45" t="s">
        <v>96</v>
      </c>
      <c r="D878" s="45" t="s">
        <v>36</v>
      </c>
      <c r="E878" s="45" t="s">
        <v>1100</v>
      </c>
      <c r="F878" s="45" t="s">
        <v>10</v>
      </c>
      <c r="G878" s="45" t="s">
        <v>8</v>
      </c>
      <c r="H878" s="53">
        <v>58</v>
      </c>
      <c r="I878" s="54">
        <f>IF(H878:H1877&lt;45, "Adult", IF(H878:H1877&lt;60, "Middle Age", IF(H878:H1877&lt;70, "Old", "Very Old")))</f>
      </c>
      <c r="J878" s="55">
        <v>33682</v>
      </c>
      <c r="K878" s="56">
        <v>199848</v>
      </c>
      <c r="L878" s="54">
        <f>IF(K878:K1877&lt;50000,"0-50",IF(K878:K1877&lt;100001,"51-100",IF(K878:K1877&lt;150001,"101-150",IF(K878:K1877&lt;200001,"151-200",IF(K878:K1877&lt;250001,"201-250","above 250")))))</f>
      </c>
      <c r="M878" s="57">
        <v>0.16</v>
      </c>
      <c r="N878" s="45" t="s">
        <v>12</v>
      </c>
      <c r="O878" s="45" t="s">
        <v>53</v>
      </c>
      <c r="P878" s="51"/>
      <c r="Q878" s="52">
        <f>IF(ISBLANK(P878:P1877), "", DATEDIF(J878:J1877, P878:P1877, "Y"))</f>
      </c>
    </row>
    <row x14ac:dyDescent="0.25" r="879" customHeight="1" ht="15.75">
      <c r="A879" s="45" t="s">
        <v>1972</v>
      </c>
      <c r="B879" s="45" t="s">
        <v>332</v>
      </c>
      <c r="C879" s="45" t="s">
        <v>116</v>
      </c>
      <c r="D879" s="45" t="s">
        <v>32</v>
      </c>
      <c r="E879" s="45" t="s">
        <v>1094</v>
      </c>
      <c r="F879" s="45" t="s">
        <v>10</v>
      </c>
      <c r="G879" s="45" t="s">
        <v>8</v>
      </c>
      <c r="H879" s="53">
        <v>34</v>
      </c>
      <c r="I879" s="54">
        <f>IF(H879:H1878&lt;45, "Adult", IF(H879:H1878&lt;60, "Middle Age", IF(H879:H1878&lt;70, "Old", "Very Old")))</f>
      </c>
      <c r="J879" s="55">
        <v>43414</v>
      </c>
      <c r="K879" s="56">
        <v>61944</v>
      </c>
      <c r="L879" s="54">
        <f>IF(K879:K1878&lt;50000,"0-50",IF(K879:K1878&lt;100001,"51-100",IF(K879:K1878&lt;150001,"101-150",IF(K879:K1878&lt;200001,"151-200",IF(K879:K1878&lt;250001,"201-250","above 250")))))</f>
      </c>
      <c r="M879" s="57">
        <v>0</v>
      </c>
      <c r="N879" s="45" t="s">
        <v>12</v>
      </c>
      <c r="O879" s="45" t="s">
        <v>69</v>
      </c>
      <c r="P879" s="51"/>
      <c r="Q879" s="52">
        <f>IF(ISBLANK(P879:P1878), "", DATEDIF(J879:J1878, P879:P1878, "Y"))</f>
      </c>
    </row>
    <row x14ac:dyDescent="0.25" r="880" customHeight="1" ht="15.75">
      <c r="A880" s="45" t="s">
        <v>1973</v>
      </c>
      <c r="B880" s="45" t="s">
        <v>239</v>
      </c>
      <c r="C880" s="45" t="s">
        <v>132</v>
      </c>
      <c r="D880" s="45" t="s">
        <v>36</v>
      </c>
      <c r="E880" s="45" t="s">
        <v>1096</v>
      </c>
      <c r="F880" s="45" t="s">
        <v>7</v>
      </c>
      <c r="G880" s="45" t="s">
        <v>11</v>
      </c>
      <c r="H880" s="53">
        <v>30</v>
      </c>
      <c r="I880" s="54">
        <f>IF(H880:H1879&lt;45, "Adult", IF(H880:H1879&lt;60, "Middle Age", IF(H880:H1879&lt;70, "Old", "Very Old")))</f>
      </c>
      <c r="J880" s="55">
        <v>42960</v>
      </c>
      <c r="K880" s="56">
        <v>154624</v>
      </c>
      <c r="L880" s="54">
        <f>IF(K880:K1879&lt;50000,"0-50",IF(K880:K1879&lt;100001,"51-100",IF(K880:K1879&lt;150001,"101-150",IF(K880:K1879&lt;200001,"151-200",IF(K880:K1879&lt;250001,"201-250","above 250")))))</f>
      </c>
      <c r="M880" s="57">
        <v>0.15</v>
      </c>
      <c r="N880" s="45" t="s">
        <v>15</v>
      </c>
      <c r="O880" s="45" t="s">
        <v>42</v>
      </c>
      <c r="P880" s="51"/>
      <c r="Q880" s="52">
        <f>IF(ISBLANK(P880:P1879), "", DATEDIF(J880:J1879, P880:P1879, "Y"))</f>
      </c>
    </row>
    <row x14ac:dyDescent="0.25" r="881" customHeight="1" ht="15.75">
      <c r="A881" s="45" t="s">
        <v>1974</v>
      </c>
      <c r="B881" s="45" t="s">
        <v>749</v>
      </c>
      <c r="C881" s="45" t="s">
        <v>128</v>
      </c>
      <c r="D881" s="45" t="s">
        <v>24</v>
      </c>
      <c r="E881" s="45" t="s">
        <v>1092</v>
      </c>
      <c r="F881" s="45" t="s">
        <v>10</v>
      </c>
      <c r="G881" s="45" t="s">
        <v>8</v>
      </c>
      <c r="H881" s="53">
        <v>50</v>
      </c>
      <c r="I881" s="54">
        <f>IF(H881:H1880&lt;45, "Adult", IF(H881:H1880&lt;60, "Middle Age", IF(H881:H1880&lt;70, "Old", "Very Old")))</f>
      </c>
      <c r="J881" s="55">
        <v>40109</v>
      </c>
      <c r="K881" s="56">
        <v>79447</v>
      </c>
      <c r="L881" s="54">
        <f>IF(K881:K1880&lt;50000,"0-50",IF(K881:K1880&lt;100001,"51-100",IF(K881:K1880&lt;150001,"101-150",IF(K881:K1880&lt;200001,"151-200",IF(K881:K1880&lt;250001,"201-250","above 250")))))</f>
      </c>
      <c r="M881" s="57">
        <v>0</v>
      </c>
      <c r="N881" s="45" t="s">
        <v>12</v>
      </c>
      <c r="O881" s="45" t="s">
        <v>69</v>
      </c>
      <c r="P881" s="51"/>
      <c r="Q881" s="52">
        <f>IF(ISBLANK(P881:P1880), "", DATEDIF(J881:J1880, P881:P1880, "Y"))</f>
      </c>
    </row>
    <row x14ac:dyDescent="0.25" r="882" customHeight="1" ht="15.75">
      <c r="A882" s="45" t="s">
        <v>1975</v>
      </c>
      <c r="B882" s="45" t="s">
        <v>775</v>
      </c>
      <c r="C882" s="45" t="s">
        <v>128</v>
      </c>
      <c r="D882" s="45" t="s">
        <v>36</v>
      </c>
      <c r="E882" s="45" t="s">
        <v>1094</v>
      </c>
      <c r="F882" s="45" t="s">
        <v>10</v>
      </c>
      <c r="G882" s="45" t="s">
        <v>17</v>
      </c>
      <c r="H882" s="53">
        <v>51</v>
      </c>
      <c r="I882" s="54">
        <f>IF(H882:H1881&lt;45, "Adult", IF(H882:H1881&lt;60, "Middle Age", IF(H882:H1881&lt;70, "Old", "Very Old")))</f>
      </c>
      <c r="J882" s="55">
        <v>35852</v>
      </c>
      <c r="K882" s="56">
        <v>71111</v>
      </c>
      <c r="L882" s="54">
        <f>IF(K882:K1881&lt;50000,"0-50",IF(K882:K1881&lt;100001,"51-100",IF(K882:K1881&lt;150001,"101-150",IF(K882:K1881&lt;200001,"151-200",IF(K882:K1881&lt;250001,"201-250","above 250")))))</f>
      </c>
      <c r="M882" s="57">
        <v>0</v>
      </c>
      <c r="N882" s="45" t="s">
        <v>9</v>
      </c>
      <c r="O882" s="45" t="s">
        <v>63</v>
      </c>
      <c r="P882" s="51"/>
      <c r="Q882" s="52">
        <f>IF(ISBLANK(P882:P1881), "", DATEDIF(J882:J1881, P882:P1881, "Y"))</f>
      </c>
    </row>
    <row x14ac:dyDescent="0.25" r="883" customHeight="1" ht="15.75">
      <c r="A883" s="45" t="s">
        <v>1976</v>
      </c>
      <c r="B883" s="45" t="s">
        <v>828</v>
      </c>
      <c r="C883" s="45" t="s">
        <v>132</v>
      </c>
      <c r="D883" s="45" t="s">
        <v>36</v>
      </c>
      <c r="E883" s="45" t="s">
        <v>1092</v>
      </c>
      <c r="F883" s="45" t="s">
        <v>10</v>
      </c>
      <c r="G883" s="45" t="s">
        <v>14</v>
      </c>
      <c r="H883" s="53">
        <v>53</v>
      </c>
      <c r="I883" s="54">
        <f>IF(H883:H1882&lt;45, "Adult", IF(H883:H1882&lt;60, "Middle Age", IF(H883:H1882&lt;70, "Old", "Very Old")))</f>
      </c>
      <c r="J883" s="55">
        <v>41931</v>
      </c>
      <c r="K883" s="56">
        <v>159538</v>
      </c>
      <c r="L883" s="54">
        <f>IF(K883:K1882&lt;50000,"0-50",IF(K883:K1882&lt;100001,"51-100",IF(K883:K1882&lt;150001,"101-150",IF(K883:K1882&lt;200001,"151-200",IF(K883:K1882&lt;250001,"201-250","above 250")))))</f>
      </c>
      <c r="M883" s="57">
        <v>0.11</v>
      </c>
      <c r="N883" s="45" t="s">
        <v>15</v>
      </c>
      <c r="O883" s="45" t="s">
        <v>59</v>
      </c>
      <c r="P883" s="51"/>
      <c r="Q883" s="52">
        <f>IF(ISBLANK(P883:P1882), "", DATEDIF(J883:J1882, P883:P1882, "Y"))</f>
      </c>
    </row>
    <row x14ac:dyDescent="0.25" r="884" customHeight="1" ht="15.75">
      <c r="A884" s="45" t="s">
        <v>1977</v>
      </c>
      <c r="B884" s="45" t="s">
        <v>682</v>
      </c>
      <c r="C884" s="45" t="s">
        <v>92</v>
      </c>
      <c r="D884" s="45" t="s">
        <v>26</v>
      </c>
      <c r="E884" s="45" t="s">
        <v>1100</v>
      </c>
      <c r="F884" s="45" t="s">
        <v>7</v>
      </c>
      <c r="G884" s="45" t="s">
        <v>17</v>
      </c>
      <c r="H884" s="53">
        <v>47</v>
      </c>
      <c r="I884" s="54">
        <f>IF(H884:H1883&lt;45, "Adult", IF(H884:H1883&lt;60, "Middle Age", IF(H884:H1883&lt;70, "Old", "Very Old")))</f>
      </c>
      <c r="J884" s="55">
        <v>43375</v>
      </c>
      <c r="K884" s="56">
        <v>111404</v>
      </c>
      <c r="L884" s="54">
        <f>IF(K884:K1883&lt;50000,"0-50",IF(K884:K1883&lt;100001,"51-100",IF(K884:K1883&lt;150001,"101-150",IF(K884:K1883&lt;200001,"151-200",IF(K884:K1883&lt;250001,"201-250","above 250")))))</f>
      </c>
      <c r="M884" s="57">
        <v>0</v>
      </c>
      <c r="N884" s="45" t="s">
        <v>9</v>
      </c>
      <c r="O884" s="45" t="s">
        <v>63</v>
      </c>
      <c r="P884" s="51"/>
      <c r="Q884" s="52">
        <f>IF(ISBLANK(P884:P1883), "", DATEDIF(J884:J1883, P884:P1883, "Y"))</f>
      </c>
    </row>
    <row x14ac:dyDescent="0.25" r="885" customHeight="1" ht="15.75">
      <c r="A885" s="45" t="s">
        <v>1978</v>
      </c>
      <c r="B885" s="45" t="s">
        <v>72</v>
      </c>
      <c r="C885" s="45" t="s">
        <v>96</v>
      </c>
      <c r="D885" s="45" t="s">
        <v>34</v>
      </c>
      <c r="E885" s="45" t="s">
        <v>1096</v>
      </c>
      <c r="F885" s="45" t="s">
        <v>10</v>
      </c>
      <c r="G885" s="45" t="s">
        <v>14</v>
      </c>
      <c r="H885" s="53">
        <v>25</v>
      </c>
      <c r="I885" s="54">
        <f>IF(H885:H1884&lt;45, "Adult", IF(H885:H1884&lt;60, "Middle Age", IF(H885:H1884&lt;70, "Old", "Very Old")))</f>
      </c>
      <c r="J885" s="55">
        <v>44058</v>
      </c>
      <c r="K885" s="56">
        <v>172007</v>
      </c>
      <c r="L885" s="54">
        <f>IF(K885:K1884&lt;50000,"0-50",IF(K885:K1884&lt;100001,"51-100",IF(K885:K1884&lt;150001,"101-150",IF(K885:K1884&lt;200001,"151-200",IF(K885:K1884&lt;250001,"201-250","above 250")))))</f>
      </c>
      <c r="M885" s="57">
        <v>0.26</v>
      </c>
      <c r="N885" s="45" t="s">
        <v>15</v>
      </c>
      <c r="O885" s="45" t="s">
        <v>59</v>
      </c>
      <c r="P885" s="51"/>
      <c r="Q885" s="52">
        <f>IF(ISBLANK(P885:P1884), "", DATEDIF(J885:J1884, P885:P1884, "Y"))</f>
      </c>
    </row>
    <row x14ac:dyDescent="0.25" r="886" customHeight="1" ht="15.75">
      <c r="A886" s="45" t="s">
        <v>1979</v>
      </c>
      <c r="B886" s="45" t="s">
        <v>397</v>
      </c>
      <c r="C886" s="45" t="s">
        <v>142</v>
      </c>
      <c r="D886" s="45" t="s">
        <v>34</v>
      </c>
      <c r="E886" s="45" t="s">
        <v>1094</v>
      </c>
      <c r="F886" s="45" t="s">
        <v>7</v>
      </c>
      <c r="G886" s="45" t="s">
        <v>17</v>
      </c>
      <c r="H886" s="53">
        <v>37</v>
      </c>
      <c r="I886" s="54">
        <f>IF(H886:H1885&lt;45, "Adult", IF(H886:H1885&lt;60, "Middle Age", IF(H886:H1885&lt;70, "Old", "Very Old")))</f>
      </c>
      <c r="J886" s="55">
        <v>40745</v>
      </c>
      <c r="K886" s="56">
        <v>219474</v>
      </c>
      <c r="L886" s="54">
        <f>IF(K886:K1885&lt;50000,"0-50",IF(K886:K1885&lt;100001,"51-100",IF(K886:K1885&lt;150001,"101-150",IF(K886:K1885&lt;200001,"151-200",IF(K886:K1885&lt;250001,"201-250","above 250")))))</f>
      </c>
      <c r="M886" s="57">
        <v>0.36</v>
      </c>
      <c r="N886" s="45" t="s">
        <v>9</v>
      </c>
      <c r="O886" s="45" t="s">
        <v>57</v>
      </c>
      <c r="P886" s="51"/>
      <c r="Q886" s="52">
        <f>IF(ISBLANK(P886:P1885), "", DATEDIF(J886:J1885, P886:P1885, "Y"))</f>
      </c>
    </row>
    <row x14ac:dyDescent="0.25" r="887" customHeight="1" ht="15.75">
      <c r="A887" s="45" t="s">
        <v>1980</v>
      </c>
      <c r="B887" s="45" t="s">
        <v>493</v>
      </c>
      <c r="C887" s="45" t="s">
        <v>96</v>
      </c>
      <c r="D887" s="45" t="s">
        <v>28</v>
      </c>
      <c r="E887" s="45" t="s">
        <v>1100</v>
      </c>
      <c r="F887" s="45" t="s">
        <v>10</v>
      </c>
      <c r="G887" s="45" t="s">
        <v>14</v>
      </c>
      <c r="H887" s="53">
        <v>41</v>
      </c>
      <c r="I887" s="54">
        <f>IF(H887:H1886&lt;45, "Adult", IF(H887:H1886&lt;60, "Middle Age", IF(H887:H1886&lt;70, "Old", "Very Old")))</f>
      </c>
      <c r="J887" s="55">
        <v>43600</v>
      </c>
      <c r="K887" s="56">
        <v>174415</v>
      </c>
      <c r="L887" s="54">
        <f>IF(K887:K1886&lt;50000,"0-50",IF(K887:K1886&lt;100001,"51-100",IF(K887:K1886&lt;150001,"101-150",IF(K887:K1886&lt;200001,"151-200",IF(K887:K1886&lt;250001,"201-250","above 250")))))</f>
      </c>
      <c r="M887" s="57">
        <v>0.23</v>
      </c>
      <c r="N887" s="45" t="s">
        <v>15</v>
      </c>
      <c r="O887" s="45" t="s">
        <v>59</v>
      </c>
      <c r="P887" s="51"/>
      <c r="Q887" s="52">
        <f>IF(ISBLANK(P887:P1886), "", DATEDIF(J887:J1886, P887:P1886, "Y"))</f>
      </c>
    </row>
    <row x14ac:dyDescent="0.25" r="888" customHeight="1" ht="15.75">
      <c r="A888" s="45" t="s">
        <v>1981</v>
      </c>
      <c r="B888" s="45" t="s">
        <v>375</v>
      </c>
      <c r="C888" s="45" t="s">
        <v>114</v>
      </c>
      <c r="D888" s="45" t="s">
        <v>32</v>
      </c>
      <c r="E888" s="45" t="s">
        <v>1096</v>
      </c>
      <c r="F888" s="45" t="s">
        <v>7</v>
      </c>
      <c r="G888" s="45" t="s">
        <v>17</v>
      </c>
      <c r="H888" s="53">
        <v>36</v>
      </c>
      <c r="I888" s="54">
        <f>IF(H888:H1887&lt;45, "Adult", IF(H888:H1887&lt;60, "Middle Age", IF(H888:H1887&lt;70, "Old", "Very Old")))</f>
      </c>
      <c r="J888" s="55">
        <v>44217</v>
      </c>
      <c r="K888" s="56">
        <v>90333</v>
      </c>
      <c r="L888" s="54">
        <f>IF(K888:K1887&lt;50000,"0-50",IF(K888:K1887&lt;100001,"51-100",IF(K888:K1887&lt;150001,"101-150",IF(K888:K1887&lt;200001,"151-200",IF(K888:K1887&lt;250001,"201-250","above 250")))))</f>
      </c>
      <c r="M888" s="57">
        <v>0</v>
      </c>
      <c r="N888" s="45" t="s">
        <v>9</v>
      </c>
      <c r="O888" s="45" t="s">
        <v>63</v>
      </c>
      <c r="P888" s="51"/>
      <c r="Q888" s="52">
        <f>IF(ISBLANK(P888:P1887), "", DATEDIF(J888:J1887, P888:P1887, "Y"))</f>
      </c>
    </row>
    <row x14ac:dyDescent="0.25" r="889" customHeight="1" ht="15.75">
      <c r="A889" s="45" t="s">
        <v>1982</v>
      </c>
      <c r="B889" s="45" t="s">
        <v>74</v>
      </c>
      <c r="C889" s="45" t="s">
        <v>104</v>
      </c>
      <c r="D889" s="45" t="s">
        <v>30</v>
      </c>
      <c r="E889" s="45" t="s">
        <v>1096</v>
      </c>
      <c r="F889" s="45" t="s">
        <v>10</v>
      </c>
      <c r="G889" s="45" t="s">
        <v>8</v>
      </c>
      <c r="H889" s="53">
        <v>25</v>
      </c>
      <c r="I889" s="54">
        <f>IF(H889:H1888&lt;45, "Adult", IF(H889:H1888&lt;60, "Middle Age", IF(H889:H1888&lt;70, "Old", "Very Old")))</f>
      </c>
      <c r="J889" s="55">
        <v>44217</v>
      </c>
      <c r="K889" s="56">
        <v>67299</v>
      </c>
      <c r="L889" s="54">
        <f>IF(K889:K1888&lt;50000,"0-50",IF(K889:K1888&lt;100001,"51-100",IF(K889:K1888&lt;150001,"101-150",IF(K889:K1888&lt;200001,"151-200",IF(K889:K1888&lt;250001,"201-250","above 250")))))</f>
      </c>
      <c r="M889" s="57">
        <v>0</v>
      </c>
      <c r="N889" s="45" t="s">
        <v>15</v>
      </c>
      <c r="O889" s="45" t="s">
        <v>61</v>
      </c>
      <c r="P889" s="51"/>
      <c r="Q889" s="52">
        <f>IF(ISBLANK(P889:P1888), "", DATEDIF(J889:J1888, P889:P1888, "Y"))</f>
      </c>
    </row>
    <row x14ac:dyDescent="0.25" r="890" customHeight="1" ht="15.75">
      <c r="A890" s="45" t="s">
        <v>1983</v>
      </c>
      <c r="B890" s="45" t="s">
        <v>807</v>
      </c>
      <c r="C890" s="45" t="s">
        <v>136</v>
      </c>
      <c r="D890" s="45" t="s">
        <v>32</v>
      </c>
      <c r="E890" s="45" t="s">
        <v>1092</v>
      </c>
      <c r="F890" s="45" t="s">
        <v>7</v>
      </c>
      <c r="G890" s="45" t="s">
        <v>14</v>
      </c>
      <c r="H890" s="53">
        <v>52</v>
      </c>
      <c r="I890" s="54">
        <f>IF(H890:H1889&lt;45, "Adult", IF(H890:H1889&lt;60, "Middle Age", IF(H890:H1889&lt;70, "Old", "Very Old")))</f>
      </c>
      <c r="J890" s="55">
        <v>38406</v>
      </c>
      <c r="K890" s="56">
        <v>45286</v>
      </c>
      <c r="L890" s="54">
        <f>IF(K890:K1889&lt;50000,"0-50",IF(K890:K1889&lt;100001,"51-100",IF(K890:K1889&lt;150001,"101-150",IF(K890:K1889&lt;200001,"151-200",IF(K890:K1889&lt;250001,"201-250","above 250")))))</f>
      </c>
      <c r="M890" s="57">
        <v>0</v>
      </c>
      <c r="N890" s="45" t="s">
        <v>15</v>
      </c>
      <c r="O890" s="45" t="s">
        <v>51</v>
      </c>
      <c r="P890" s="51"/>
      <c r="Q890" s="52">
        <f>IF(ISBLANK(P890:P1889), "", DATEDIF(J890:J1889, P890:P1889, "Y"))</f>
      </c>
    </row>
    <row x14ac:dyDescent="0.25" r="891" customHeight="1" ht="15.75">
      <c r="A891" s="45" t="s">
        <v>1984</v>
      </c>
      <c r="B891" s="45" t="s">
        <v>707</v>
      </c>
      <c r="C891" s="45" t="s">
        <v>96</v>
      </c>
      <c r="D891" s="45" t="s">
        <v>34</v>
      </c>
      <c r="E891" s="45" t="s">
        <v>1092</v>
      </c>
      <c r="F891" s="45" t="s">
        <v>10</v>
      </c>
      <c r="G891" s="45" t="s">
        <v>14</v>
      </c>
      <c r="H891" s="53">
        <v>48</v>
      </c>
      <c r="I891" s="54">
        <f>IF(H891:H1890&lt;45, "Adult", IF(H891:H1890&lt;60, "Middle Age", IF(H891:H1890&lt;70, "Old", "Very Old")))</f>
      </c>
      <c r="J891" s="55">
        <v>39302</v>
      </c>
      <c r="K891" s="56">
        <v>194723</v>
      </c>
      <c r="L891" s="54">
        <f>IF(K891:K1890&lt;50000,"0-50",IF(K891:K1890&lt;100001,"51-100",IF(K891:K1890&lt;150001,"101-150",IF(K891:K1890&lt;200001,"151-200",IF(K891:K1890&lt;250001,"201-250","above 250")))))</f>
      </c>
      <c r="M891" s="57">
        <v>0.25</v>
      </c>
      <c r="N891" s="45" t="s">
        <v>15</v>
      </c>
      <c r="O891" s="45" t="s">
        <v>61</v>
      </c>
      <c r="P891" s="51"/>
      <c r="Q891" s="52">
        <f>IF(ISBLANK(P891:P1890), "", DATEDIF(J891:J1890, P891:P1890, "Y"))</f>
      </c>
    </row>
    <row x14ac:dyDescent="0.25" r="892" customHeight="1" ht="15.75">
      <c r="A892" s="45" t="s">
        <v>1985</v>
      </c>
      <c r="B892" s="45" t="s">
        <v>729</v>
      </c>
      <c r="C892" s="45" t="s">
        <v>110</v>
      </c>
      <c r="D892" s="45" t="s">
        <v>36</v>
      </c>
      <c r="E892" s="45" t="s">
        <v>1092</v>
      </c>
      <c r="F892" s="45" t="s">
        <v>10</v>
      </c>
      <c r="G892" s="45" t="s">
        <v>8</v>
      </c>
      <c r="H892" s="53">
        <v>49</v>
      </c>
      <c r="I892" s="54">
        <f>IF(H892:H1891&lt;45, "Adult", IF(H892:H1891&lt;60, "Middle Age", IF(H892:H1891&lt;70, "Old", "Very Old")))</f>
      </c>
      <c r="J892" s="55">
        <v>41131</v>
      </c>
      <c r="K892" s="56">
        <v>109850</v>
      </c>
      <c r="L892" s="54">
        <f>IF(K892:K1891&lt;50000,"0-50",IF(K892:K1891&lt;100001,"51-100",IF(K892:K1891&lt;150001,"101-150",IF(K892:K1891&lt;200001,"151-200",IF(K892:K1891&lt;250001,"201-250","above 250")))))</f>
      </c>
      <c r="M892" s="57">
        <v>0.07</v>
      </c>
      <c r="N892" s="45" t="s">
        <v>12</v>
      </c>
      <c r="O892" s="45" t="s">
        <v>47</v>
      </c>
      <c r="P892" s="58">
        <v>43865</v>
      </c>
      <c r="Q892" s="53">
        <f>IF(ISBLANK(P892:P1891), "", DATEDIF(J892:J1891, P892:P1891, "Y"))</f>
      </c>
    </row>
    <row x14ac:dyDescent="0.25" r="893" customHeight="1" ht="15.75">
      <c r="A893" s="45" t="s">
        <v>1986</v>
      </c>
      <c r="B893" s="45" t="s">
        <v>1025</v>
      </c>
      <c r="C893" s="45" t="s">
        <v>86</v>
      </c>
      <c r="D893" s="45" t="s">
        <v>30</v>
      </c>
      <c r="E893" s="45" t="s">
        <v>1092</v>
      </c>
      <c r="F893" s="45" t="s">
        <v>7</v>
      </c>
      <c r="G893" s="45" t="s">
        <v>17</v>
      </c>
      <c r="H893" s="53">
        <v>62</v>
      </c>
      <c r="I893" s="54">
        <f>IF(H893:H1892&lt;45, "Adult", IF(H893:H1892&lt;60, "Middle Age", IF(H893:H1892&lt;70, "Old", "Very Old")))</f>
      </c>
      <c r="J893" s="55">
        <v>41748</v>
      </c>
      <c r="K893" s="56">
        <v>45295</v>
      </c>
      <c r="L893" s="54">
        <f>IF(K893:K1892&lt;50000,"0-50",IF(K893:K1892&lt;100001,"51-100",IF(K893:K1892&lt;150001,"101-150",IF(K893:K1892&lt;200001,"151-200",IF(K893:K1892&lt;250001,"201-250","above 250")))))</f>
      </c>
      <c r="M893" s="57">
        <v>0</v>
      </c>
      <c r="N893" s="45" t="s">
        <v>9</v>
      </c>
      <c r="O893" s="45" t="s">
        <v>65</v>
      </c>
      <c r="P893" s="51"/>
      <c r="Q893" s="52">
        <f>IF(ISBLANK(P893:P1892), "", DATEDIF(J893:J1892, P893:P1892, "Y"))</f>
      </c>
    </row>
    <row x14ac:dyDescent="0.25" r="894" customHeight="1" ht="15.75">
      <c r="A894" s="45" t="s">
        <v>1987</v>
      </c>
      <c r="B894" s="45" t="s">
        <v>377</v>
      </c>
      <c r="C894" s="45" t="s">
        <v>112</v>
      </c>
      <c r="D894" s="45" t="s">
        <v>32</v>
      </c>
      <c r="E894" s="45" t="s">
        <v>1094</v>
      </c>
      <c r="F894" s="45" t="s">
        <v>7</v>
      </c>
      <c r="G894" s="45" t="s">
        <v>14</v>
      </c>
      <c r="H894" s="53">
        <v>36</v>
      </c>
      <c r="I894" s="54">
        <f>IF(H894:H1893&lt;45, "Adult", IF(H894:H1893&lt;60, "Middle Age", IF(H894:H1893&lt;70, "Old", "Very Old")))</f>
      </c>
      <c r="J894" s="55">
        <v>40413</v>
      </c>
      <c r="K894" s="56">
        <v>61310</v>
      </c>
      <c r="L894" s="54">
        <f>IF(K894:K1893&lt;50000,"0-50",IF(K894:K1893&lt;100001,"51-100",IF(K894:K1893&lt;150001,"101-150",IF(K894:K1893&lt;200001,"151-200",IF(K894:K1893&lt;250001,"201-250","above 250")))))</f>
      </c>
      <c r="M894" s="57">
        <v>0</v>
      </c>
      <c r="N894" s="45" t="s">
        <v>15</v>
      </c>
      <c r="O894" s="45" t="s">
        <v>61</v>
      </c>
      <c r="P894" s="51"/>
      <c r="Q894" s="52">
        <f>IF(ISBLANK(P894:P1893), "", DATEDIF(J894:J1893, P894:P1893, "Y"))</f>
      </c>
    </row>
    <row x14ac:dyDescent="0.25" r="895" customHeight="1" ht="15.75">
      <c r="A895" s="45" t="s">
        <v>1988</v>
      </c>
      <c r="B895" s="45" t="s">
        <v>974</v>
      </c>
      <c r="C895" s="45" t="s">
        <v>134</v>
      </c>
      <c r="D895" s="45" t="s">
        <v>32</v>
      </c>
      <c r="E895" s="45" t="s">
        <v>1092</v>
      </c>
      <c r="F895" s="45" t="s">
        <v>10</v>
      </c>
      <c r="G895" s="45" t="s">
        <v>8</v>
      </c>
      <c r="H895" s="53">
        <v>55</v>
      </c>
      <c r="I895" s="54">
        <f>IF(H895:H1894&lt;45, "Adult", IF(H895:H1894&lt;60, "Middle Age", IF(H895:H1894&lt;70, "Old", "Very Old")))</f>
      </c>
      <c r="J895" s="55">
        <v>42683</v>
      </c>
      <c r="K895" s="56">
        <v>87851</v>
      </c>
      <c r="L895" s="54">
        <f>IF(K895:K1894&lt;50000,"0-50",IF(K895:K1894&lt;100001,"51-100",IF(K895:K1894&lt;150001,"101-150",IF(K895:K1894&lt;200001,"151-200",IF(K895:K1894&lt;250001,"201-250","above 250")))))</f>
      </c>
      <c r="M895" s="57">
        <v>0</v>
      </c>
      <c r="N895" s="45" t="s">
        <v>12</v>
      </c>
      <c r="O895" s="45" t="s">
        <v>53</v>
      </c>
      <c r="P895" s="51"/>
      <c r="Q895" s="52">
        <f>IF(ISBLANK(P895:P1894), "", DATEDIF(J895:J1894, P895:P1894, "Y"))</f>
      </c>
    </row>
    <row x14ac:dyDescent="0.25" r="896" customHeight="1" ht="15.75">
      <c r="A896" s="45" t="s">
        <v>1989</v>
      </c>
      <c r="B896" s="45" t="s">
        <v>260</v>
      </c>
      <c r="C896" s="45" t="s">
        <v>86</v>
      </c>
      <c r="D896" s="45" t="s">
        <v>30</v>
      </c>
      <c r="E896" s="45" t="s">
        <v>1096</v>
      </c>
      <c r="F896" s="45" t="s">
        <v>7</v>
      </c>
      <c r="G896" s="45" t="s">
        <v>8</v>
      </c>
      <c r="H896" s="53">
        <v>31</v>
      </c>
      <c r="I896" s="54">
        <f>IF(H896:H1895&lt;45, "Adult", IF(H896:H1895&lt;60, "Middle Age", IF(H896:H1895&lt;70, "Old", "Very Old")))</f>
      </c>
      <c r="J896" s="55">
        <v>43171</v>
      </c>
      <c r="K896" s="56">
        <v>47913</v>
      </c>
      <c r="L896" s="54">
        <f>IF(K896:K1895&lt;50000,"0-50",IF(K896:K1895&lt;100001,"51-100",IF(K896:K1895&lt;150001,"101-150",IF(K896:K1895&lt;200001,"151-200",IF(K896:K1895&lt;250001,"201-250","above 250")))))</f>
      </c>
      <c r="M896" s="57">
        <v>0</v>
      </c>
      <c r="N896" s="45" t="s">
        <v>15</v>
      </c>
      <c r="O896" s="45" t="s">
        <v>67</v>
      </c>
      <c r="P896" s="51"/>
      <c r="Q896" s="52">
        <f>IF(ISBLANK(P896:P1895), "", DATEDIF(J896:J1895, P896:P1895, "Y"))</f>
      </c>
    </row>
    <row x14ac:dyDescent="0.25" r="897" customHeight="1" ht="15.75">
      <c r="A897" s="45" t="s">
        <v>1990</v>
      </c>
      <c r="B897" s="45" t="s">
        <v>825</v>
      </c>
      <c r="C897" s="45" t="s">
        <v>86</v>
      </c>
      <c r="D897" s="45" t="s">
        <v>30</v>
      </c>
      <c r="E897" s="45" t="s">
        <v>1096</v>
      </c>
      <c r="F897" s="45" t="s">
        <v>7</v>
      </c>
      <c r="G897" s="45" t="s">
        <v>8</v>
      </c>
      <c r="H897" s="53">
        <v>53</v>
      </c>
      <c r="I897" s="54">
        <f>IF(H897:H1896&lt;45, "Adult", IF(H897:H1896&lt;60, "Middle Age", IF(H897:H1896&lt;70, "Old", "Very Old")))</f>
      </c>
      <c r="J897" s="55">
        <v>42985</v>
      </c>
      <c r="K897" s="56">
        <v>46727</v>
      </c>
      <c r="L897" s="54">
        <f>IF(K897:K1896&lt;50000,"0-50",IF(K897:K1896&lt;100001,"51-100",IF(K897:K1896&lt;150001,"101-150",IF(K897:K1896&lt;200001,"151-200",IF(K897:K1896&lt;250001,"201-250","above 250")))))</f>
      </c>
      <c r="M897" s="57">
        <v>0</v>
      </c>
      <c r="N897" s="45" t="s">
        <v>15</v>
      </c>
      <c r="O897" s="45" t="s">
        <v>55</v>
      </c>
      <c r="P897" s="58">
        <v>43251</v>
      </c>
      <c r="Q897" s="53">
        <f>IF(ISBLANK(P897:P1896), "", DATEDIF(J897:J1896, P897:P1896, "Y"))</f>
      </c>
    </row>
    <row x14ac:dyDescent="0.25" r="898" customHeight="1" ht="15.75">
      <c r="A898" s="45" t="s">
        <v>1991</v>
      </c>
      <c r="B898" s="45" t="s">
        <v>154</v>
      </c>
      <c r="C898" s="45" t="s">
        <v>132</v>
      </c>
      <c r="D898" s="45" t="s">
        <v>30</v>
      </c>
      <c r="E898" s="45" t="s">
        <v>1096</v>
      </c>
      <c r="F898" s="45" t="s">
        <v>10</v>
      </c>
      <c r="G898" s="45" t="s">
        <v>8</v>
      </c>
      <c r="H898" s="53">
        <v>27</v>
      </c>
      <c r="I898" s="54">
        <f>IF(H898:H1897&lt;45, "Adult", IF(H898:H1897&lt;60, "Middle Age", IF(H898:H1897&lt;70, "Old", "Very Old")))</f>
      </c>
      <c r="J898" s="55">
        <v>44302</v>
      </c>
      <c r="K898" s="56">
        <v>133400</v>
      </c>
      <c r="L898" s="54">
        <f>IF(K898:K1897&lt;50000,"0-50",IF(K898:K1897&lt;100001,"51-100",IF(K898:K1897&lt;150001,"101-150",IF(K898:K1897&lt;200001,"151-200",IF(K898:K1897&lt;250001,"201-250","above 250")))))</f>
      </c>
      <c r="M898" s="57">
        <v>0.11</v>
      </c>
      <c r="N898" s="45" t="s">
        <v>15</v>
      </c>
      <c r="O898" s="45" t="s">
        <v>61</v>
      </c>
      <c r="P898" s="51"/>
      <c r="Q898" s="52">
        <f>IF(ISBLANK(P898:P1897), "", DATEDIF(J898:J1897, P898:P1897, "Y"))</f>
      </c>
    </row>
    <row x14ac:dyDescent="0.25" r="899" customHeight="1" ht="15.75">
      <c r="A899" s="45" t="s">
        <v>1992</v>
      </c>
      <c r="B899" s="45" t="s">
        <v>443</v>
      </c>
      <c r="C899" s="45" t="s">
        <v>124</v>
      </c>
      <c r="D899" s="45" t="s">
        <v>32</v>
      </c>
      <c r="E899" s="45" t="s">
        <v>1096</v>
      </c>
      <c r="F899" s="45" t="s">
        <v>7</v>
      </c>
      <c r="G899" s="45" t="s">
        <v>8</v>
      </c>
      <c r="H899" s="53">
        <v>39</v>
      </c>
      <c r="I899" s="54">
        <f>IF(H899:H1898&lt;45, "Adult", IF(H899:H1898&lt;60, "Middle Age", IF(H899:H1898&lt;70, "Old", "Very Old")))</f>
      </c>
      <c r="J899" s="55">
        <v>43943</v>
      </c>
      <c r="K899" s="56">
        <v>90535</v>
      </c>
      <c r="L899" s="54">
        <f>IF(K899:K1898&lt;50000,"0-50",IF(K899:K1898&lt;100001,"51-100",IF(K899:K1898&lt;150001,"101-150",IF(K899:K1898&lt;200001,"151-200",IF(K899:K1898&lt;250001,"201-250","above 250")))))</f>
      </c>
      <c r="M899" s="57">
        <v>0</v>
      </c>
      <c r="N899" s="45" t="s">
        <v>15</v>
      </c>
      <c r="O899" s="45" t="s">
        <v>59</v>
      </c>
      <c r="P899" s="51"/>
      <c r="Q899" s="52">
        <f>IF(ISBLANK(P899:P1898), "", DATEDIF(J899:J1898, P899:P1898, "Y"))</f>
      </c>
    </row>
    <row x14ac:dyDescent="0.25" r="900" customHeight="1" ht="15.75">
      <c r="A900" s="45" t="s">
        <v>1993</v>
      </c>
      <c r="B900" s="45" t="s">
        <v>900</v>
      </c>
      <c r="C900" s="45" t="s">
        <v>128</v>
      </c>
      <c r="D900" s="45" t="s">
        <v>34</v>
      </c>
      <c r="E900" s="45" t="s">
        <v>1096</v>
      </c>
      <c r="F900" s="45" t="s">
        <v>10</v>
      </c>
      <c r="G900" s="45" t="s">
        <v>8</v>
      </c>
      <c r="H900" s="53">
        <v>55</v>
      </c>
      <c r="I900" s="54">
        <f>IF(H900:H1899&lt;45, "Adult", IF(H900:H1899&lt;60, "Middle Age", IF(H900:H1899&lt;70, "Old", "Very Old")))</f>
      </c>
      <c r="J900" s="55">
        <v>38909</v>
      </c>
      <c r="K900" s="56">
        <v>93343</v>
      </c>
      <c r="L900" s="54">
        <f>IF(K900:K1899&lt;50000,"0-50",IF(K900:K1899&lt;100001,"51-100",IF(K900:K1899&lt;150001,"101-150",IF(K900:K1899&lt;200001,"151-200",IF(K900:K1899&lt;250001,"201-250","above 250")))))</f>
      </c>
      <c r="M900" s="57">
        <v>0</v>
      </c>
      <c r="N900" s="45" t="s">
        <v>12</v>
      </c>
      <c r="O900" s="45" t="s">
        <v>53</v>
      </c>
      <c r="P900" s="51"/>
      <c r="Q900" s="52">
        <f>IF(ISBLANK(P900:P1899), "", DATEDIF(J900:J1899, P900:P1899, "Y"))</f>
      </c>
    </row>
    <row x14ac:dyDescent="0.25" r="901" customHeight="1" ht="15.75">
      <c r="A901" s="45" t="s">
        <v>1994</v>
      </c>
      <c r="B901" s="45" t="s">
        <v>554</v>
      </c>
      <c r="C901" s="45" t="s">
        <v>104</v>
      </c>
      <c r="D901" s="45" t="s">
        <v>30</v>
      </c>
      <c r="E901" s="45" t="s">
        <v>1100</v>
      </c>
      <c r="F901" s="45" t="s">
        <v>7</v>
      </c>
      <c r="G901" s="45" t="s">
        <v>8</v>
      </c>
      <c r="H901" s="53">
        <v>44</v>
      </c>
      <c r="I901" s="54">
        <f>IF(H901:H1900&lt;45, "Adult", IF(H901:H1900&lt;60, "Middle Age", IF(H901:H1900&lt;70, "Old", "Very Old")))</f>
      </c>
      <c r="J901" s="55">
        <v>38771</v>
      </c>
      <c r="K901" s="56">
        <v>63705</v>
      </c>
      <c r="L901" s="54">
        <f>IF(K901:K1900&lt;50000,"0-50",IF(K901:K1900&lt;100001,"51-100",IF(K901:K1900&lt;150001,"101-150",IF(K901:K1900&lt;200001,"151-200",IF(K901:K1900&lt;250001,"201-250","above 250")))))</f>
      </c>
      <c r="M901" s="57">
        <v>0</v>
      </c>
      <c r="N901" s="45" t="s">
        <v>15</v>
      </c>
      <c r="O901" s="45" t="s">
        <v>59</v>
      </c>
      <c r="P901" s="51"/>
      <c r="Q901" s="52">
        <f>IF(ISBLANK(P901:P1900), "", DATEDIF(J901:J1900, P901:P1900, "Y"))</f>
      </c>
    </row>
    <row x14ac:dyDescent="0.25" r="902" customHeight="1" ht="15.75">
      <c r="A902" s="45" t="s">
        <v>1995</v>
      </c>
      <c r="B902" s="45" t="s">
        <v>703</v>
      </c>
      <c r="C902" s="45" t="s">
        <v>142</v>
      </c>
      <c r="D902" s="45" t="s">
        <v>36</v>
      </c>
      <c r="E902" s="45" t="s">
        <v>1100</v>
      </c>
      <c r="F902" s="45" t="s">
        <v>10</v>
      </c>
      <c r="G902" s="45" t="s">
        <v>17</v>
      </c>
      <c r="H902" s="53">
        <v>48</v>
      </c>
      <c r="I902" s="54">
        <f>IF(H902:H1901&lt;45, "Adult", IF(H902:H1901&lt;60, "Middle Age", IF(H902:H1901&lt;70, "Old", "Very Old")))</f>
      </c>
      <c r="J902" s="55">
        <v>36584</v>
      </c>
      <c r="K902" s="56">
        <v>258081</v>
      </c>
      <c r="L902" s="54">
        <f>IF(K902:K1901&lt;50000,"0-50",IF(K902:K1901&lt;100001,"51-100",IF(K902:K1901&lt;150001,"101-150",IF(K902:K1901&lt;200001,"151-200",IF(K902:K1901&lt;250001,"201-250","above 250")))))</f>
      </c>
      <c r="M902" s="57">
        <v>0.3</v>
      </c>
      <c r="N902" s="45" t="s">
        <v>15</v>
      </c>
      <c r="O902" s="45" t="s">
        <v>51</v>
      </c>
      <c r="P902" s="51"/>
      <c r="Q902" s="52">
        <f>IF(ISBLANK(P902:P1901), "", DATEDIF(J902:J1901, P902:P1901, "Y"))</f>
      </c>
    </row>
    <row x14ac:dyDescent="0.25" r="903" customHeight="1" ht="15.75">
      <c r="A903" s="45" t="s">
        <v>1996</v>
      </c>
      <c r="B903" s="45" t="s">
        <v>704</v>
      </c>
      <c r="C903" s="45" t="s">
        <v>86</v>
      </c>
      <c r="D903" s="45" t="s">
        <v>30</v>
      </c>
      <c r="E903" s="45" t="s">
        <v>1092</v>
      </c>
      <c r="F903" s="45" t="s">
        <v>10</v>
      </c>
      <c r="G903" s="45" t="s">
        <v>11</v>
      </c>
      <c r="H903" s="53">
        <v>48</v>
      </c>
      <c r="I903" s="54">
        <f>IF(H903:H1902&lt;45, "Adult", IF(H903:H1902&lt;60, "Middle Age", IF(H903:H1902&lt;70, "Old", "Very Old")))</f>
      </c>
      <c r="J903" s="55">
        <v>44095</v>
      </c>
      <c r="K903" s="56">
        <v>54654</v>
      </c>
      <c r="L903" s="54">
        <f>IF(K903:K1902&lt;50000,"0-50",IF(K903:K1902&lt;100001,"51-100",IF(K903:K1902&lt;150001,"101-150",IF(K903:K1902&lt;200001,"151-200",IF(K903:K1902&lt;250001,"201-250","above 250")))))</f>
      </c>
      <c r="M903" s="57">
        <v>0</v>
      </c>
      <c r="N903" s="45" t="s">
        <v>15</v>
      </c>
      <c r="O903" s="45" t="s">
        <v>61</v>
      </c>
      <c r="P903" s="51"/>
      <c r="Q903" s="52">
        <f>IF(ISBLANK(P903:P1902), "", DATEDIF(J903:J1902, P903:P1902, "Y"))</f>
      </c>
    </row>
    <row x14ac:dyDescent="0.25" r="904" customHeight="1" ht="15.75">
      <c r="A904" s="45" t="s">
        <v>1997</v>
      </c>
      <c r="B904" s="45" t="s">
        <v>844</v>
      </c>
      <c r="C904" s="45" t="s">
        <v>80</v>
      </c>
      <c r="D904" s="45" t="s">
        <v>36</v>
      </c>
      <c r="E904" s="45" t="s">
        <v>1094</v>
      </c>
      <c r="F904" s="45" t="s">
        <v>10</v>
      </c>
      <c r="G904" s="45" t="s">
        <v>14</v>
      </c>
      <c r="H904" s="53">
        <v>54</v>
      </c>
      <c r="I904" s="54">
        <f>IF(H904:H1903&lt;45, "Adult", IF(H904:H1903&lt;60, "Middle Age", IF(H904:H1903&lt;70, "Old", "Very Old")))</f>
      </c>
      <c r="J904" s="55">
        <v>36062</v>
      </c>
      <c r="K904" s="56">
        <v>58006</v>
      </c>
      <c r="L904" s="54">
        <f>IF(K904:K1903&lt;50000,"0-50",IF(K904:K1903&lt;100001,"51-100",IF(K904:K1903&lt;150001,"101-150",IF(K904:K1903&lt;200001,"151-200",IF(K904:K1903&lt;250001,"201-250","above 250")))))</f>
      </c>
      <c r="M904" s="57">
        <v>0</v>
      </c>
      <c r="N904" s="45" t="s">
        <v>15</v>
      </c>
      <c r="O904" s="45" t="s">
        <v>67</v>
      </c>
      <c r="P904" s="51"/>
      <c r="Q904" s="52">
        <f>IF(ISBLANK(P904:P1903), "", DATEDIF(J904:J1903, P904:P1903, "Y"))</f>
      </c>
    </row>
    <row x14ac:dyDescent="0.25" r="905" customHeight="1" ht="15.75">
      <c r="A905" s="45" t="s">
        <v>1998</v>
      </c>
      <c r="B905" s="45" t="s">
        <v>674</v>
      </c>
      <c r="C905" s="45" t="s">
        <v>132</v>
      </c>
      <c r="D905" s="45" t="s">
        <v>28</v>
      </c>
      <c r="E905" s="45" t="s">
        <v>1094</v>
      </c>
      <c r="F905" s="45" t="s">
        <v>7</v>
      </c>
      <c r="G905" s="45" t="s">
        <v>8</v>
      </c>
      <c r="H905" s="53">
        <v>42</v>
      </c>
      <c r="I905" s="54">
        <f>IF(H905:H1904&lt;45, "Adult", IF(H905:H1904&lt;60, "Middle Age", IF(H905:H1904&lt;70, "Old", "Very Old")))</f>
      </c>
      <c r="J905" s="55">
        <v>40620</v>
      </c>
      <c r="K905" s="56">
        <v>150034</v>
      </c>
      <c r="L905" s="54">
        <f>IF(K905:K1904&lt;50000,"0-50",IF(K905:K1904&lt;100001,"51-100",IF(K905:K1904&lt;150001,"101-150",IF(K905:K1904&lt;200001,"151-200",IF(K905:K1904&lt;250001,"201-250","above 250")))))</f>
      </c>
      <c r="M905" s="57">
        <v>0.12</v>
      </c>
      <c r="N905" s="45" t="s">
        <v>12</v>
      </c>
      <c r="O905" s="45" t="s">
        <v>47</v>
      </c>
      <c r="P905" s="51"/>
      <c r="Q905" s="52">
        <f>IF(ISBLANK(P905:P1904), "", DATEDIF(J905:J1904, P905:P1904, "Y"))</f>
      </c>
    </row>
    <row x14ac:dyDescent="0.25" r="906" customHeight="1" ht="15.75">
      <c r="A906" s="45" t="s">
        <v>1999</v>
      </c>
      <c r="B906" s="45" t="s">
        <v>424</v>
      </c>
      <c r="C906" s="45" t="s">
        <v>96</v>
      </c>
      <c r="D906" s="45" t="s">
        <v>30</v>
      </c>
      <c r="E906" s="45" t="s">
        <v>1096</v>
      </c>
      <c r="F906" s="45" t="s">
        <v>7</v>
      </c>
      <c r="G906" s="45" t="s">
        <v>8</v>
      </c>
      <c r="H906" s="53">
        <v>38</v>
      </c>
      <c r="I906" s="54">
        <f>IF(H906:H1905&lt;45, "Adult", IF(H906:H1905&lt;60, "Middle Age", IF(H906:H1905&lt;70, "Old", "Very Old")))</f>
      </c>
      <c r="J906" s="55">
        <v>39232</v>
      </c>
      <c r="K906" s="56">
        <v>198562</v>
      </c>
      <c r="L906" s="54">
        <f>IF(K906:K1905&lt;50000,"0-50",IF(K906:K1905&lt;100001,"51-100",IF(K906:K1905&lt;150001,"101-150",IF(K906:K1905&lt;200001,"151-200",IF(K906:K1905&lt;250001,"201-250","above 250")))))</f>
      </c>
      <c r="M906" s="57">
        <v>0.22</v>
      </c>
      <c r="N906" s="45" t="s">
        <v>15</v>
      </c>
      <c r="O906" s="45" t="s">
        <v>67</v>
      </c>
      <c r="P906" s="51"/>
      <c r="Q906" s="52">
        <f>IF(ISBLANK(P906:P1905), "", DATEDIF(J906:J1905, P906:P1905, "Y"))</f>
      </c>
    </row>
    <row x14ac:dyDescent="0.25" r="907" customHeight="1" ht="15.75">
      <c r="A907" s="45" t="s">
        <v>2000</v>
      </c>
      <c r="B907" s="45" t="s">
        <v>466</v>
      </c>
      <c r="C907" s="45" t="s">
        <v>78</v>
      </c>
      <c r="D907" s="45" t="s">
        <v>36</v>
      </c>
      <c r="E907" s="45" t="s">
        <v>1092</v>
      </c>
      <c r="F907" s="45" t="s">
        <v>7</v>
      </c>
      <c r="G907" s="45" t="s">
        <v>11</v>
      </c>
      <c r="H907" s="53">
        <v>40</v>
      </c>
      <c r="I907" s="54">
        <f>IF(H907:H1906&lt;45, "Adult", IF(H907:H1906&lt;60, "Middle Age", IF(H907:H1906&lt;70, "Old", "Very Old")))</f>
      </c>
      <c r="J907" s="55">
        <v>39960</v>
      </c>
      <c r="K907" s="56">
        <v>62411</v>
      </c>
      <c r="L907" s="54">
        <f>IF(K907:K1906&lt;50000,"0-50",IF(K907:K1906&lt;100001,"51-100",IF(K907:K1906&lt;150001,"101-150",IF(K907:K1906&lt;200001,"151-200",IF(K907:K1906&lt;250001,"201-250","above 250")))))</f>
      </c>
      <c r="M907" s="57">
        <v>0</v>
      </c>
      <c r="N907" s="45" t="s">
        <v>15</v>
      </c>
      <c r="O907" s="45" t="s">
        <v>59</v>
      </c>
      <c r="P907" s="58">
        <v>44422</v>
      </c>
      <c r="Q907" s="53">
        <f>IF(ISBLANK(P907:P1906), "", DATEDIF(J907:J1906, P907:P1906, "Y"))</f>
      </c>
    </row>
    <row x14ac:dyDescent="0.25" r="908" customHeight="1" ht="15.75">
      <c r="A908" s="45" t="s">
        <v>2001</v>
      </c>
      <c r="B908" s="45" t="s">
        <v>934</v>
      </c>
      <c r="C908" s="45" t="s">
        <v>98</v>
      </c>
      <c r="D908" s="45" t="s">
        <v>26</v>
      </c>
      <c r="E908" s="45" t="s">
        <v>1092</v>
      </c>
      <c r="F908" s="45" t="s">
        <v>10</v>
      </c>
      <c r="G908" s="45" t="s">
        <v>8</v>
      </c>
      <c r="H908" s="53">
        <v>57</v>
      </c>
      <c r="I908" s="54">
        <f>IF(H908:H1907&lt;45, "Adult", IF(H908:H1907&lt;60, "Middle Age", IF(H908:H1907&lt;70, "Old", "Very Old")))</f>
      </c>
      <c r="J908" s="55">
        <v>33612</v>
      </c>
      <c r="K908" s="56">
        <v>111299</v>
      </c>
      <c r="L908" s="54">
        <f>IF(K908:K1907&lt;50000,"0-50",IF(K908:K1907&lt;100001,"51-100",IF(K908:K1907&lt;150001,"101-150",IF(K908:K1907&lt;200001,"151-200",IF(K908:K1907&lt;250001,"201-250","above 250")))))</f>
      </c>
      <c r="M908" s="57">
        <v>0.12</v>
      </c>
      <c r="N908" s="45" t="s">
        <v>15</v>
      </c>
      <c r="O908" s="45" t="s">
        <v>59</v>
      </c>
      <c r="P908" s="51"/>
      <c r="Q908" s="52">
        <f>IF(ISBLANK(P908:P1907), "", DATEDIF(J908:J1907, P908:P1907, "Y"))</f>
      </c>
    </row>
    <row x14ac:dyDescent="0.25" r="909" customHeight="1" ht="15.75">
      <c r="A909" s="45" t="s">
        <v>2002</v>
      </c>
      <c r="B909" s="45" t="s">
        <v>539</v>
      </c>
      <c r="C909" s="45" t="s">
        <v>80</v>
      </c>
      <c r="D909" s="45" t="s">
        <v>34</v>
      </c>
      <c r="E909" s="45" t="s">
        <v>1092</v>
      </c>
      <c r="F909" s="45" t="s">
        <v>7</v>
      </c>
      <c r="G909" s="45" t="s">
        <v>14</v>
      </c>
      <c r="H909" s="53">
        <v>43</v>
      </c>
      <c r="I909" s="54">
        <f>IF(H909:H1908&lt;45, "Adult", IF(H909:H1908&lt;60, "Middle Age", IF(H909:H1908&lt;70, "Old", "Very Old")))</f>
      </c>
      <c r="J909" s="55">
        <v>43659</v>
      </c>
      <c r="K909" s="56">
        <v>41545</v>
      </c>
      <c r="L909" s="54">
        <f>IF(K909:K1908&lt;50000,"0-50",IF(K909:K1908&lt;100001,"51-100",IF(K909:K1908&lt;150001,"101-150",IF(K909:K1908&lt;200001,"151-200",IF(K909:K1908&lt;250001,"201-250","above 250")))))</f>
      </c>
      <c r="M909" s="57">
        <v>0</v>
      </c>
      <c r="N909" s="45" t="s">
        <v>15</v>
      </c>
      <c r="O909" s="45" t="s">
        <v>59</v>
      </c>
      <c r="P909" s="51"/>
      <c r="Q909" s="52">
        <f>IF(ISBLANK(P909:P1908), "", DATEDIF(J909:J1908, P909:P1908, "Y"))</f>
      </c>
    </row>
    <row x14ac:dyDescent="0.25" r="910" customHeight="1" ht="15.75">
      <c r="A910" s="45" t="s">
        <v>2003</v>
      </c>
      <c r="B910" s="45" t="s">
        <v>117</v>
      </c>
      <c r="C910" s="45" t="s">
        <v>116</v>
      </c>
      <c r="D910" s="45" t="s">
        <v>32</v>
      </c>
      <c r="E910" s="45" t="s">
        <v>1094</v>
      </c>
      <c r="F910" s="45" t="s">
        <v>10</v>
      </c>
      <c r="G910" s="45" t="s">
        <v>17</v>
      </c>
      <c r="H910" s="53">
        <v>26</v>
      </c>
      <c r="I910" s="54">
        <f>IF(H910:H1909&lt;45, "Adult", IF(H910:H1909&lt;60, "Middle Age", IF(H910:H1909&lt;70, "Old", "Very Old")))</f>
      </c>
      <c r="J910" s="55">
        <v>43569</v>
      </c>
      <c r="K910" s="56">
        <v>74467</v>
      </c>
      <c r="L910" s="54">
        <f>IF(K910:K1909&lt;50000,"0-50",IF(K910:K1909&lt;100001,"51-100",IF(K910:K1909&lt;150001,"101-150",IF(K910:K1909&lt;200001,"151-200",IF(K910:K1909&lt;250001,"201-250","above 250")))))</f>
      </c>
      <c r="M910" s="57">
        <v>0</v>
      </c>
      <c r="N910" s="45" t="s">
        <v>15</v>
      </c>
      <c r="O910" s="45" t="s">
        <v>55</v>
      </c>
      <c r="P910" s="58">
        <v>44211</v>
      </c>
      <c r="Q910" s="53">
        <f>IF(ISBLANK(P910:P1909), "", DATEDIF(J910:J1909, P910:P1909, "Y"))</f>
      </c>
    </row>
    <row x14ac:dyDescent="0.25" r="911" customHeight="1" ht="15.75">
      <c r="A911" s="45" t="s">
        <v>2004</v>
      </c>
      <c r="B911" s="45" t="s">
        <v>553</v>
      </c>
      <c r="C911" s="45" t="s">
        <v>110</v>
      </c>
      <c r="D911" s="45" t="s">
        <v>24</v>
      </c>
      <c r="E911" s="45" t="s">
        <v>1092</v>
      </c>
      <c r="F911" s="45" t="s">
        <v>10</v>
      </c>
      <c r="G911" s="45" t="s">
        <v>14</v>
      </c>
      <c r="H911" s="53">
        <v>44</v>
      </c>
      <c r="I911" s="54">
        <f>IF(H911:H1910&lt;45, "Adult", IF(H911:H1910&lt;60, "Middle Age", IF(H911:H1910&lt;70, "Old", "Very Old")))</f>
      </c>
      <c r="J911" s="55">
        <v>37296</v>
      </c>
      <c r="K911" s="56">
        <v>117545</v>
      </c>
      <c r="L911" s="54">
        <f>IF(K911:K1910&lt;50000,"0-50",IF(K911:K1910&lt;100001,"51-100",IF(K911:K1910&lt;150001,"101-150",IF(K911:K1910&lt;200001,"151-200",IF(K911:K1910&lt;250001,"201-250","above 250")))))</f>
      </c>
      <c r="M911" s="57">
        <v>0.06</v>
      </c>
      <c r="N911" s="45" t="s">
        <v>15</v>
      </c>
      <c r="O911" s="45" t="s">
        <v>61</v>
      </c>
      <c r="P911" s="51"/>
      <c r="Q911" s="52">
        <f>IF(ISBLANK(P911:P1910), "", DATEDIF(J911:J1910, P911:P1910, "Y"))</f>
      </c>
    </row>
    <row x14ac:dyDescent="0.25" r="912" customHeight="1" ht="15.75">
      <c r="A912" s="45" t="s">
        <v>2005</v>
      </c>
      <c r="B912" s="45" t="s">
        <v>753</v>
      </c>
      <c r="C912" s="45" t="s">
        <v>110</v>
      </c>
      <c r="D912" s="45" t="s">
        <v>30</v>
      </c>
      <c r="E912" s="45" t="s">
        <v>1096</v>
      </c>
      <c r="F912" s="45" t="s">
        <v>10</v>
      </c>
      <c r="G912" s="45" t="s">
        <v>8</v>
      </c>
      <c r="H912" s="53">
        <v>50</v>
      </c>
      <c r="I912" s="54">
        <f>IF(H912:H1911&lt;45, "Adult", IF(H912:H1911&lt;60, "Middle Age", IF(H912:H1911&lt;70, "Old", "Very Old")))</f>
      </c>
      <c r="J912" s="55">
        <v>40983</v>
      </c>
      <c r="K912" s="56">
        <v>117226</v>
      </c>
      <c r="L912" s="54">
        <f>IF(K912:K1911&lt;50000,"0-50",IF(K912:K1911&lt;100001,"51-100",IF(K912:K1911&lt;150001,"101-150",IF(K912:K1911&lt;200001,"151-200",IF(K912:K1911&lt;250001,"201-250","above 250")))))</f>
      </c>
      <c r="M912" s="57">
        <v>0.08</v>
      </c>
      <c r="N912" s="45" t="s">
        <v>15</v>
      </c>
      <c r="O912" s="45" t="s">
        <v>61</v>
      </c>
      <c r="P912" s="51"/>
      <c r="Q912" s="52">
        <f>IF(ISBLANK(P912:P1911), "", DATEDIF(J912:J1911, P912:P1911, "Y"))</f>
      </c>
    </row>
    <row x14ac:dyDescent="0.25" r="913" customHeight="1" ht="15.75">
      <c r="A913" s="3"/>
      <c r="B913" s="45" t="s">
        <v>111</v>
      </c>
      <c r="C913" s="45" t="s">
        <v>80</v>
      </c>
      <c r="D913" s="45" t="s">
        <v>24</v>
      </c>
      <c r="E913" s="45" t="s">
        <v>1100</v>
      </c>
      <c r="F913" s="45" t="s">
        <v>7</v>
      </c>
      <c r="G913" s="45" t="s">
        <v>17</v>
      </c>
      <c r="H913" s="53">
        <v>26</v>
      </c>
      <c r="I913" s="54">
        <f>IF(H913:H1912&lt;45, "Adult", IF(H913:H1912&lt;60, "Middle Age", IF(H913:H1912&lt;70, "Old", "Very Old")))</f>
      </c>
      <c r="J913" s="55">
        <v>43489</v>
      </c>
      <c r="K913" s="56">
        <v>55767</v>
      </c>
      <c r="L913" s="54">
        <f>IF(K913:K1912&lt;50000,"0-50",IF(K913:K1912&lt;100001,"51-100",IF(K913:K1912&lt;150001,"101-150",IF(K913:K1912&lt;200001,"151-200",IF(K913:K1912&lt;250001,"201-250","above 250")))))</f>
      </c>
      <c r="M913" s="57">
        <v>0</v>
      </c>
      <c r="N913" s="45" t="s">
        <v>15</v>
      </c>
      <c r="O913" s="45" t="s">
        <v>61</v>
      </c>
      <c r="P913" s="51"/>
      <c r="Q913" s="52">
        <f>IF(ISBLANK(P913:P1912), "", DATEDIF(J913:J1912, P913:P1912, "Y"))</f>
      </c>
    </row>
    <row x14ac:dyDescent="0.25" r="914" customHeight="1" ht="15.75">
      <c r="A914" s="3"/>
      <c r="B914" s="45" t="s">
        <v>204</v>
      </c>
      <c r="C914" s="45" t="s">
        <v>82</v>
      </c>
      <c r="D914" s="45" t="s">
        <v>36</v>
      </c>
      <c r="E914" s="45" t="s">
        <v>1094</v>
      </c>
      <c r="F914" s="45" t="s">
        <v>7</v>
      </c>
      <c r="G914" s="45" t="s">
        <v>14</v>
      </c>
      <c r="H914" s="53">
        <v>29</v>
      </c>
      <c r="I914" s="54">
        <f>IF(H914:H1913&lt;45, "Adult", IF(H914:H1913&lt;60, "Middle Age", IF(H914:H1913&lt;70, "Old", "Very Old")))</f>
      </c>
      <c r="J914" s="55">
        <v>42691</v>
      </c>
      <c r="K914" s="56">
        <v>60930</v>
      </c>
      <c r="L914" s="54">
        <f>IF(K914:K1913&lt;50000,"0-50",IF(K914:K1913&lt;100001,"51-100",IF(K914:K1913&lt;150001,"101-150",IF(K914:K1913&lt;200001,"151-200",IF(K914:K1913&lt;250001,"201-250","above 250")))))</f>
      </c>
      <c r="M914" s="57">
        <v>0</v>
      </c>
      <c r="N914" s="45" t="s">
        <v>15</v>
      </c>
      <c r="O914" s="45" t="s">
        <v>42</v>
      </c>
      <c r="P914" s="51"/>
      <c r="Q914" s="52">
        <f>IF(ISBLANK(P914:P1913), "", DATEDIF(J914:J1913, P914:P1913, "Y"))</f>
      </c>
    </row>
    <row x14ac:dyDescent="0.25" r="915" customHeight="1" ht="15.75">
      <c r="A915" s="3"/>
      <c r="B915" s="45" t="s">
        <v>156</v>
      </c>
      <c r="C915" s="45" t="s">
        <v>96</v>
      </c>
      <c r="D915" s="45" t="s">
        <v>36</v>
      </c>
      <c r="E915" s="45" t="s">
        <v>1096</v>
      </c>
      <c r="F915" s="45" t="s">
        <v>7</v>
      </c>
      <c r="G915" s="45" t="s">
        <v>17</v>
      </c>
      <c r="H915" s="53">
        <v>27</v>
      </c>
      <c r="I915" s="54">
        <f>IF(H915:H1914&lt;45, "Adult", IF(H915:H1914&lt;60, "Middle Age", IF(H915:H1914&lt;70, "Old", "Very Old")))</f>
      </c>
      <c r="J915" s="55">
        <v>43397</v>
      </c>
      <c r="K915" s="56">
        <v>154973</v>
      </c>
      <c r="L915" s="54">
        <f>IF(K915:K1914&lt;50000,"0-50",IF(K915:K1914&lt;100001,"51-100",IF(K915:K1914&lt;150001,"101-150",IF(K915:K1914&lt;200001,"151-200",IF(K915:K1914&lt;250001,"201-250","above 250")))))</f>
      </c>
      <c r="M915" s="57">
        <v>0.29</v>
      </c>
      <c r="N915" s="45" t="s">
        <v>9</v>
      </c>
      <c r="O915" s="45" t="s">
        <v>65</v>
      </c>
      <c r="P915" s="51"/>
      <c r="Q915" s="52">
        <f>IF(ISBLANK(P915:P1914), "", DATEDIF(J915:J1914, P915:P1914, "Y"))</f>
      </c>
    </row>
    <row x14ac:dyDescent="0.25" r="916" customHeight="1" ht="15.75">
      <c r="A916" s="3"/>
      <c r="B916" s="45" t="s">
        <v>302</v>
      </c>
      <c r="C916" s="45" t="s">
        <v>88</v>
      </c>
      <c r="D916" s="45" t="s">
        <v>32</v>
      </c>
      <c r="E916" s="45" t="s">
        <v>1094</v>
      </c>
      <c r="F916" s="45" t="s">
        <v>7</v>
      </c>
      <c r="G916" s="45" t="s">
        <v>8</v>
      </c>
      <c r="H916" s="53">
        <v>33</v>
      </c>
      <c r="I916" s="54">
        <f>IF(H916:H1915&lt;45, "Adult", IF(H916:H1915&lt;60, "Middle Age", IF(H916:H1915&lt;70, "Old", "Very Old")))</f>
      </c>
      <c r="J916" s="55">
        <v>43029</v>
      </c>
      <c r="K916" s="56">
        <v>69332</v>
      </c>
      <c r="L916" s="54">
        <f>IF(K916:K1915&lt;50000,"0-50",IF(K916:K1915&lt;100001,"51-100",IF(K916:K1915&lt;150001,"101-150",IF(K916:K1915&lt;200001,"151-200",IF(K916:K1915&lt;250001,"201-250","above 250")))))</f>
      </c>
      <c r="M916" s="57">
        <v>0</v>
      </c>
      <c r="N916" s="45" t="s">
        <v>15</v>
      </c>
      <c r="O916" s="45" t="s">
        <v>55</v>
      </c>
      <c r="P916" s="51"/>
      <c r="Q916" s="52">
        <f>IF(ISBLANK(P916:P1915), "", DATEDIF(J916:J1915, P916:P1915, "Y"))</f>
      </c>
    </row>
    <row x14ac:dyDescent="0.25" r="917" customHeight="1" ht="15.75">
      <c r="A917" s="3"/>
      <c r="B917" s="45" t="s">
        <v>971</v>
      </c>
      <c r="C917" s="45" t="s">
        <v>92</v>
      </c>
      <c r="D917" s="45" t="s">
        <v>26</v>
      </c>
      <c r="E917" s="45" t="s">
        <v>1092</v>
      </c>
      <c r="F917" s="45" t="s">
        <v>7</v>
      </c>
      <c r="G917" s="45" t="s">
        <v>8</v>
      </c>
      <c r="H917" s="53">
        <v>59</v>
      </c>
      <c r="I917" s="54">
        <f>IF(H917:H1916&lt;45, "Adult", IF(H917:H1916&lt;60, "Middle Age", IF(H917:H1916&lt;70, "Old", "Very Old")))</f>
      </c>
      <c r="J917" s="55">
        <v>36990</v>
      </c>
      <c r="K917" s="56">
        <v>119699</v>
      </c>
      <c r="L917" s="54">
        <f>IF(K917:K1916&lt;50000,"0-50",IF(K917:K1916&lt;100001,"51-100",IF(K917:K1916&lt;150001,"101-150",IF(K917:K1916&lt;200001,"151-200",IF(K917:K1916&lt;250001,"201-250","above 250")))))</f>
      </c>
      <c r="M917" s="57">
        <v>0</v>
      </c>
      <c r="N917" s="45" t="s">
        <v>12</v>
      </c>
      <c r="O917" s="45" t="s">
        <v>69</v>
      </c>
      <c r="P917" s="51"/>
      <c r="Q917" s="52">
        <f>IF(ISBLANK(P917:P1916), "", DATEDIF(J917:J1916, P917:P1916, "Y"))</f>
      </c>
    </row>
    <row x14ac:dyDescent="0.25" r="918" customHeight="1" ht="15.75">
      <c r="A918" s="3"/>
      <c r="B918" s="45" t="s">
        <v>468</v>
      </c>
      <c r="C918" s="45" t="s">
        <v>96</v>
      </c>
      <c r="D918" s="45" t="s">
        <v>30</v>
      </c>
      <c r="E918" s="45" t="s">
        <v>1096</v>
      </c>
      <c r="F918" s="45" t="s">
        <v>7</v>
      </c>
      <c r="G918" s="45" t="s">
        <v>17</v>
      </c>
      <c r="H918" s="53">
        <v>40</v>
      </c>
      <c r="I918" s="54">
        <f>IF(H918:H1917&lt;45, "Adult", IF(H918:H1917&lt;60, "Middle Age", IF(H918:H1917&lt;70, "Old", "Very Old")))</f>
      </c>
      <c r="J918" s="55">
        <v>44094</v>
      </c>
      <c r="K918" s="56">
        <v>198176</v>
      </c>
      <c r="L918" s="54">
        <f>IF(K918:K1917&lt;50000,"0-50",IF(K918:K1917&lt;100001,"51-100",IF(K918:K1917&lt;150001,"101-150",IF(K918:K1917&lt;200001,"151-200",IF(K918:K1917&lt;250001,"201-250","above 250")))))</f>
      </c>
      <c r="M918" s="57">
        <v>0.17</v>
      </c>
      <c r="N918" s="45" t="s">
        <v>9</v>
      </c>
      <c r="O918" s="45" t="s">
        <v>57</v>
      </c>
      <c r="P918" s="51"/>
      <c r="Q918" s="52">
        <f>IF(ISBLANK(P918:P1917), "", DATEDIF(J918:J1917, P918:P1917, "Y"))</f>
      </c>
    </row>
    <row x14ac:dyDescent="0.25" r="919" customHeight="1" ht="15.75">
      <c r="A919" s="3"/>
      <c r="B919" s="45" t="s">
        <v>621</v>
      </c>
      <c r="C919" s="45" t="s">
        <v>82</v>
      </c>
      <c r="D919" s="45" t="s">
        <v>28</v>
      </c>
      <c r="E919" s="45" t="s">
        <v>1092</v>
      </c>
      <c r="F919" s="45" t="s">
        <v>7</v>
      </c>
      <c r="G919" s="45" t="s">
        <v>17</v>
      </c>
      <c r="H919" s="53">
        <v>45</v>
      </c>
      <c r="I919" s="54">
        <f>IF(H919:H1918&lt;45, "Adult", IF(H919:H1918&lt;60, "Middle Age", IF(H919:H1918&lt;70, "Old", "Very Old")))</f>
      </c>
      <c r="J919" s="55">
        <v>41127</v>
      </c>
      <c r="K919" s="56">
        <v>58586</v>
      </c>
      <c r="L919" s="54">
        <f>IF(K919:K1918&lt;50000,"0-50",IF(K919:K1918&lt;100001,"51-100",IF(K919:K1918&lt;150001,"101-150",IF(K919:K1918&lt;200001,"151-200",IF(K919:K1918&lt;250001,"201-250","above 250")))))</f>
      </c>
      <c r="M919" s="57">
        <v>0</v>
      </c>
      <c r="N919" s="45" t="s">
        <v>9</v>
      </c>
      <c r="O919" s="45" t="s">
        <v>65</v>
      </c>
      <c r="P919" s="51"/>
      <c r="Q919" s="52">
        <f>IF(ISBLANK(P919:P1918), "", DATEDIF(J919:J1918, P919:P1918, "Y"))</f>
      </c>
    </row>
    <row x14ac:dyDescent="0.25" r="920" customHeight="1" ht="15.75">
      <c r="A920" s="3"/>
      <c r="B920" s="45" t="s">
        <v>420</v>
      </c>
      <c r="C920" s="45" t="s">
        <v>126</v>
      </c>
      <c r="D920" s="45" t="s">
        <v>36</v>
      </c>
      <c r="E920" s="45" t="s">
        <v>1100</v>
      </c>
      <c r="F920" s="45" t="s">
        <v>10</v>
      </c>
      <c r="G920" s="45" t="s">
        <v>8</v>
      </c>
      <c r="H920" s="53">
        <v>38</v>
      </c>
      <c r="I920" s="54">
        <f>IF(H920:H1919&lt;45, "Adult", IF(H920:H1919&lt;60, "Middle Age", IF(H920:H1919&lt;70, "Old", "Very Old")))</f>
      </c>
      <c r="J920" s="55">
        <v>40875</v>
      </c>
      <c r="K920" s="56">
        <v>74010</v>
      </c>
      <c r="L920" s="54">
        <f>IF(K920:K1919&lt;50000,"0-50",IF(K920:K1919&lt;100001,"51-100",IF(K920:K1919&lt;150001,"101-150",IF(K920:K1919&lt;200001,"151-200",IF(K920:K1919&lt;250001,"201-250","above 250")))))</f>
      </c>
      <c r="M920" s="57">
        <v>0</v>
      </c>
      <c r="N920" s="45" t="s">
        <v>15</v>
      </c>
      <c r="O920" s="45" t="s">
        <v>51</v>
      </c>
      <c r="P920" s="51"/>
      <c r="Q920" s="52">
        <f>IF(ISBLANK(P920:P1919), "", DATEDIF(J920:J1919, P920:P1919, "Y"))</f>
      </c>
    </row>
    <row x14ac:dyDescent="0.25" r="921" customHeight="1" ht="15.75">
      <c r="A921" s="3"/>
      <c r="B921" s="45" t="s">
        <v>276</v>
      </c>
      <c r="C921" s="45" t="s">
        <v>126</v>
      </c>
      <c r="D921" s="45" t="s">
        <v>36</v>
      </c>
      <c r="E921" s="45" t="s">
        <v>1096</v>
      </c>
      <c r="F921" s="45" t="s">
        <v>10</v>
      </c>
      <c r="G921" s="45" t="s">
        <v>14</v>
      </c>
      <c r="H921" s="53">
        <v>32</v>
      </c>
      <c r="I921" s="54">
        <f>IF(H921:H1920&lt;45, "Adult", IF(H921:H1920&lt;60, "Middle Age", IF(H921:H1920&lt;70, "Old", "Very Old")))</f>
      </c>
      <c r="J921" s="55">
        <v>43864</v>
      </c>
      <c r="K921" s="56">
        <v>96598</v>
      </c>
      <c r="L921" s="54">
        <f>IF(K921:K1920&lt;50000,"0-50",IF(K921:K1920&lt;100001,"51-100",IF(K921:K1920&lt;150001,"101-150",IF(K921:K1920&lt;200001,"151-200",IF(K921:K1920&lt;250001,"201-250","above 250")))))</f>
      </c>
      <c r="M921" s="57">
        <v>0</v>
      </c>
      <c r="N921" s="45" t="s">
        <v>15</v>
      </c>
      <c r="O921" s="45" t="s">
        <v>61</v>
      </c>
      <c r="P921" s="51"/>
      <c r="Q921" s="52">
        <f>IF(ISBLANK(P921:P1920), "", DATEDIF(J921:J1920, P921:P1920, "Y"))</f>
      </c>
    </row>
    <row x14ac:dyDescent="0.25" r="922" customHeight="1" ht="15.75">
      <c r="A922" s="3"/>
      <c r="B922" s="45" t="s">
        <v>1065</v>
      </c>
      <c r="C922" s="45" t="s">
        <v>110</v>
      </c>
      <c r="D922" s="45" t="s">
        <v>36</v>
      </c>
      <c r="E922" s="45" t="s">
        <v>1096</v>
      </c>
      <c r="F922" s="45" t="s">
        <v>7</v>
      </c>
      <c r="G922" s="45" t="s">
        <v>8</v>
      </c>
      <c r="H922" s="53">
        <v>64</v>
      </c>
      <c r="I922" s="54">
        <f>IF(H922:H1921&lt;45, "Adult", IF(H922:H1921&lt;60, "Middle Age", IF(H922:H1921&lt;70, "Old", "Very Old")))</f>
      </c>
      <c r="J922" s="55">
        <v>37762</v>
      </c>
      <c r="K922" s="56">
        <v>106444</v>
      </c>
      <c r="L922" s="54">
        <f>IF(K922:K1921&lt;50000,"0-50",IF(K922:K1921&lt;100001,"51-100",IF(K922:K1921&lt;150001,"101-150",IF(K922:K1921&lt;200001,"151-200",IF(K922:K1921&lt;250001,"201-250","above 250")))))</f>
      </c>
      <c r="M922" s="57">
        <v>0.05</v>
      </c>
      <c r="N922" s="45" t="s">
        <v>15</v>
      </c>
      <c r="O922" s="45" t="s">
        <v>61</v>
      </c>
      <c r="P922" s="51"/>
      <c r="Q922" s="52">
        <f>IF(ISBLANK(P922:P1921), "", DATEDIF(J922:J1921, P922:P1921, "Y"))</f>
      </c>
    </row>
    <row x14ac:dyDescent="0.25" r="923" customHeight="1" ht="15.75">
      <c r="A923" s="3"/>
      <c r="B923" s="45" t="s">
        <v>261</v>
      </c>
      <c r="C923" s="45" t="s">
        <v>96</v>
      </c>
      <c r="D923" s="45" t="s">
        <v>28</v>
      </c>
      <c r="E923" s="45" t="s">
        <v>1100</v>
      </c>
      <c r="F923" s="45" t="s">
        <v>10</v>
      </c>
      <c r="G923" s="45" t="s">
        <v>17</v>
      </c>
      <c r="H923" s="53">
        <v>31</v>
      </c>
      <c r="I923" s="54">
        <f>IF(H923:H1922&lt;45, "Adult", IF(H923:H1922&lt;60, "Middle Age", IF(H923:H1922&lt;70, "Old", "Very Old")))</f>
      </c>
      <c r="J923" s="55">
        <v>42957</v>
      </c>
      <c r="K923" s="56">
        <v>156931</v>
      </c>
      <c r="L923" s="54">
        <f>IF(K923:K1922&lt;50000,"0-50",IF(K923:K1922&lt;100001,"51-100",IF(K923:K1922&lt;150001,"101-150",IF(K923:K1922&lt;200001,"151-200",IF(K923:K1922&lt;250001,"201-250","above 250")))))</f>
      </c>
      <c r="M923" s="57">
        <v>0.28</v>
      </c>
      <c r="N923" s="45" t="s">
        <v>15</v>
      </c>
      <c r="O923" s="45" t="s">
        <v>67</v>
      </c>
      <c r="P923" s="51"/>
      <c r="Q923" s="52">
        <f>IF(ISBLANK(P923:P1922), "", DATEDIF(J923:J1922, P923:P1922, "Y"))</f>
      </c>
    </row>
    <row x14ac:dyDescent="0.25" r="924" customHeight="1" ht="15.75">
      <c r="A924" s="3"/>
      <c r="B924" s="45" t="s">
        <v>535</v>
      </c>
      <c r="C924" s="45" t="s">
        <v>96</v>
      </c>
      <c r="D924" s="45" t="s">
        <v>34</v>
      </c>
      <c r="E924" s="45" t="s">
        <v>1092</v>
      </c>
      <c r="F924" s="45" t="s">
        <v>7</v>
      </c>
      <c r="G924" s="45" t="s">
        <v>17</v>
      </c>
      <c r="H924" s="53">
        <v>43</v>
      </c>
      <c r="I924" s="54">
        <f>IF(H924:H1923&lt;45, "Adult", IF(H924:H1923&lt;60, "Middle Age", IF(H924:H1923&lt;70, "Old", "Very Old")))</f>
      </c>
      <c r="J924" s="55">
        <v>41928</v>
      </c>
      <c r="K924" s="56">
        <v>171360</v>
      </c>
      <c r="L924" s="54">
        <f>IF(K924:K1923&lt;50000,"0-50",IF(K924:K1923&lt;100001,"51-100",IF(K924:K1923&lt;150001,"101-150",IF(K924:K1923&lt;200001,"151-200",IF(K924:K1923&lt;250001,"201-250","above 250")))))</f>
      </c>
      <c r="M924" s="57">
        <v>0.23</v>
      </c>
      <c r="N924" s="45" t="s">
        <v>9</v>
      </c>
      <c r="O924" s="45" t="s">
        <v>57</v>
      </c>
      <c r="P924" s="51"/>
      <c r="Q924" s="52">
        <f>IF(ISBLANK(P924:P1923), "", DATEDIF(J924:J1923, P924:P1923, "Y"))</f>
      </c>
    </row>
    <row x14ac:dyDescent="0.25" r="925" customHeight="1" ht="15.75">
      <c r="A925" s="3"/>
      <c r="B925" s="45" t="s">
        <v>629</v>
      </c>
      <c r="C925" s="45" t="s">
        <v>100</v>
      </c>
      <c r="D925" s="45" t="s">
        <v>32</v>
      </c>
      <c r="E925" s="45" t="s">
        <v>1092</v>
      </c>
      <c r="F925" s="45" t="s">
        <v>7</v>
      </c>
      <c r="G925" s="45" t="s">
        <v>14</v>
      </c>
      <c r="H925" s="53">
        <v>45</v>
      </c>
      <c r="I925" s="54">
        <f>IF(H925:H1924&lt;45, "Adult", IF(H925:H1924&lt;60, "Middle Age", IF(H925:H1924&lt;70, "Old", "Very Old")))</f>
      </c>
      <c r="J925" s="55">
        <v>39908</v>
      </c>
      <c r="K925" s="56">
        <v>64505</v>
      </c>
      <c r="L925" s="54">
        <f>IF(K925:K1924&lt;50000,"0-50",IF(K925:K1924&lt;100001,"51-100",IF(K925:K1924&lt;150001,"101-150",IF(K925:K1924&lt;200001,"151-200",IF(K925:K1924&lt;250001,"201-250","above 250")))))</f>
      </c>
      <c r="M925" s="57">
        <v>0</v>
      </c>
      <c r="N925" s="45" t="s">
        <v>15</v>
      </c>
      <c r="O925" s="45" t="s">
        <v>59</v>
      </c>
      <c r="P925" s="51"/>
      <c r="Q925" s="52">
        <f>IF(ISBLANK(P925:P1924), "", DATEDIF(J925:J1924, P925:P1924, "Y"))</f>
      </c>
    </row>
    <row x14ac:dyDescent="0.25" r="926" customHeight="1" ht="15.75">
      <c r="A926" s="3"/>
      <c r="B926" s="45" t="s">
        <v>284</v>
      </c>
      <c r="C926" s="45" t="s">
        <v>98</v>
      </c>
      <c r="D926" s="45" t="s">
        <v>26</v>
      </c>
      <c r="E926" s="45" t="s">
        <v>1096</v>
      </c>
      <c r="F926" s="45" t="s">
        <v>10</v>
      </c>
      <c r="G926" s="45" t="s">
        <v>17</v>
      </c>
      <c r="H926" s="53">
        <v>32</v>
      </c>
      <c r="I926" s="54">
        <f>IF(H926:H1925&lt;45, "Adult", IF(H926:H1925&lt;60, "Middle Age", IF(H926:H1925&lt;70, "Old", "Very Old")))</f>
      </c>
      <c r="J926" s="55">
        <v>44478</v>
      </c>
      <c r="K926" s="56">
        <v>102298</v>
      </c>
      <c r="L926" s="54">
        <f>IF(K926:K1925&lt;50000,"0-50",IF(K926:K1925&lt;100001,"51-100",IF(K926:K1925&lt;150001,"101-150",IF(K926:K1925&lt;200001,"151-200",IF(K926:K1925&lt;250001,"201-250","above 250")))))</f>
      </c>
      <c r="M926" s="57">
        <v>0.13</v>
      </c>
      <c r="N926" s="45" t="s">
        <v>9</v>
      </c>
      <c r="O926" s="45" t="s">
        <v>63</v>
      </c>
      <c r="P926" s="51"/>
      <c r="Q926" s="52">
        <f>IF(ISBLANK(P926:P1925), "", DATEDIF(J926:J1925, P926:P1925, "Y"))</f>
      </c>
    </row>
    <row x14ac:dyDescent="0.25" r="927" customHeight="1" ht="15.75">
      <c r="A927" s="3"/>
      <c r="B927" s="45" t="s">
        <v>153</v>
      </c>
      <c r="C927" s="45" t="s">
        <v>132</v>
      </c>
      <c r="D927" s="45" t="s">
        <v>36</v>
      </c>
      <c r="E927" s="45" t="s">
        <v>1100</v>
      </c>
      <c r="F927" s="45" t="s">
        <v>7</v>
      </c>
      <c r="G927" s="45" t="s">
        <v>17</v>
      </c>
      <c r="H927" s="53">
        <v>27</v>
      </c>
      <c r="I927" s="54">
        <f>IF(H927:H1926&lt;45, "Adult", IF(H927:H1926&lt;60, "Middle Age", IF(H927:H1926&lt;70, "Old", "Very Old")))</f>
      </c>
      <c r="J927" s="55">
        <v>43721</v>
      </c>
      <c r="K927" s="56">
        <v>133297</v>
      </c>
      <c r="L927" s="54">
        <f>IF(K927:K1926&lt;50000,"0-50",IF(K927:K1926&lt;100001,"51-100",IF(K927:K1926&lt;150001,"101-150",IF(K927:K1926&lt;200001,"151-200",IF(K927:K1926&lt;250001,"201-250","above 250")))))</f>
      </c>
      <c r="M927" s="57">
        <v>0.13</v>
      </c>
      <c r="N927" s="45" t="s">
        <v>9</v>
      </c>
      <c r="O927" s="45" t="s">
        <v>63</v>
      </c>
      <c r="P927" s="51"/>
      <c r="Q927" s="52">
        <f>IF(ISBLANK(P927:P1926), "", DATEDIF(J927:J1926, P927:P1926, "Y"))</f>
      </c>
    </row>
    <row x14ac:dyDescent="0.25" r="928" customHeight="1" ht="15.75">
      <c r="A928" s="3"/>
      <c r="B928" s="45" t="s">
        <v>79</v>
      </c>
      <c r="C928" s="45" t="s">
        <v>132</v>
      </c>
      <c r="D928" s="45" t="s">
        <v>30</v>
      </c>
      <c r="E928" s="45" t="s">
        <v>1096</v>
      </c>
      <c r="F928" s="45" t="s">
        <v>7</v>
      </c>
      <c r="G928" s="45" t="s">
        <v>11</v>
      </c>
      <c r="H928" s="53">
        <v>25</v>
      </c>
      <c r="I928" s="54">
        <f>IF(H928:H1927&lt;45, "Adult", IF(H928:H1927&lt;60, "Middle Age", IF(H928:H1927&lt;70, "Old", "Very Old")))</f>
      </c>
      <c r="J928" s="55">
        <v>44272</v>
      </c>
      <c r="K928" s="56">
        <v>155080</v>
      </c>
      <c r="L928" s="54">
        <f>IF(K928:K1927&lt;50000,"0-50",IF(K928:K1927&lt;100001,"51-100",IF(K928:K1927&lt;150001,"101-150",IF(K928:K1927&lt;200001,"151-200",IF(K928:K1927&lt;250001,"201-250","above 250")))))</f>
      </c>
      <c r="M928" s="57">
        <v>0.1</v>
      </c>
      <c r="N928" s="45" t="s">
        <v>15</v>
      </c>
      <c r="O928" s="45" t="s">
        <v>42</v>
      </c>
      <c r="P928" s="51"/>
      <c r="Q928" s="52">
        <f>IF(ISBLANK(P928:P1927), "", DATEDIF(J928:J1927, P928:P1927, "Y"))</f>
      </c>
    </row>
    <row x14ac:dyDescent="0.25" r="929" customHeight="1" ht="15.75">
      <c r="A929" s="3"/>
      <c r="B929" s="45" t="s">
        <v>265</v>
      </c>
      <c r="C929" s="45" t="s">
        <v>128</v>
      </c>
      <c r="D929" s="45" t="s">
        <v>36</v>
      </c>
      <c r="E929" s="45" t="s">
        <v>1096</v>
      </c>
      <c r="F929" s="45" t="s">
        <v>10</v>
      </c>
      <c r="G929" s="45" t="s">
        <v>14</v>
      </c>
      <c r="H929" s="53">
        <v>31</v>
      </c>
      <c r="I929" s="54">
        <f>IF(H929:H1928&lt;45, "Adult", IF(H929:H1928&lt;60, "Middle Age", IF(H929:H1928&lt;70, "Old", "Very Old")))</f>
      </c>
      <c r="J929" s="55">
        <v>43325</v>
      </c>
      <c r="K929" s="56">
        <v>81828</v>
      </c>
      <c r="L929" s="54">
        <f>IF(K929:K1928&lt;50000,"0-50",IF(K929:K1928&lt;100001,"51-100",IF(K929:K1928&lt;150001,"101-150",IF(K929:K1928&lt;200001,"151-200",IF(K929:K1928&lt;250001,"201-250","above 250")))))</f>
      </c>
      <c r="M929" s="57">
        <v>0</v>
      </c>
      <c r="N929" s="45" t="s">
        <v>15</v>
      </c>
      <c r="O929" s="45" t="s">
        <v>59</v>
      </c>
      <c r="P929" s="51"/>
      <c r="Q929" s="52">
        <f>IF(ISBLANK(P929:P1928), "", DATEDIF(J929:J1928, P929:P1928, "Y"))</f>
      </c>
    </row>
    <row x14ac:dyDescent="0.25" r="930" customHeight="1" ht="15.75">
      <c r="A930" s="3"/>
      <c r="B930" s="45" t="s">
        <v>1079</v>
      </c>
      <c r="C930" s="45" t="s">
        <v>132</v>
      </c>
      <c r="D930" s="45" t="s">
        <v>34</v>
      </c>
      <c r="E930" s="45" t="s">
        <v>1100</v>
      </c>
      <c r="F930" s="45" t="s">
        <v>7</v>
      </c>
      <c r="G930" s="45" t="s">
        <v>8</v>
      </c>
      <c r="H930" s="53">
        <v>65</v>
      </c>
      <c r="I930" s="54">
        <f>IF(H930:H1929&lt;45, "Adult", IF(H930:H1929&lt;60, "Middle Age", IF(H930:H1929&lt;70, "Old", "Very Old")))</f>
      </c>
      <c r="J930" s="55">
        <v>36823</v>
      </c>
      <c r="K930" s="56">
        <v>149417</v>
      </c>
      <c r="L930" s="54">
        <f>IF(K930:K1929&lt;50000,"0-50",IF(K930:K1929&lt;100001,"51-100",IF(K930:K1929&lt;150001,"101-150",IF(K930:K1929&lt;200001,"151-200",IF(K930:K1929&lt;250001,"201-250","above 250")))))</f>
      </c>
      <c r="M930" s="57">
        <v>0.13</v>
      </c>
      <c r="N930" s="45" t="s">
        <v>12</v>
      </c>
      <c r="O930" s="45" t="s">
        <v>49</v>
      </c>
      <c r="P930" s="51"/>
      <c r="Q930" s="52">
        <f>IF(ISBLANK(P930:P1929), "", DATEDIF(J930:J1929, P930:P1929, "Y"))</f>
      </c>
    </row>
    <row x14ac:dyDescent="0.25" r="931" customHeight="1" ht="15.75">
      <c r="A931" s="3"/>
      <c r="B931" s="45" t="s">
        <v>751</v>
      </c>
      <c r="C931" s="45" t="s">
        <v>110</v>
      </c>
      <c r="D931" s="45" t="s">
        <v>36</v>
      </c>
      <c r="E931" s="45" t="s">
        <v>1100</v>
      </c>
      <c r="F931" s="45" t="s">
        <v>10</v>
      </c>
      <c r="G931" s="45" t="s">
        <v>17</v>
      </c>
      <c r="H931" s="53">
        <v>50</v>
      </c>
      <c r="I931" s="54">
        <f>IF(H931:H1930&lt;45, "Adult", IF(H931:H1930&lt;60, "Middle Age", IF(H931:H1930&lt;70, "Old", "Very Old")))</f>
      </c>
      <c r="J931" s="55">
        <v>41024</v>
      </c>
      <c r="K931" s="56">
        <v>113269</v>
      </c>
      <c r="L931" s="54">
        <f>IF(K931:K1930&lt;50000,"0-50",IF(K931:K1930&lt;100001,"51-100",IF(K931:K1930&lt;150001,"101-150",IF(K931:K1930&lt;200001,"151-200",IF(K931:K1930&lt;250001,"201-250","above 250")))))</f>
      </c>
      <c r="M931" s="57">
        <v>0.09</v>
      </c>
      <c r="N931" s="45" t="s">
        <v>9</v>
      </c>
      <c r="O931" s="45" t="s">
        <v>65</v>
      </c>
      <c r="P931" s="51"/>
      <c r="Q931" s="52">
        <f>IF(ISBLANK(P931:P1930), "", DATEDIF(J931:J1930, P931:P1930, "Y"))</f>
      </c>
    </row>
    <row x14ac:dyDescent="0.25" r="932" customHeight="1" ht="15.75">
      <c r="A932" s="3"/>
      <c r="B932" s="45" t="s">
        <v>655</v>
      </c>
      <c r="C932" s="45" t="s">
        <v>132</v>
      </c>
      <c r="D932" s="45" t="s">
        <v>32</v>
      </c>
      <c r="E932" s="45" t="s">
        <v>1094</v>
      </c>
      <c r="F932" s="45" t="s">
        <v>10</v>
      </c>
      <c r="G932" s="45" t="s">
        <v>8</v>
      </c>
      <c r="H932" s="53">
        <v>46</v>
      </c>
      <c r="I932" s="54">
        <f>IF(H932:H1931&lt;45, "Adult", IF(H932:H1931&lt;60, "Middle Age", IF(H932:H1931&lt;70, "Old", "Very Old")))</f>
      </c>
      <c r="J932" s="55">
        <v>43085</v>
      </c>
      <c r="K932" s="56">
        <v>136716</v>
      </c>
      <c r="L932" s="54">
        <f>IF(K932:K1931&lt;50000,"0-50",IF(K932:K1931&lt;100001,"51-100",IF(K932:K1931&lt;150001,"101-150",IF(K932:K1931&lt;200001,"151-200",IF(K932:K1931&lt;250001,"201-250","above 250")))))</f>
      </c>
      <c r="M932" s="57">
        <v>0.12</v>
      </c>
      <c r="N932" s="45" t="s">
        <v>15</v>
      </c>
      <c r="O932" s="45" t="s">
        <v>42</v>
      </c>
      <c r="P932" s="51"/>
      <c r="Q932" s="52">
        <f>IF(ISBLANK(P932:P1931), "", DATEDIF(J932:J1931, P932:P1931, "Y"))</f>
      </c>
    </row>
    <row x14ac:dyDescent="0.25" r="933" customHeight="1" ht="15.75">
      <c r="A933" s="3"/>
      <c r="B933" s="45" t="s">
        <v>853</v>
      </c>
      <c r="C933" s="45" t="s">
        <v>132</v>
      </c>
      <c r="D933" s="45" t="s">
        <v>36</v>
      </c>
      <c r="E933" s="45" t="s">
        <v>1096</v>
      </c>
      <c r="F933" s="45" t="s">
        <v>10</v>
      </c>
      <c r="G933" s="45" t="s">
        <v>17</v>
      </c>
      <c r="H933" s="53">
        <v>54</v>
      </c>
      <c r="I933" s="54">
        <f>IF(H933:H1932&lt;45, "Adult", IF(H933:H1932&lt;60, "Middle Age", IF(H933:H1932&lt;70, "Old", "Very Old")))</f>
      </c>
      <c r="J933" s="55">
        <v>40836</v>
      </c>
      <c r="K933" s="56">
        <v>122644</v>
      </c>
      <c r="L933" s="54">
        <f>IF(K933:K1932&lt;50000,"0-50",IF(K933:K1932&lt;100001,"51-100",IF(K933:K1932&lt;150001,"101-150",IF(K933:K1932&lt;200001,"151-200",IF(K933:K1932&lt;250001,"201-250","above 250")))))</f>
      </c>
      <c r="M933" s="57">
        <v>0.12</v>
      </c>
      <c r="N933" s="45" t="s">
        <v>15</v>
      </c>
      <c r="O933" s="45" t="s">
        <v>42</v>
      </c>
      <c r="P933" s="51"/>
      <c r="Q933" s="52">
        <f>IF(ISBLANK(P933:P1932), "", DATEDIF(J933:J1932, P933:P1932, "Y"))</f>
      </c>
    </row>
    <row x14ac:dyDescent="0.25" r="934" customHeight="1" ht="15.75">
      <c r="A934" s="3"/>
      <c r="B934" s="45" t="s">
        <v>752</v>
      </c>
      <c r="C934" s="45" t="s">
        <v>110</v>
      </c>
      <c r="D934" s="45" t="s">
        <v>36</v>
      </c>
      <c r="E934" s="45" t="s">
        <v>1092</v>
      </c>
      <c r="F934" s="45" t="s">
        <v>7</v>
      </c>
      <c r="G934" s="45" t="s">
        <v>8</v>
      </c>
      <c r="H934" s="53">
        <v>50</v>
      </c>
      <c r="I934" s="54">
        <f>IF(H934:H1933&lt;45, "Adult", IF(H934:H1933&lt;60, "Middle Age", IF(H934:H1933&lt;70, "Old", "Very Old")))</f>
      </c>
      <c r="J934" s="55">
        <v>36653</v>
      </c>
      <c r="K934" s="56">
        <v>106428</v>
      </c>
      <c r="L934" s="54">
        <f>IF(K934:K1933&lt;50000,"0-50",IF(K934:K1933&lt;100001,"51-100",IF(K934:K1933&lt;150001,"101-150",IF(K934:K1933&lt;200001,"151-200",IF(K934:K1933&lt;250001,"201-250","above 250")))))</f>
      </c>
      <c r="M934" s="57">
        <v>0.07</v>
      </c>
      <c r="N934" s="45" t="s">
        <v>15</v>
      </c>
      <c r="O934" s="45" t="s">
        <v>51</v>
      </c>
      <c r="P934" s="51"/>
      <c r="Q934" s="52">
        <f>IF(ISBLANK(P934:P1933), "", DATEDIF(J934:J1933, P934:P1933, "Y"))</f>
      </c>
    </row>
    <row x14ac:dyDescent="0.25" r="935" customHeight="1" ht="15.75">
      <c r="A935" s="3"/>
      <c r="B935" s="45" t="s">
        <v>374</v>
      </c>
      <c r="C935" s="45" t="s">
        <v>142</v>
      </c>
      <c r="D935" s="45" t="s">
        <v>28</v>
      </c>
      <c r="E935" s="45" t="s">
        <v>1100</v>
      </c>
      <c r="F935" s="45" t="s">
        <v>10</v>
      </c>
      <c r="G935" s="45" t="s">
        <v>14</v>
      </c>
      <c r="H935" s="53">
        <v>36</v>
      </c>
      <c r="I935" s="54">
        <f>IF(H935:H1934&lt;45, "Adult", IF(H935:H1934&lt;60, "Middle Age", IF(H935:H1934&lt;70, "Old", "Very Old")))</f>
      </c>
      <c r="J935" s="55">
        <v>39830</v>
      </c>
      <c r="K935" s="56">
        <v>238236</v>
      </c>
      <c r="L935" s="54">
        <f>IF(K935:K1934&lt;50000,"0-50",IF(K935:K1934&lt;100001,"51-100",IF(K935:K1934&lt;150001,"101-150",IF(K935:K1934&lt;200001,"151-200",IF(K935:K1934&lt;250001,"201-250","above 250")))))</f>
      </c>
      <c r="M935" s="57">
        <v>0.31</v>
      </c>
      <c r="N935" s="45" t="s">
        <v>15</v>
      </c>
      <c r="O935" s="45" t="s">
        <v>67</v>
      </c>
      <c r="P935" s="51"/>
      <c r="Q935" s="52">
        <f>IF(ISBLANK(P935:P1934), "", DATEDIF(J935:J1934, P935:P1934, "Y"))</f>
      </c>
    </row>
    <row x14ac:dyDescent="0.25" r="936" customHeight="1" ht="15.75">
      <c r="A936" s="3"/>
      <c r="B936" s="45" t="s">
        <v>1064</v>
      </c>
      <c r="C936" s="45" t="s">
        <v>96</v>
      </c>
      <c r="D936" s="45" t="s">
        <v>28</v>
      </c>
      <c r="E936" s="45" t="s">
        <v>1100</v>
      </c>
      <c r="F936" s="45" t="s">
        <v>7</v>
      </c>
      <c r="G936" s="45" t="s">
        <v>14</v>
      </c>
      <c r="H936" s="53">
        <v>64</v>
      </c>
      <c r="I936" s="54">
        <f>IF(H936:H1935&lt;45, "Adult", IF(H936:H1935&lt;60, "Middle Age", IF(H936:H1935&lt;70, "Old", "Very Old")))</f>
      </c>
      <c r="J936" s="55">
        <v>41264</v>
      </c>
      <c r="K936" s="56">
        <v>153253</v>
      </c>
      <c r="L936" s="54">
        <f>IF(K936:K1935&lt;50000,"0-50",IF(K936:K1935&lt;100001,"51-100",IF(K936:K1935&lt;150001,"101-150",IF(K936:K1935&lt;200001,"151-200",IF(K936:K1935&lt;250001,"201-250","above 250")))))</f>
      </c>
      <c r="M936" s="57">
        <v>0.24</v>
      </c>
      <c r="N936" s="45" t="s">
        <v>15</v>
      </c>
      <c r="O936" s="45" t="s">
        <v>42</v>
      </c>
      <c r="P936" s="51"/>
      <c r="Q936" s="52">
        <f>IF(ISBLANK(P936:P1935), "", DATEDIF(J936:J1935, P936:P1935, "Y"))</f>
      </c>
    </row>
    <row x14ac:dyDescent="0.25" r="937" customHeight="1" ht="15.75">
      <c r="A937" s="3"/>
      <c r="B937" s="45" t="s">
        <v>331</v>
      </c>
      <c r="C937" s="45" t="s">
        <v>110</v>
      </c>
      <c r="D937" s="45" t="s">
        <v>24</v>
      </c>
      <c r="E937" s="45" t="s">
        <v>1094</v>
      </c>
      <c r="F937" s="45" t="s">
        <v>7</v>
      </c>
      <c r="G937" s="45" t="s">
        <v>14</v>
      </c>
      <c r="H937" s="53">
        <v>34</v>
      </c>
      <c r="I937" s="54">
        <f>IF(H937:H1936&lt;45, "Adult", IF(H937:H1936&lt;60, "Middle Age", IF(H937:H1936&lt;70, "Old", "Very Old")))</f>
      </c>
      <c r="J937" s="55">
        <v>41915</v>
      </c>
      <c r="K937" s="56">
        <v>103707</v>
      </c>
      <c r="L937" s="54">
        <f>IF(K937:K1936&lt;50000,"0-50",IF(K937:K1936&lt;100001,"51-100",IF(K937:K1936&lt;150001,"101-150",IF(K937:K1936&lt;200001,"151-200",IF(K937:K1936&lt;250001,"201-250","above 250")))))</f>
      </c>
      <c r="M937" s="57">
        <v>0.09</v>
      </c>
      <c r="N937" s="45" t="s">
        <v>15</v>
      </c>
      <c r="O937" s="45" t="s">
        <v>55</v>
      </c>
      <c r="P937" s="51"/>
      <c r="Q937" s="52">
        <f>IF(ISBLANK(P937:P1936), "", DATEDIF(J937:J1936, P937:P1936, "Y"))</f>
      </c>
    </row>
    <row x14ac:dyDescent="0.25" r="938" customHeight="1" ht="15.75">
      <c r="A938" s="3"/>
      <c r="B938" s="45" t="s">
        <v>492</v>
      </c>
      <c r="C938" s="45" t="s">
        <v>142</v>
      </c>
      <c r="D938" s="45" t="s">
        <v>24</v>
      </c>
      <c r="E938" s="45" t="s">
        <v>1096</v>
      </c>
      <c r="F938" s="45" t="s">
        <v>7</v>
      </c>
      <c r="G938" s="45" t="s">
        <v>14</v>
      </c>
      <c r="H938" s="53">
        <v>41</v>
      </c>
      <c r="I938" s="54">
        <f>IF(H938:H1937&lt;45, "Adult", IF(H938:H1937&lt;60, "Middle Age", IF(H938:H1937&lt;70, "Old", "Very Old")))</f>
      </c>
      <c r="J938" s="55">
        <v>41130</v>
      </c>
      <c r="K938" s="56">
        <v>245360</v>
      </c>
      <c r="L938" s="54">
        <f>IF(K938:K1937&lt;50000,"0-50",IF(K938:K1937&lt;100001,"51-100",IF(K938:K1937&lt;150001,"101-150",IF(K938:K1937&lt;200001,"151-200",IF(K938:K1937&lt;250001,"201-250","above 250")))))</f>
      </c>
      <c r="M938" s="57">
        <v>0.37</v>
      </c>
      <c r="N938" s="45" t="s">
        <v>15</v>
      </c>
      <c r="O938" s="45" t="s">
        <v>42</v>
      </c>
      <c r="P938" s="51"/>
      <c r="Q938" s="52">
        <f>IF(ISBLANK(P938:P1937), "", DATEDIF(J938:J1937, P938:P1937, "Y"))</f>
      </c>
    </row>
    <row x14ac:dyDescent="0.25" r="939" customHeight="1" ht="15.75">
      <c r="A939" s="3"/>
      <c r="B939" s="45" t="s">
        <v>83</v>
      </c>
      <c r="C939" s="45" t="s">
        <v>94</v>
      </c>
      <c r="D939" s="45" t="s">
        <v>26</v>
      </c>
      <c r="E939" s="45" t="s">
        <v>1096</v>
      </c>
      <c r="F939" s="45" t="s">
        <v>10</v>
      </c>
      <c r="G939" s="45" t="s">
        <v>8</v>
      </c>
      <c r="H939" s="53">
        <v>25</v>
      </c>
      <c r="I939" s="54">
        <f>IF(H939:H1938&lt;45, "Adult", IF(H939:H1938&lt;60, "Middle Age", IF(H939:H1938&lt;70, "Old", "Very Old")))</f>
      </c>
      <c r="J939" s="55">
        <v>44385</v>
      </c>
      <c r="K939" s="56">
        <v>67275</v>
      </c>
      <c r="L939" s="54">
        <f>IF(K939:K1938&lt;50000,"0-50",IF(K939:K1938&lt;100001,"51-100",IF(K939:K1938&lt;150001,"101-150",IF(K939:K1938&lt;200001,"151-200",IF(K939:K1938&lt;250001,"201-250","above 250")))))</f>
      </c>
      <c r="M939" s="57">
        <v>0</v>
      </c>
      <c r="N939" s="45" t="s">
        <v>15</v>
      </c>
      <c r="O939" s="45" t="s">
        <v>55</v>
      </c>
      <c r="P939" s="51"/>
      <c r="Q939" s="52">
        <f>IF(ISBLANK(P939:P1938), "", DATEDIF(J939:J1938, P939:P1938, "Y"))</f>
      </c>
    </row>
    <row x14ac:dyDescent="0.25" r="940" customHeight="1" ht="15.75">
      <c r="A940" s="3"/>
      <c r="B940" s="45" t="s">
        <v>607</v>
      </c>
      <c r="C940" s="45" t="s">
        <v>110</v>
      </c>
      <c r="D940" s="45" t="s">
        <v>32</v>
      </c>
      <c r="E940" s="45" t="s">
        <v>1094</v>
      </c>
      <c r="F940" s="45" t="s">
        <v>10</v>
      </c>
      <c r="G940" s="45" t="s">
        <v>8</v>
      </c>
      <c r="H940" s="53">
        <v>45</v>
      </c>
      <c r="I940" s="54">
        <f>IF(H940:H1939&lt;45, "Adult", IF(H940:H1939&lt;60, "Middle Age", IF(H940:H1939&lt;70, "Old", "Very Old")))</f>
      </c>
      <c r="J940" s="55">
        <v>42026</v>
      </c>
      <c r="K940" s="56">
        <v>101288</v>
      </c>
      <c r="L940" s="54">
        <f>IF(K940:K1939&lt;50000,"0-50",IF(K940:K1939&lt;100001,"51-100",IF(K940:K1939&lt;150001,"101-150",IF(K940:K1939&lt;200001,"151-200",IF(K940:K1939&lt;250001,"201-250","above 250")))))</f>
      </c>
      <c r="M940" s="57">
        <v>0.1</v>
      </c>
      <c r="N940" s="45" t="s">
        <v>15</v>
      </c>
      <c r="O940" s="45" t="s">
        <v>61</v>
      </c>
      <c r="P940" s="51"/>
      <c r="Q940" s="52">
        <f>IF(ISBLANK(P940:P1939), "", DATEDIF(J940:J1939, P940:P1939, "Y"))</f>
      </c>
    </row>
    <row x14ac:dyDescent="0.25" r="941" customHeight="1" ht="15.75">
      <c r="A941" s="3"/>
      <c r="B941" s="45" t="s">
        <v>802</v>
      </c>
      <c r="C941" s="45" t="s">
        <v>96</v>
      </c>
      <c r="D941" s="45" t="s">
        <v>30</v>
      </c>
      <c r="E941" s="45" t="s">
        <v>1096</v>
      </c>
      <c r="F941" s="45" t="s">
        <v>7</v>
      </c>
      <c r="G941" s="45" t="s">
        <v>17</v>
      </c>
      <c r="H941" s="53">
        <v>52</v>
      </c>
      <c r="I941" s="54">
        <f>IF(H941:H1940&lt;45, "Adult", IF(H941:H1940&lt;60, "Middle Age", IF(H941:H1940&lt;70, "Old", "Very Old")))</f>
      </c>
      <c r="J941" s="55">
        <v>34209</v>
      </c>
      <c r="K941" s="56">
        <v>177443</v>
      </c>
      <c r="L941" s="54">
        <f>IF(K941:K1940&lt;50000,"0-50",IF(K941:K1940&lt;100001,"51-100",IF(K941:K1940&lt;150001,"101-150",IF(K941:K1940&lt;200001,"151-200",IF(K941:K1940&lt;250001,"201-250","above 250")))))</f>
      </c>
      <c r="M941" s="57">
        <v>0.25</v>
      </c>
      <c r="N941" s="45" t="s">
        <v>9</v>
      </c>
      <c r="O941" s="45" t="s">
        <v>65</v>
      </c>
      <c r="P941" s="51"/>
      <c r="Q941" s="52">
        <f>IF(ISBLANK(P941:P1940), "", DATEDIF(J941:J1940, P941:P1940, "Y"))</f>
      </c>
    </row>
    <row x14ac:dyDescent="0.25" r="942" customHeight="1" ht="15.75">
      <c r="A942" s="3"/>
      <c r="B942" s="45" t="s">
        <v>404</v>
      </c>
      <c r="C942" s="45" t="s">
        <v>88</v>
      </c>
      <c r="D942" s="45" t="s">
        <v>32</v>
      </c>
      <c r="E942" s="45" t="s">
        <v>1094</v>
      </c>
      <c r="F942" s="45" t="s">
        <v>7</v>
      </c>
      <c r="G942" s="45" t="s">
        <v>11</v>
      </c>
      <c r="H942" s="53">
        <v>37</v>
      </c>
      <c r="I942" s="54">
        <f>IF(H942:H1941&lt;45, "Adult", IF(H942:H1941&lt;60, "Middle Age", IF(H942:H1941&lt;70, "Old", "Very Old")))</f>
      </c>
      <c r="J942" s="55">
        <v>42487</v>
      </c>
      <c r="K942" s="56">
        <v>91400</v>
      </c>
      <c r="L942" s="54">
        <f>IF(K942:K1941&lt;50000,"0-50",IF(K942:K1941&lt;100001,"51-100",IF(K942:K1941&lt;150001,"101-150",IF(K942:K1941&lt;200001,"151-200",IF(K942:K1941&lt;250001,"201-250","above 250")))))</f>
      </c>
      <c r="M942" s="57">
        <v>0</v>
      </c>
      <c r="N942" s="45" t="s">
        <v>15</v>
      </c>
      <c r="O942" s="45" t="s">
        <v>51</v>
      </c>
      <c r="P942" s="51"/>
      <c r="Q942" s="52">
        <f>IF(ISBLANK(P942:P1941), "", DATEDIF(J942:J1941, P942:P1941, "Y"))</f>
      </c>
    </row>
    <row x14ac:dyDescent="0.25" r="943" customHeight="1" ht="15.75">
      <c r="A943" s="3"/>
      <c r="B943" s="45" t="s">
        <v>552</v>
      </c>
      <c r="C943" s="45" t="s">
        <v>142</v>
      </c>
      <c r="D943" s="45" t="s">
        <v>30</v>
      </c>
      <c r="E943" s="45" t="s">
        <v>1100</v>
      </c>
      <c r="F943" s="45" t="s">
        <v>10</v>
      </c>
      <c r="G943" s="45" t="s">
        <v>17</v>
      </c>
      <c r="H943" s="53">
        <v>44</v>
      </c>
      <c r="I943" s="54">
        <f>IF(H943:H1942&lt;45, "Adult", IF(H943:H1942&lt;60, "Middle Age", IF(H943:H1942&lt;70, "Old", "Very Old")))</f>
      </c>
      <c r="J943" s="55">
        <v>39335</v>
      </c>
      <c r="K943" s="56">
        <v>181247</v>
      </c>
      <c r="L943" s="54">
        <f>IF(K943:K1942&lt;50000,"0-50",IF(K943:K1942&lt;100001,"51-100",IF(K943:K1942&lt;150001,"101-150",IF(K943:K1942&lt;200001,"151-200",IF(K943:K1942&lt;250001,"201-250","above 250")))))</f>
      </c>
      <c r="M943" s="57">
        <v>0.33</v>
      </c>
      <c r="N943" s="45" t="s">
        <v>9</v>
      </c>
      <c r="O943" s="45" t="s">
        <v>65</v>
      </c>
      <c r="P943" s="51"/>
      <c r="Q943" s="52">
        <f>IF(ISBLANK(P943:P1942), "", DATEDIF(J943:J1942, P943:P1942, "Y"))</f>
      </c>
    </row>
    <row x14ac:dyDescent="0.25" r="944" customHeight="1" ht="15.75">
      <c r="A944" s="3"/>
      <c r="B944" s="45" t="s">
        <v>514</v>
      </c>
      <c r="C944" s="45" t="s">
        <v>132</v>
      </c>
      <c r="D944" s="45" t="s">
        <v>30</v>
      </c>
      <c r="E944" s="45" t="s">
        <v>1092</v>
      </c>
      <c r="F944" s="45" t="s">
        <v>10</v>
      </c>
      <c r="G944" s="45" t="s">
        <v>11</v>
      </c>
      <c r="H944" s="53">
        <v>42</v>
      </c>
      <c r="I944" s="54">
        <f>IF(H944:H1943&lt;45, "Adult", IF(H944:H1943&lt;60, "Middle Age", IF(H944:H1943&lt;70, "Old", "Very Old")))</f>
      </c>
      <c r="J944" s="55">
        <v>37914</v>
      </c>
      <c r="K944" s="56">
        <v>135558</v>
      </c>
      <c r="L944" s="54">
        <f>IF(K944:K1943&lt;50000,"0-50",IF(K944:K1943&lt;100001,"51-100",IF(K944:K1943&lt;150001,"101-150",IF(K944:K1943&lt;200001,"151-200",IF(K944:K1943&lt;250001,"201-250","above 250")))))</f>
      </c>
      <c r="M944" s="57">
        <v>0.14</v>
      </c>
      <c r="N944" s="45" t="s">
        <v>15</v>
      </c>
      <c r="O944" s="45" t="s">
        <v>61</v>
      </c>
      <c r="P944" s="51"/>
      <c r="Q944" s="52">
        <f>IF(ISBLANK(P944:P1943), "", DATEDIF(J944:J1943, P944:P1943, "Y"))</f>
      </c>
    </row>
    <row x14ac:dyDescent="0.25" r="945" customHeight="1" ht="15.75">
      <c r="A945" s="3"/>
      <c r="B945" s="45" t="s">
        <v>496</v>
      </c>
      <c r="C945" s="45" t="s">
        <v>80</v>
      </c>
      <c r="D945" s="45" t="s">
        <v>24</v>
      </c>
      <c r="E945" s="45" t="s">
        <v>1096</v>
      </c>
      <c r="F945" s="45" t="s">
        <v>10</v>
      </c>
      <c r="G945" s="45" t="s">
        <v>14</v>
      </c>
      <c r="H945" s="53">
        <v>49</v>
      </c>
      <c r="I945" s="54">
        <f>IF(H945:H1944&lt;45, "Adult", IF(H945:H1944&lt;60, "Middle Age", IF(H945:H1944&lt;70, "Old", "Very Old")))</f>
      </c>
      <c r="J945" s="55">
        <v>40894</v>
      </c>
      <c r="K945" s="56">
        <v>56878</v>
      </c>
      <c r="L945" s="54">
        <f>IF(K945:K1944&lt;50000,"0-50",IF(K945:K1944&lt;100001,"51-100",IF(K945:K1944&lt;150001,"101-150",IF(K945:K1944&lt;200001,"151-200",IF(K945:K1944&lt;250001,"201-250","above 250")))))</f>
      </c>
      <c r="M945" s="57">
        <v>0</v>
      </c>
      <c r="N945" s="45" t="s">
        <v>15</v>
      </c>
      <c r="O945" s="45" t="s">
        <v>67</v>
      </c>
      <c r="P945" s="51"/>
      <c r="Q945" s="52">
        <f>IF(ISBLANK(P945:P1944), "", DATEDIF(J945:J1944, P945:P1944, "Y"))</f>
      </c>
    </row>
    <row x14ac:dyDescent="0.25" r="946" customHeight="1" ht="15.75">
      <c r="A946" s="3"/>
      <c r="B946" s="45" t="s">
        <v>330</v>
      </c>
      <c r="C946" s="45" t="s">
        <v>108</v>
      </c>
      <c r="D946" s="45" t="s">
        <v>32</v>
      </c>
      <c r="E946" s="45" t="s">
        <v>1096</v>
      </c>
      <c r="F946" s="45" t="s">
        <v>10</v>
      </c>
      <c r="G946" s="45" t="s">
        <v>8</v>
      </c>
      <c r="H946" s="53">
        <v>34</v>
      </c>
      <c r="I946" s="54">
        <f>IF(H946:H1945&lt;45, "Adult", IF(H946:H1945&lt;60, "Middle Age", IF(H946:H1945&lt;70, "Old", "Very Old")))</f>
      </c>
      <c r="J946" s="55">
        <v>43728</v>
      </c>
      <c r="K946" s="56">
        <v>94735</v>
      </c>
      <c r="L946" s="54">
        <f>IF(K946:K1945&lt;50000,"0-50",IF(K946:K1945&lt;100001,"51-100",IF(K946:K1945&lt;150001,"101-150",IF(K946:K1945&lt;200001,"151-200",IF(K946:K1945&lt;250001,"201-250","above 250")))))</f>
      </c>
      <c r="M946" s="57">
        <v>0</v>
      </c>
      <c r="N946" s="45" t="s">
        <v>12</v>
      </c>
      <c r="O946" s="45" t="s">
        <v>47</v>
      </c>
      <c r="P946" s="51"/>
      <c r="Q946" s="52">
        <f>IF(ISBLANK(P946:P1945), "", DATEDIF(J946:J1945, P946:P1945, "Y"))</f>
      </c>
    </row>
    <row x14ac:dyDescent="0.25" r="947" customHeight="1" ht="15.75">
      <c r="A947" s="3"/>
      <c r="B947" s="45" t="s">
        <v>438</v>
      </c>
      <c r="C947" s="45" t="s">
        <v>82</v>
      </c>
      <c r="D947" s="45" t="s">
        <v>36</v>
      </c>
      <c r="E947" s="45" t="s">
        <v>1094</v>
      </c>
      <c r="F947" s="45" t="s">
        <v>10</v>
      </c>
      <c r="G947" s="45" t="s">
        <v>17</v>
      </c>
      <c r="H947" s="53">
        <v>39</v>
      </c>
      <c r="I947" s="54">
        <f>IF(H947:H1946&lt;45, "Adult", IF(H947:H1946&lt;60, "Middle Age", IF(H947:H1946&lt;70, "Old", "Very Old")))</f>
      </c>
      <c r="J947" s="55">
        <v>39229</v>
      </c>
      <c r="K947" s="56">
        <v>51234</v>
      </c>
      <c r="L947" s="54">
        <f>IF(K947:K1946&lt;50000,"0-50",IF(K947:K1946&lt;100001,"51-100",IF(K947:K1946&lt;150001,"101-150",IF(K947:K1946&lt;200001,"151-200",IF(K947:K1946&lt;250001,"201-250","above 250")))))</f>
      </c>
      <c r="M947" s="57">
        <v>0</v>
      </c>
      <c r="N947" s="45" t="s">
        <v>15</v>
      </c>
      <c r="O947" s="45" t="s">
        <v>67</v>
      </c>
      <c r="P947" s="51"/>
      <c r="Q947" s="52">
        <f>IF(ISBLANK(P947:P1946), "", DATEDIF(J947:J1946, P947:P1946, "Y"))</f>
      </c>
    </row>
    <row x14ac:dyDescent="0.25" r="948" customHeight="1" ht="15.75">
      <c r="A948" s="3"/>
      <c r="B948" s="45" t="s">
        <v>262</v>
      </c>
      <c r="C948" s="45" t="s">
        <v>142</v>
      </c>
      <c r="D948" s="45" t="s">
        <v>30</v>
      </c>
      <c r="E948" s="45" t="s">
        <v>1096</v>
      </c>
      <c r="F948" s="45" t="s">
        <v>10</v>
      </c>
      <c r="G948" s="45" t="s">
        <v>8</v>
      </c>
      <c r="H948" s="53">
        <v>31</v>
      </c>
      <c r="I948" s="54">
        <f>IF(H948:H1947&lt;45, "Adult", IF(H948:H1947&lt;60, "Middle Age", IF(H948:H1947&lt;70, "Old", "Very Old")))</f>
      </c>
      <c r="J948" s="55">
        <v>42018</v>
      </c>
      <c r="K948" s="56">
        <v>230025</v>
      </c>
      <c r="L948" s="54">
        <f>IF(K948:K1947&lt;50000,"0-50",IF(K948:K1947&lt;100001,"51-100",IF(K948:K1947&lt;150001,"101-150",IF(K948:K1947&lt;200001,"151-200",IF(K948:K1947&lt;250001,"201-250","above 250")))))</f>
      </c>
      <c r="M948" s="57">
        <v>0.34</v>
      </c>
      <c r="N948" s="45" t="s">
        <v>15</v>
      </c>
      <c r="O948" s="45" t="s">
        <v>61</v>
      </c>
      <c r="P948" s="51"/>
      <c r="Q948" s="52">
        <f>IF(ISBLANK(P948:P1947), "", DATEDIF(J948:J1947, P948:P1947, "Y"))</f>
      </c>
    </row>
    <row x14ac:dyDescent="0.25" r="949" customHeight="1" ht="15.75">
      <c r="A949" s="3"/>
      <c r="B949" s="45" t="s">
        <v>376</v>
      </c>
      <c r="C949" s="45" t="s">
        <v>132</v>
      </c>
      <c r="D949" s="45" t="s">
        <v>30</v>
      </c>
      <c r="E949" s="45" t="s">
        <v>1096</v>
      </c>
      <c r="F949" s="45" t="s">
        <v>7</v>
      </c>
      <c r="G949" s="45" t="s">
        <v>8</v>
      </c>
      <c r="H949" s="53">
        <v>36</v>
      </c>
      <c r="I949" s="54">
        <f>IF(H949:H1948&lt;45, "Adult", IF(H949:H1948&lt;60, "Middle Age", IF(H949:H1948&lt;70, "Old", "Very Old")))</f>
      </c>
      <c r="J949" s="55">
        <v>40248</v>
      </c>
      <c r="K949" s="56">
        <v>134006</v>
      </c>
      <c r="L949" s="54">
        <f>IF(K949:K1948&lt;50000,"0-50",IF(K949:K1948&lt;100001,"51-100",IF(K949:K1948&lt;150001,"101-150",IF(K949:K1948&lt;200001,"151-200",IF(K949:K1948&lt;250001,"201-250","above 250")))))</f>
      </c>
      <c r="M949" s="57">
        <v>0.13</v>
      </c>
      <c r="N949" s="45" t="s">
        <v>12</v>
      </c>
      <c r="O949" s="45" t="s">
        <v>47</v>
      </c>
      <c r="P949" s="51"/>
      <c r="Q949" s="52">
        <f>IF(ISBLANK(P949:P1948), "", DATEDIF(J949:J1948, P949:P1948, "Y"))</f>
      </c>
    </row>
    <row x14ac:dyDescent="0.25" r="950" customHeight="1" ht="15.75">
      <c r="A950" s="3"/>
      <c r="B950" s="45" t="s">
        <v>1006</v>
      </c>
      <c r="C950" s="45" t="s">
        <v>110</v>
      </c>
      <c r="D950" s="45" t="s">
        <v>28</v>
      </c>
      <c r="E950" s="45" t="s">
        <v>1100</v>
      </c>
      <c r="F950" s="45" t="s">
        <v>7</v>
      </c>
      <c r="G950" s="45" t="s">
        <v>8</v>
      </c>
      <c r="H950" s="53">
        <v>61</v>
      </c>
      <c r="I950" s="54">
        <f>IF(H950:H1949&lt;45, "Adult", IF(H950:H1949&lt;60, "Middle Age", IF(H950:H1949&lt;70, "Old", "Very Old")))</f>
      </c>
      <c r="J950" s="55">
        <v>40092</v>
      </c>
      <c r="K950" s="56">
        <v>103096</v>
      </c>
      <c r="L950" s="54">
        <f>IF(K950:K1949&lt;50000,"0-50",IF(K950:K1949&lt;100001,"51-100",IF(K950:K1949&lt;150001,"101-150",IF(K950:K1949&lt;200001,"151-200",IF(K950:K1949&lt;250001,"201-250","above 250")))))</f>
      </c>
      <c r="M950" s="57">
        <v>0.07</v>
      </c>
      <c r="N950" s="45" t="s">
        <v>12</v>
      </c>
      <c r="O950" s="45" t="s">
        <v>47</v>
      </c>
      <c r="P950" s="51"/>
      <c r="Q950" s="52">
        <f>IF(ISBLANK(P950:P1949), "", DATEDIF(J950:J1949, P950:P1949, "Y"))</f>
      </c>
    </row>
    <row x14ac:dyDescent="0.25" r="951" customHeight="1" ht="15.75">
      <c r="A951" s="3"/>
      <c r="B951" s="45" t="s">
        <v>211</v>
      </c>
      <c r="C951" s="45" t="s">
        <v>80</v>
      </c>
      <c r="D951" s="45" t="s">
        <v>24</v>
      </c>
      <c r="E951" s="45" t="s">
        <v>1094</v>
      </c>
      <c r="F951" s="45" t="s">
        <v>10</v>
      </c>
      <c r="G951" s="45" t="s">
        <v>8</v>
      </c>
      <c r="H951" s="53">
        <v>29</v>
      </c>
      <c r="I951" s="54">
        <f>IF(H951:H1950&lt;45, "Adult", IF(H951:H1950&lt;60, "Middle Age", IF(H951:H1950&lt;70, "Old", "Very Old")))</f>
      </c>
      <c r="J951" s="55">
        <v>42602</v>
      </c>
      <c r="K951" s="56">
        <v>58703</v>
      </c>
      <c r="L951" s="54">
        <f>IF(K951:K1950&lt;50000,"0-50",IF(K951:K1950&lt;100001,"51-100",IF(K951:K1950&lt;150001,"101-150",IF(K951:K1950&lt;200001,"151-200",IF(K951:K1950&lt;250001,"201-250","above 250")))))</f>
      </c>
      <c r="M951" s="57">
        <v>0</v>
      </c>
      <c r="N951" s="45" t="s">
        <v>15</v>
      </c>
      <c r="O951" s="45" t="s">
        <v>55</v>
      </c>
      <c r="P951" s="51"/>
      <c r="Q951" s="52">
        <f>IF(ISBLANK(P951:P1950), "", DATEDIF(J951:J1950, P951:P1950, "Y"))</f>
      </c>
    </row>
    <row x14ac:dyDescent="0.25" r="952" customHeight="1" ht="15.75">
      <c r="A952" s="3"/>
      <c r="B952" s="45" t="s">
        <v>307</v>
      </c>
      <c r="C952" s="45" t="s">
        <v>132</v>
      </c>
      <c r="D952" s="45" t="s">
        <v>32</v>
      </c>
      <c r="E952" s="45" t="s">
        <v>1096</v>
      </c>
      <c r="F952" s="45" t="s">
        <v>10</v>
      </c>
      <c r="G952" s="45" t="s">
        <v>17</v>
      </c>
      <c r="H952" s="53">
        <v>33</v>
      </c>
      <c r="I952" s="54">
        <f>IF(H952:H1951&lt;45, "Adult", IF(H952:H1951&lt;60, "Middle Age", IF(H952:H1951&lt;70, "Old", "Very Old")))</f>
      </c>
      <c r="J952" s="55">
        <v>41267</v>
      </c>
      <c r="K952" s="56">
        <v>132544</v>
      </c>
      <c r="L952" s="54">
        <f>IF(K952:K1951&lt;50000,"0-50",IF(K952:K1951&lt;100001,"51-100",IF(K952:K1951&lt;150001,"101-150",IF(K952:K1951&lt;200001,"151-200",IF(K952:K1951&lt;250001,"201-250","above 250")))))</f>
      </c>
      <c r="M952" s="57">
        <v>0.1</v>
      </c>
      <c r="N952" s="45" t="s">
        <v>9</v>
      </c>
      <c r="O952" s="45" t="s">
        <v>63</v>
      </c>
      <c r="P952" s="51"/>
      <c r="Q952" s="52">
        <f>IF(ISBLANK(P952:P1951), "", DATEDIF(J952:J1951, P952:P1951, "Y"))</f>
      </c>
    </row>
    <row x14ac:dyDescent="0.25" r="953" customHeight="1" ht="15.75">
      <c r="A953" s="3"/>
      <c r="B953" s="45" t="s">
        <v>285</v>
      </c>
      <c r="C953" s="45" t="s">
        <v>110</v>
      </c>
      <c r="D953" s="45" t="s">
        <v>28</v>
      </c>
      <c r="E953" s="45" t="s">
        <v>1094</v>
      </c>
      <c r="F953" s="45" t="s">
        <v>10</v>
      </c>
      <c r="G953" s="45" t="s">
        <v>14</v>
      </c>
      <c r="H953" s="53">
        <v>32</v>
      </c>
      <c r="I953" s="54">
        <f>IF(H953:H1952&lt;45, "Adult", IF(H953:H1952&lt;60, "Middle Age", IF(H953:H1952&lt;70, "Old", "Very Old")))</f>
      </c>
      <c r="J953" s="55">
        <v>43936</v>
      </c>
      <c r="K953" s="56">
        <v>126671</v>
      </c>
      <c r="L953" s="54">
        <f>IF(K953:K1952&lt;50000,"0-50",IF(K953:K1952&lt;100001,"51-100",IF(K953:K1952&lt;150001,"101-150",IF(K953:K1952&lt;200001,"151-200",IF(K953:K1952&lt;250001,"201-250","above 250")))))</f>
      </c>
      <c r="M953" s="57">
        <v>0.09</v>
      </c>
      <c r="N953" s="45" t="s">
        <v>15</v>
      </c>
      <c r="O953" s="45" t="s">
        <v>59</v>
      </c>
      <c r="P953" s="51"/>
      <c r="Q953" s="52">
        <f>IF(ISBLANK(P953:P1952), "", DATEDIF(J953:J1952, P953:P1952, "Y"))</f>
      </c>
    </row>
    <row x14ac:dyDescent="0.25" r="954" customHeight="1" ht="15.75">
      <c r="A954" s="3"/>
      <c r="B954" s="45" t="s">
        <v>311</v>
      </c>
      <c r="C954" s="45" t="s">
        <v>78</v>
      </c>
      <c r="D954" s="45" t="s">
        <v>36</v>
      </c>
      <c r="E954" s="45" t="s">
        <v>1092</v>
      </c>
      <c r="F954" s="45" t="s">
        <v>7</v>
      </c>
      <c r="G954" s="45" t="s">
        <v>8</v>
      </c>
      <c r="H954" s="53">
        <v>33</v>
      </c>
      <c r="I954" s="54">
        <f>IF(H954:H1953&lt;45, "Adult", IF(H954:H1953&lt;60, "Middle Age", IF(H954:H1953&lt;70, "Old", "Very Old")))</f>
      </c>
      <c r="J954" s="55">
        <v>44218</v>
      </c>
      <c r="K954" s="56">
        <v>56405</v>
      </c>
      <c r="L954" s="54">
        <f>IF(K954:K1953&lt;50000,"0-50",IF(K954:K1953&lt;100001,"51-100",IF(K954:K1953&lt;150001,"101-150",IF(K954:K1953&lt;200001,"151-200",IF(K954:K1953&lt;250001,"201-250","above 250")))))</f>
      </c>
      <c r="M954" s="57">
        <v>0</v>
      </c>
      <c r="N954" s="45" t="s">
        <v>15</v>
      </c>
      <c r="O954" s="45" t="s">
        <v>51</v>
      </c>
      <c r="P954" s="51"/>
      <c r="Q954" s="52">
        <f>IF(ISBLANK(P954:P1953), "", DATEDIF(J954:J1953, P954:P1953, "Y"))</f>
      </c>
    </row>
    <row x14ac:dyDescent="0.25" r="955" customHeight="1" ht="15.75">
      <c r="A955" s="3"/>
      <c r="B955" s="45" t="s">
        <v>379</v>
      </c>
      <c r="C955" s="45" t="s">
        <v>90</v>
      </c>
      <c r="D955" s="45" t="s">
        <v>32</v>
      </c>
      <c r="E955" s="45" t="s">
        <v>1096</v>
      </c>
      <c r="F955" s="45" t="s">
        <v>7</v>
      </c>
      <c r="G955" s="45" t="s">
        <v>8</v>
      </c>
      <c r="H955" s="53">
        <v>36</v>
      </c>
      <c r="I955" s="54">
        <f>IF(H955:H1954&lt;45, "Adult", IF(H955:H1954&lt;60, "Middle Age", IF(H955:H1954&lt;70, "Old", "Very Old")))</f>
      </c>
      <c r="J955" s="55">
        <v>41972</v>
      </c>
      <c r="K955" s="56">
        <v>88730</v>
      </c>
      <c r="L955" s="54">
        <f>IF(K955:K1954&lt;50000,"0-50",IF(K955:K1954&lt;100001,"51-100",IF(K955:K1954&lt;150001,"101-150",IF(K955:K1954&lt;200001,"151-200",IF(K955:K1954&lt;250001,"201-250","above 250")))))</f>
      </c>
      <c r="M955" s="57">
        <v>0.08</v>
      </c>
      <c r="N955" s="45" t="s">
        <v>12</v>
      </c>
      <c r="O955" s="45" t="s">
        <v>53</v>
      </c>
      <c r="P955" s="51"/>
      <c r="Q955" s="52">
        <f>IF(ISBLANK(P955:P1954), "", DATEDIF(J955:J1954, P955:P1954, "Y"))</f>
      </c>
    </row>
    <row x14ac:dyDescent="0.25" r="956" customHeight="1" ht="15.75">
      <c r="A956" s="3"/>
      <c r="B956" s="45" t="s">
        <v>441</v>
      </c>
      <c r="C956" s="45" t="s">
        <v>82</v>
      </c>
      <c r="D956" s="45" t="s">
        <v>28</v>
      </c>
      <c r="E956" s="45" t="s">
        <v>1094</v>
      </c>
      <c r="F956" s="45" t="s">
        <v>10</v>
      </c>
      <c r="G956" s="45" t="s">
        <v>17</v>
      </c>
      <c r="H956" s="53">
        <v>39</v>
      </c>
      <c r="I956" s="54">
        <f>IF(H956:H1955&lt;45, "Adult", IF(H956:H1955&lt;60, "Middle Age", IF(H956:H1955&lt;70, "Old", "Very Old")))</f>
      </c>
      <c r="J956" s="55">
        <v>39708</v>
      </c>
      <c r="K956" s="56">
        <v>62861</v>
      </c>
      <c r="L956" s="54">
        <f>IF(K956:K1955&lt;50000,"0-50",IF(K956:K1955&lt;100001,"51-100",IF(K956:K1955&lt;150001,"101-150",IF(K956:K1955&lt;200001,"151-200",IF(K956:K1955&lt;250001,"201-250","above 250")))))</f>
      </c>
      <c r="M956" s="57">
        <v>0</v>
      </c>
      <c r="N956" s="45" t="s">
        <v>15</v>
      </c>
      <c r="O956" s="45" t="s">
        <v>67</v>
      </c>
      <c r="P956" s="51"/>
      <c r="Q956" s="52">
        <f>IF(ISBLANK(P956:P1955), "", DATEDIF(J956:J1955, P956:P1955, "Y"))</f>
      </c>
    </row>
    <row x14ac:dyDescent="0.25" r="957" customHeight="1" ht="15.75">
      <c r="A957" s="3"/>
      <c r="B957" s="45" t="s">
        <v>829</v>
      </c>
      <c r="C957" s="45" t="s">
        <v>96</v>
      </c>
      <c r="D957" s="45" t="s">
        <v>30</v>
      </c>
      <c r="E957" s="45" t="s">
        <v>1100</v>
      </c>
      <c r="F957" s="45" t="s">
        <v>7</v>
      </c>
      <c r="G957" s="45" t="s">
        <v>17</v>
      </c>
      <c r="H957" s="53">
        <v>53</v>
      </c>
      <c r="I957" s="54">
        <f>IF(H957:H1956&lt;45, "Adult", IF(H957:H1956&lt;60, "Middle Age", IF(H957:H1956&lt;70, "Old", "Very Old")))</f>
      </c>
      <c r="J957" s="55">
        <v>38919</v>
      </c>
      <c r="K957" s="56">
        <v>151246</v>
      </c>
      <c r="L957" s="54">
        <f>IF(K957:K1956&lt;50000,"0-50",IF(K957:K1956&lt;100001,"51-100",IF(K957:K1956&lt;150001,"101-150",IF(K957:K1956&lt;200001,"151-200",IF(K957:K1956&lt;250001,"201-250","above 250")))))</f>
      </c>
      <c r="M957" s="57">
        <v>0.21</v>
      </c>
      <c r="N957" s="45" t="s">
        <v>9</v>
      </c>
      <c r="O957" s="45" t="s">
        <v>65</v>
      </c>
      <c r="P957" s="51"/>
      <c r="Q957" s="52">
        <f>IF(ISBLANK(P957:P1956), "", DATEDIF(J957:J1956, P957:P1956, "Y"))</f>
      </c>
    </row>
    <row x14ac:dyDescent="0.25" r="958" customHeight="1" ht="15.75">
      <c r="A958" s="3"/>
      <c r="B958" s="45" t="s">
        <v>827</v>
      </c>
      <c r="C958" s="45" t="s">
        <v>132</v>
      </c>
      <c r="D958" s="45" t="s">
        <v>32</v>
      </c>
      <c r="E958" s="45" t="s">
        <v>1094</v>
      </c>
      <c r="F958" s="45" t="s">
        <v>7</v>
      </c>
      <c r="G958" s="45" t="s">
        <v>8</v>
      </c>
      <c r="H958" s="53">
        <v>53</v>
      </c>
      <c r="I958" s="54">
        <f>IF(H958:H1957&lt;45, "Adult", IF(H958:H1957&lt;60, "Middle Age", IF(H958:H1957&lt;70, "Old", "Very Old")))</f>
      </c>
      <c r="J958" s="55">
        <v>35532</v>
      </c>
      <c r="K958" s="56">
        <v>154388</v>
      </c>
      <c r="L958" s="54">
        <f>IF(K958:K1957&lt;50000,"0-50",IF(K958:K1957&lt;100001,"51-100",IF(K958:K1957&lt;150001,"101-150",IF(K958:K1957&lt;200001,"151-200",IF(K958:K1957&lt;250001,"201-250","above 250")))))</f>
      </c>
      <c r="M958" s="57">
        <v>0.1</v>
      </c>
      <c r="N958" s="45" t="s">
        <v>15</v>
      </c>
      <c r="O958" s="45" t="s">
        <v>67</v>
      </c>
      <c r="P958" s="51"/>
      <c r="Q958" s="52">
        <f>IF(ISBLANK(P958:P1957), "", DATEDIF(J958:J1957, P958:P1957, "Y"))</f>
      </c>
    </row>
    <row x14ac:dyDescent="0.25" r="959" customHeight="1" ht="15.75">
      <c r="A959" s="3"/>
      <c r="B959" s="45" t="s">
        <v>850</v>
      </c>
      <c r="C959" s="45" t="s">
        <v>96</v>
      </c>
      <c r="D959" s="45" t="s">
        <v>30</v>
      </c>
      <c r="E959" s="45" t="s">
        <v>1094</v>
      </c>
      <c r="F959" s="45" t="s">
        <v>7</v>
      </c>
      <c r="G959" s="45" t="s">
        <v>14</v>
      </c>
      <c r="H959" s="53">
        <v>54</v>
      </c>
      <c r="I959" s="54">
        <f>IF(H959:H1958&lt;45, "Adult", IF(H959:H1958&lt;60, "Middle Age", IF(H959:H1958&lt;70, "Old", "Very Old")))</f>
      </c>
      <c r="J959" s="55">
        <v>34603</v>
      </c>
      <c r="K959" s="56">
        <v>162978</v>
      </c>
      <c r="L959" s="54">
        <f>IF(K959:K1958&lt;50000,"0-50",IF(K959:K1958&lt;100001,"51-100",IF(K959:K1958&lt;150001,"101-150",IF(K959:K1958&lt;200001,"151-200",IF(K959:K1958&lt;250001,"201-250","above 250")))))</f>
      </c>
      <c r="M959" s="57">
        <v>0.17</v>
      </c>
      <c r="N959" s="45" t="s">
        <v>15</v>
      </c>
      <c r="O959" s="45" t="s">
        <v>59</v>
      </c>
      <c r="P959" s="58">
        <v>38131</v>
      </c>
      <c r="Q959" s="53">
        <f>IF(ISBLANK(P959:P1958), "", DATEDIF(J959:J1958, P959:P1958, "Y"))</f>
      </c>
    </row>
    <row x14ac:dyDescent="0.25" r="960" customHeight="1" ht="15.75">
      <c r="A960" s="3"/>
      <c r="B960" s="45" t="s">
        <v>901</v>
      </c>
      <c r="C960" s="45" t="s">
        <v>124</v>
      </c>
      <c r="D960" s="45" t="s">
        <v>32</v>
      </c>
      <c r="E960" s="45" t="s">
        <v>1096</v>
      </c>
      <c r="F960" s="45" t="s">
        <v>10</v>
      </c>
      <c r="G960" s="45" t="s">
        <v>17</v>
      </c>
      <c r="H960" s="53">
        <v>55</v>
      </c>
      <c r="I960" s="54">
        <f>IF(H960:H1959&lt;45, "Adult", IF(H960:H1959&lt;60, "Middle Age", IF(H960:H1959&lt;70, "Old", "Very Old")))</f>
      </c>
      <c r="J960" s="55">
        <v>34290</v>
      </c>
      <c r="K960" s="56">
        <v>80170</v>
      </c>
      <c r="L960" s="54">
        <f>IF(K960:K1959&lt;50000,"0-50",IF(K960:K1959&lt;100001,"51-100",IF(K960:K1959&lt;150001,"101-150",IF(K960:K1959&lt;200001,"151-200",IF(K960:K1959&lt;250001,"201-250","above 250")))))</f>
      </c>
      <c r="M960" s="57">
        <v>0</v>
      </c>
      <c r="N960" s="45" t="s">
        <v>15</v>
      </c>
      <c r="O960" s="45" t="s">
        <v>59</v>
      </c>
      <c r="P960" s="51"/>
      <c r="Q960" s="52">
        <f>IF(ISBLANK(P960:P1959), "", DATEDIF(J960:J1959, P960:P1959, "Y"))</f>
      </c>
    </row>
    <row x14ac:dyDescent="0.25" r="961" customHeight="1" ht="15.75">
      <c r="A961" s="3"/>
      <c r="B961" s="45" t="s">
        <v>555</v>
      </c>
      <c r="C961" s="45" t="s">
        <v>128</v>
      </c>
      <c r="D961" s="45" t="s">
        <v>24</v>
      </c>
      <c r="E961" s="45" t="s">
        <v>1094</v>
      </c>
      <c r="F961" s="45" t="s">
        <v>7</v>
      </c>
      <c r="G961" s="45" t="s">
        <v>8</v>
      </c>
      <c r="H961" s="53">
        <v>44</v>
      </c>
      <c r="I961" s="54">
        <f>IF(H961:H1960&lt;45, "Adult", IF(H961:H1960&lt;60, "Middle Age", IF(H961:H1960&lt;70, "Old", "Very Old")))</f>
      </c>
      <c r="J961" s="55">
        <v>44314</v>
      </c>
      <c r="K961" s="56">
        <v>98520</v>
      </c>
      <c r="L961" s="54">
        <f>IF(K961:K1960&lt;50000,"0-50",IF(K961:K1960&lt;100001,"51-100",IF(K961:K1960&lt;150001,"101-150",IF(K961:K1960&lt;200001,"151-200",IF(K961:K1960&lt;250001,"201-250","above 250")))))</f>
      </c>
      <c r="M961" s="57">
        <v>0</v>
      </c>
      <c r="N961" s="45" t="s">
        <v>15</v>
      </c>
      <c r="O961" s="45" t="s">
        <v>59</v>
      </c>
      <c r="P961" s="51"/>
      <c r="Q961" s="52">
        <f>IF(ISBLANK(P961:P1960), "", DATEDIF(J961:J1960, P961:P1960, "Y"))</f>
      </c>
    </row>
    <row x14ac:dyDescent="0.25" r="962" customHeight="1" ht="15.75">
      <c r="A962" s="3"/>
      <c r="B962" s="45" t="s">
        <v>806</v>
      </c>
      <c r="C962" s="45" t="s">
        <v>110</v>
      </c>
      <c r="D962" s="45" t="s">
        <v>28</v>
      </c>
      <c r="E962" s="45" t="s">
        <v>1094</v>
      </c>
      <c r="F962" s="45" t="s">
        <v>10</v>
      </c>
      <c r="G962" s="45" t="s">
        <v>8</v>
      </c>
      <c r="H962" s="53">
        <v>52</v>
      </c>
      <c r="I962" s="54">
        <f>IF(H962:H1961&lt;45, "Adult", IF(H962:H1961&lt;60, "Middle Age", IF(H962:H1961&lt;70, "Old", "Very Old")))</f>
      </c>
      <c r="J962" s="55">
        <v>36523</v>
      </c>
      <c r="K962" s="56">
        <v>116527</v>
      </c>
      <c r="L962" s="54">
        <f>IF(K962:K1961&lt;50000,"0-50",IF(K962:K1961&lt;100001,"51-100",IF(K962:K1961&lt;150001,"101-150",IF(K962:K1961&lt;200001,"151-200",IF(K962:K1961&lt;250001,"201-250","above 250")))))</f>
      </c>
      <c r="M962" s="57">
        <v>0.07</v>
      </c>
      <c r="N962" s="45" t="s">
        <v>15</v>
      </c>
      <c r="O962" s="45" t="s">
        <v>61</v>
      </c>
      <c r="P962" s="51"/>
      <c r="Q962" s="52">
        <f>IF(ISBLANK(P962:P1961), "", DATEDIF(J962:J1961, P962:P1961, "Y"))</f>
      </c>
    </row>
    <row x14ac:dyDescent="0.25" r="963" customHeight="1" ht="15.75">
      <c r="A963" s="3"/>
      <c r="B963" s="45" t="s">
        <v>150</v>
      </c>
      <c r="C963" s="45" t="s">
        <v>96</v>
      </c>
      <c r="D963" s="45" t="s">
        <v>36</v>
      </c>
      <c r="E963" s="45" t="s">
        <v>1092</v>
      </c>
      <c r="F963" s="45" t="s">
        <v>10</v>
      </c>
      <c r="G963" s="45" t="s">
        <v>8</v>
      </c>
      <c r="H963" s="53">
        <v>27</v>
      </c>
      <c r="I963" s="54">
        <f>IF(H963:H1962&lt;45, "Adult", IF(H963:H1962&lt;60, "Middle Age", IF(H963:H1962&lt;70, "Old", "Very Old")))</f>
      </c>
      <c r="J963" s="55">
        <v>43776</v>
      </c>
      <c r="K963" s="56">
        <v>174607</v>
      </c>
      <c r="L963" s="54">
        <f>IF(K963:K1962&lt;50000,"0-50",IF(K963:K1962&lt;100001,"51-100",IF(K963:K1962&lt;150001,"101-150",IF(K963:K1962&lt;200001,"151-200",IF(K963:K1962&lt;250001,"201-250","above 250")))))</f>
      </c>
      <c r="M963" s="57">
        <v>0.29</v>
      </c>
      <c r="N963" s="45" t="s">
        <v>15</v>
      </c>
      <c r="O963" s="45" t="s">
        <v>55</v>
      </c>
      <c r="P963" s="51"/>
      <c r="Q963" s="52">
        <f>IF(ISBLANK(P963:P1962), "", DATEDIF(J963:J1962, P963:P1962, "Y"))</f>
      </c>
    </row>
    <row x14ac:dyDescent="0.25" r="964" customHeight="1" ht="15.75">
      <c r="A964" s="3"/>
      <c r="B964" s="45" t="s">
        <v>954</v>
      </c>
      <c r="C964" s="45" t="s">
        <v>82</v>
      </c>
      <c r="D964" s="45" t="s">
        <v>24</v>
      </c>
      <c r="E964" s="45" t="s">
        <v>1092</v>
      </c>
      <c r="F964" s="45" t="s">
        <v>10</v>
      </c>
      <c r="G964" s="45" t="s">
        <v>17</v>
      </c>
      <c r="H964" s="53">
        <v>58</v>
      </c>
      <c r="I964" s="54">
        <f>IF(H964:H1963&lt;45, "Adult", IF(H964:H1963&lt;60, "Middle Age", IF(H964:H1963&lt;70, "Old", "Very Old")))</f>
      </c>
      <c r="J964" s="55">
        <v>38819</v>
      </c>
      <c r="K964" s="56">
        <v>64202</v>
      </c>
      <c r="L964" s="54">
        <f>IF(K964:K1963&lt;50000,"0-50",IF(K964:K1963&lt;100001,"51-100",IF(K964:K1963&lt;150001,"101-150",IF(K964:K1963&lt;200001,"151-200",IF(K964:K1963&lt;250001,"201-250","above 250")))))</f>
      </c>
      <c r="M964" s="57">
        <v>0</v>
      </c>
      <c r="N964" s="45" t="s">
        <v>15</v>
      </c>
      <c r="O964" s="45" t="s">
        <v>55</v>
      </c>
      <c r="P964" s="51"/>
      <c r="Q964" s="52">
        <f>IF(ISBLANK(P964:P1963), "", DATEDIF(J964:J1963, P964:P1963, "Y"))</f>
      </c>
    </row>
    <row x14ac:dyDescent="0.25" r="965" customHeight="1" ht="15.75">
      <c r="A965" s="3"/>
      <c r="B965" s="45" t="s">
        <v>730</v>
      </c>
      <c r="C965" s="45" t="s">
        <v>82</v>
      </c>
      <c r="D965" s="45" t="s">
        <v>24</v>
      </c>
      <c r="E965" s="45" t="s">
        <v>1100</v>
      </c>
      <c r="F965" s="45" t="s">
        <v>10</v>
      </c>
      <c r="G965" s="45" t="s">
        <v>8</v>
      </c>
      <c r="H965" s="53">
        <v>49</v>
      </c>
      <c r="I965" s="54">
        <f>IF(H965:H1964&lt;45, "Adult", IF(H965:H1964&lt;60, "Middle Age", IF(H965:H1964&lt;70, "Old", "Very Old")))</f>
      </c>
      <c r="J965" s="55">
        <v>43671</v>
      </c>
      <c r="K965" s="56">
        <v>50883</v>
      </c>
      <c r="L965" s="54">
        <f>IF(K965:K1964&lt;50000,"0-50",IF(K965:K1964&lt;100001,"51-100",IF(K965:K1964&lt;150001,"101-150",IF(K965:K1964&lt;200001,"151-200",IF(K965:K1964&lt;250001,"201-250","above 250")))))</f>
      </c>
      <c r="M965" s="57">
        <v>0</v>
      </c>
      <c r="N965" s="45" t="s">
        <v>12</v>
      </c>
      <c r="O965" s="45" t="s">
        <v>53</v>
      </c>
      <c r="P965" s="58">
        <v>44257</v>
      </c>
      <c r="Q965" s="53">
        <f>IF(ISBLANK(P965:P1964), "", DATEDIF(J965:J1964, P965:P1964, "Y"))</f>
      </c>
    </row>
    <row x14ac:dyDescent="0.25" r="966" customHeight="1" ht="15.75">
      <c r="A966" s="3"/>
      <c r="B966" s="45" t="s">
        <v>373</v>
      </c>
      <c r="C966" s="45" t="s">
        <v>114</v>
      </c>
      <c r="D966" s="45" t="s">
        <v>32</v>
      </c>
      <c r="E966" s="45" t="s">
        <v>1096</v>
      </c>
      <c r="F966" s="45" t="s">
        <v>7</v>
      </c>
      <c r="G966" s="45" t="s">
        <v>17</v>
      </c>
      <c r="H966" s="53">
        <v>36</v>
      </c>
      <c r="I966" s="54">
        <f>IF(H966:H1965&lt;45, "Adult", IF(H966:H1965&lt;60, "Middle Age", IF(H966:H1965&lt;70, "Old", "Very Old")))</f>
      </c>
      <c r="J966" s="55">
        <v>42677</v>
      </c>
      <c r="K966" s="56">
        <v>94618</v>
      </c>
      <c r="L966" s="54">
        <f>IF(K966:K1965&lt;50000,"0-50",IF(K966:K1965&lt;100001,"51-100",IF(K966:K1965&lt;150001,"101-150",IF(K966:K1965&lt;200001,"151-200",IF(K966:K1965&lt;250001,"201-250","above 250")))))</f>
      </c>
      <c r="M966" s="57">
        <v>0</v>
      </c>
      <c r="N966" s="45" t="s">
        <v>15</v>
      </c>
      <c r="O966" s="45" t="s">
        <v>55</v>
      </c>
      <c r="P966" s="51"/>
      <c r="Q966" s="52">
        <f>IF(ISBLANK(P966:P1965), "", DATEDIF(J966:J1965, P966:P1965, "Y"))</f>
      </c>
    </row>
    <row x14ac:dyDescent="0.25" r="967" customHeight="1" ht="15.75">
      <c r="A967" s="3"/>
      <c r="B967" s="45" t="s">
        <v>113</v>
      </c>
      <c r="C967" s="45" t="s">
        <v>96</v>
      </c>
      <c r="D967" s="45" t="s">
        <v>34</v>
      </c>
      <c r="E967" s="45" t="s">
        <v>1092</v>
      </c>
      <c r="F967" s="45" t="s">
        <v>10</v>
      </c>
      <c r="G967" s="45" t="s">
        <v>14</v>
      </c>
      <c r="H967" s="53">
        <v>26</v>
      </c>
      <c r="I967" s="54">
        <f>IF(H967:H1966&lt;45, "Adult", IF(H967:H1966&lt;60, "Middle Age", IF(H967:H1966&lt;70, "Old", "Very Old")))</f>
      </c>
      <c r="J967" s="55">
        <v>43753</v>
      </c>
      <c r="K967" s="56">
        <v>151556</v>
      </c>
      <c r="L967" s="54">
        <f>IF(K967:K1966&lt;50000,"0-50",IF(K967:K1966&lt;100001,"51-100",IF(K967:K1966&lt;150001,"101-150",IF(K967:K1966&lt;200001,"151-200",IF(K967:K1966&lt;250001,"201-250","above 250")))))</f>
      </c>
      <c r="M967" s="57">
        <v>0.2</v>
      </c>
      <c r="N967" s="45" t="s">
        <v>15</v>
      </c>
      <c r="O967" s="45" t="s">
        <v>59</v>
      </c>
      <c r="P967" s="51"/>
      <c r="Q967" s="52">
        <f>IF(ISBLANK(P967:P1966), "", DATEDIF(J967:J1966, P967:P1966, "Y"))</f>
      </c>
    </row>
    <row x14ac:dyDescent="0.25" r="968" customHeight="1" ht="15.75">
      <c r="A968" s="3"/>
      <c r="B968" s="45" t="s">
        <v>408</v>
      </c>
      <c r="C968" s="45" t="s">
        <v>94</v>
      </c>
      <c r="D968" s="45" t="s">
        <v>26</v>
      </c>
      <c r="E968" s="45" t="s">
        <v>1092</v>
      </c>
      <c r="F968" s="45" t="s">
        <v>7</v>
      </c>
      <c r="G968" s="45" t="s">
        <v>8</v>
      </c>
      <c r="H968" s="53">
        <v>37</v>
      </c>
      <c r="I968" s="54">
        <f>IF(H968:H1967&lt;45, "Adult", IF(H968:H1967&lt;60, "Middle Age", IF(H968:H1967&lt;70, "Old", "Very Old")))</f>
      </c>
      <c r="J968" s="55">
        <v>43898</v>
      </c>
      <c r="K968" s="56">
        <v>80659</v>
      </c>
      <c r="L968" s="54">
        <f>IF(K968:K1967&lt;50000,"0-50",IF(K968:K1967&lt;100001,"51-100",IF(K968:K1967&lt;150001,"101-150",IF(K968:K1967&lt;200001,"151-200",IF(K968:K1967&lt;250001,"201-250","above 250")))))</f>
      </c>
      <c r="M968" s="57">
        <v>0</v>
      </c>
      <c r="N968" s="45" t="s">
        <v>15</v>
      </c>
      <c r="O968" s="45" t="s">
        <v>61</v>
      </c>
      <c r="P968" s="51"/>
      <c r="Q968" s="52">
        <f>IF(ISBLANK(P968:P1967), "", DATEDIF(J968:J1967, P968:P1967, "Y"))</f>
      </c>
    </row>
    <row x14ac:dyDescent="0.25" r="969" customHeight="1" ht="15.75">
      <c r="A969" s="3"/>
      <c r="B969" s="45" t="s">
        <v>679</v>
      </c>
      <c r="C969" s="45" t="s">
        <v>96</v>
      </c>
      <c r="D969" s="45" t="s">
        <v>30</v>
      </c>
      <c r="E969" s="45" t="s">
        <v>1096</v>
      </c>
      <c r="F969" s="45" t="s">
        <v>10</v>
      </c>
      <c r="G969" s="45" t="s">
        <v>8</v>
      </c>
      <c r="H969" s="53">
        <v>47</v>
      </c>
      <c r="I969" s="54">
        <f>IF(H969:H1968&lt;45, "Adult", IF(H969:H1968&lt;60, "Middle Age", IF(H969:H1968&lt;70, "Old", "Very Old")))</f>
      </c>
      <c r="J969" s="55">
        <v>43772</v>
      </c>
      <c r="K969" s="56">
        <v>195385</v>
      </c>
      <c r="L969" s="54">
        <f>IF(K969:K1968&lt;50000,"0-50",IF(K969:K1968&lt;100001,"51-100",IF(K969:K1968&lt;150001,"101-150",IF(K969:K1968&lt;200001,"151-200",IF(K969:K1968&lt;250001,"201-250","above 250")))))</f>
      </c>
      <c r="M969" s="57">
        <v>0.21</v>
      </c>
      <c r="N969" s="45" t="s">
        <v>12</v>
      </c>
      <c r="O969" s="45" t="s">
        <v>49</v>
      </c>
      <c r="P969" s="51"/>
      <c r="Q969" s="52">
        <f>IF(ISBLANK(P969:P1968), "", DATEDIF(J969:J1968, P969:P1968, "Y"))</f>
      </c>
    </row>
    <row x14ac:dyDescent="0.25" r="970" customHeight="1" ht="15.75">
      <c r="A970" s="3"/>
      <c r="B970" s="45" t="s">
        <v>206</v>
      </c>
      <c r="C970" s="45" t="s">
        <v>136</v>
      </c>
      <c r="D970" s="45" t="s">
        <v>32</v>
      </c>
      <c r="E970" s="45" t="s">
        <v>1096</v>
      </c>
      <c r="F970" s="45" t="s">
        <v>10</v>
      </c>
      <c r="G970" s="45" t="s">
        <v>17</v>
      </c>
      <c r="H970" s="53">
        <v>29</v>
      </c>
      <c r="I970" s="54">
        <f>IF(H970:H1969&lt;45, "Adult", IF(H970:H1969&lt;60, "Middle Age", IF(H970:H1969&lt;70, "Old", "Very Old")))</f>
      </c>
      <c r="J970" s="55">
        <v>42509</v>
      </c>
      <c r="K970" s="56">
        <v>52693</v>
      </c>
      <c r="L970" s="54">
        <f>IF(K970:K1969&lt;50000,"0-50",IF(K970:K1969&lt;100001,"51-100",IF(K970:K1969&lt;150001,"101-150",IF(K970:K1969&lt;200001,"151-200",IF(K970:K1969&lt;250001,"201-250","above 250")))))</f>
      </c>
      <c r="M970" s="57">
        <v>0</v>
      </c>
      <c r="N970" s="45" t="s">
        <v>9</v>
      </c>
      <c r="O970" s="45" t="s">
        <v>63</v>
      </c>
      <c r="P970" s="51"/>
      <c r="Q970" s="52">
        <f>IF(ISBLANK(P970:P1969), "", DATEDIF(J970:J1969, P970:P1969, "Y"))</f>
      </c>
    </row>
    <row x14ac:dyDescent="0.25" r="971" customHeight="1" ht="15.75">
      <c r="A971" s="3"/>
      <c r="B971" s="45" t="s">
        <v>953</v>
      </c>
      <c r="C971" s="45" t="s">
        <v>112</v>
      </c>
      <c r="D971" s="45" t="s">
        <v>32</v>
      </c>
      <c r="E971" s="45" t="s">
        <v>1092</v>
      </c>
      <c r="F971" s="45" t="s">
        <v>7</v>
      </c>
      <c r="G971" s="45" t="s">
        <v>14</v>
      </c>
      <c r="H971" s="53">
        <v>58</v>
      </c>
      <c r="I971" s="54">
        <f>IF(H971:H1970&lt;45, "Adult", IF(H971:H1970&lt;60, "Middle Age", IF(H971:H1970&lt;70, "Old", "Very Old")))</f>
      </c>
      <c r="J971" s="55">
        <v>42486</v>
      </c>
      <c r="K971" s="56">
        <v>72045</v>
      </c>
      <c r="L971" s="54">
        <f>IF(K971:K1970&lt;50000,"0-50",IF(K971:K1970&lt;100001,"51-100",IF(K971:K1970&lt;150001,"101-150",IF(K971:K1970&lt;200001,"151-200",IF(K971:K1970&lt;250001,"201-250","above 250")))))</f>
      </c>
      <c r="M971" s="57">
        <v>0</v>
      </c>
      <c r="N971" s="45" t="s">
        <v>15</v>
      </c>
      <c r="O971" s="45" t="s">
        <v>61</v>
      </c>
      <c r="P971" s="51"/>
      <c r="Q971" s="52">
        <f>IF(ISBLANK(P971:P1970), "", DATEDIF(J971:J1970, P971:P1970, "Y"))</f>
      </c>
    </row>
    <row x14ac:dyDescent="0.25" r="972" customHeight="1" ht="15.75">
      <c r="A972" s="3"/>
      <c r="B972" s="45" t="s">
        <v>678</v>
      </c>
      <c r="C972" s="45" t="s">
        <v>82</v>
      </c>
      <c r="D972" s="45" t="s">
        <v>34</v>
      </c>
      <c r="E972" s="45" t="s">
        <v>1094</v>
      </c>
      <c r="F972" s="45" t="s">
        <v>10</v>
      </c>
      <c r="G972" s="45" t="s">
        <v>17</v>
      </c>
      <c r="H972" s="53">
        <v>47</v>
      </c>
      <c r="I972" s="54">
        <f>IF(H972:H1971&lt;45, "Adult", IF(H972:H1971&lt;60, "Middle Age", IF(H972:H1971&lt;70, "Old", "Very Old")))</f>
      </c>
      <c r="J972" s="55">
        <v>38684</v>
      </c>
      <c r="K972" s="56">
        <v>62749</v>
      </c>
      <c r="L972" s="54">
        <f>IF(K972:K1971&lt;50000,"0-50",IF(K972:K1971&lt;100001,"51-100",IF(K972:K1971&lt;150001,"101-150",IF(K972:K1971&lt;200001,"151-200",IF(K972:K1971&lt;250001,"201-250","above 250")))))</f>
      </c>
      <c r="M972" s="57">
        <v>0</v>
      </c>
      <c r="N972" s="45" t="s">
        <v>9</v>
      </c>
      <c r="O972" s="45" t="s">
        <v>57</v>
      </c>
      <c r="P972" s="51"/>
      <c r="Q972" s="52">
        <f>IF(ISBLANK(P972:P1971), "", DATEDIF(J972:J1971, P972:P1971, "Y"))</f>
      </c>
    </row>
    <row x14ac:dyDescent="0.25" r="973" customHeight="1" ht="15.75">
      <c r="A973" s="3"/>
      <c r="B973" s="45" t="s">
        <v>798</v>
      </c>
      <c r="C973" s="45" t="s">
        <v>132</v>
      </c>
      <c r="D973" s="45" t="s">
        <v>34</v>
      </c>
      <c r="E973" s="45" t="s">
        <v>1096</v>
      </c>
      <c r="F973" s="45" t="s">
        <v>10</v>
      </c>
      <c r="G973" s="45" t="s">
        <v>8</v>
      </c>
      <c r="H973" s="53">
        <v>52</v>
      </c>
      <c r="I973" s="54">
        <f>IF(H973:H1972&lt;45, "Adult", IF(H973:H1972&lt;60, "Middle Age", IF(H973:H1972&lt;70, "Old", "Very Old")))</f>
      </c>
      <c r="J973" s="55">
        <v>43255</v>
      </c>
      <c r="K973" s="56">
        <v>154884</v>
      </c>
      <c r="L973" s="54">
        <f>IF(K973:K1972&lt;50000,"0-50",IF(K973:K1972&lt;100001,"51-100",IF(K973:K1972&lt;150001,"101-150",IF(K973:K1972&lt;200001,"151-200",IF(K973:K1972&lt;250001,"201-250","above 250")))))</f>
      </c>
      <c r="M973" s="57">
        <v>0.1</v>
      </c>
      <c r="N973" s="45" t="s">
        <v>12</v>
      </c>
      <c r="O973" s="45" t="s">
        <v>69</v>
      </c>
      <c r="P973" s="51"/>
      <c r="Q973" s="52">
        <f>IF(ISBLANK(P973:P1972), "", DATEDIF(J973:J1972, P973:P1972, "Y"))</f>
      </c>
    </row>
    <row x14ac:dyDescent="0.25" r="974" customHeight="1" ht="15.75">
      <c r="A974" s="3"/>
      <c r="B974" s="45" t="s">
        <v>1010</v>
      </c>
      <c r="C974" s="45" t="s">
        <v>114</v>
      </c>
      <c r="D974" s="45" t="s">
        <v>32</v>
      </c>
      <c r="E974" s="45" t="s">
        <v>1092</v>
      </c>
      <c r="F974" s="45" t="s">
        <v>10</v>
      </c>
      <c r="G974" s="45" t="s">
        <v>14</v>
      </c>
      <c r="H974" s="53">
        <v>61</v>
      </c>
      <c r="I974" s="54">
        <f>IF(H974:H1973&lt;45, "Adult", IF(H974:H1973&lt;60, "Middle Age", IF(H974:H1973&lt;70, "Old", "Very Old")))</f>
      </c>
      <c r="J974" s="55">
        <v>42437</v>
      </c>
      <c r="K974" s="56">
        <v>96566</v>
      </c>
      <c r="L974" s="54">
        <f>IF(K974:K1973&lt;50000,"0-50",IF(K974:K1973&lt;100001,"51-100",IF(K974:K1973&lt;150001,"101-150",IF(K974:K1973&lt;200001,"151-200",IF(K974:K1973&lt;250001,"201-250","above 250")))))</f>
      </c>
      <c r="M974" s="57">
        <v>0</v>
      </c>
      <c r="N974" s="45" t="s">
        <v>15</v>
      </c>
      <c r="O974" s="45" t="s">
        <v>55</v>
      </c>
      <c r="P974" s="51"/>
      <c r="Q974" s="52">
        <f>IF(ISBLANK(P974:P1973), "", DATEDIF(J974:J1973, P974:P1973, "Y"))</f>
      </c>
    </row>
    <row x14ac:dyDescent="0.25" r="975" customHeight="1" ht="15.75">
      <c r="A975" s="3"/>
      <c r="B975" s="45" t="s">
        <v>618</v>
      </c>
      <c r="C975" s="45" t="s">
        <v>136</v>
      </c>
      <c r="D975" s="45" t="s">
        <v>32</v>
      </c>
      <c r="E975" s="45" t="s">
        <v>1092</v>
      </c>
      <c r="F975" s="45" t="s">
        <v>10</v>
      </c>
      <c r="G975" s="45" t="s">
        <v>17</v>
      </c>
      <c r="H975" s="53">
        <v>45</v>
      </c>
      <c r="I975" s="54">
        <f>IF(H975:H1974&lt;45, "Adult", IF(H975:H1974&lt;60, "Middle Age", IF(H975:H1974&lt;70, "Old", "Very Old")))</f>
      </c>
      <c r="J975" s="55">
        <v>37126</v>
      </c>
      <c r="K975" s="56">
        <v>54994</v>
      </c>
      <c r="L975" s="54">
        <f>IF(K975:K1974&lt;50000,"0-50",IF(K975:K1974&lt;100001,"51-100",IF(K975:K1974&lt;150001,"101-150",IF(K975:K1974&lt;200001,"151-200",IF(K975:K1974&lt;250001,"201-250","above 250")))))</f>
      </c>
      <c r="M975" s="57">
        <v>0</v>
      </c>
      <c r="N975" s="45" t="s">
        <v>15</v>
      </c>
      <c r="O975" s="45" t="s">
        <v>55</v>
      </c>
      <c r="P975" s="51"/>
      <c r="Q975" s="52">
        <f>IF(ISBLANK(P975:P1974), "", DATEDIF(J975:J1974, P975:P1974, "Y"))</f>
      </c>
    </row>
    <row x14ac:dyDescent="0.25" r="976" customHeight="1" ht="15.75">
      <c r="A976" s="3"/>
      <c r="B976" s="45" t="s">
        <v>467</v>
      </c>
      <c r="C976" s="45" t="s">
        <v>112</v>
      </c>
      <c r="D976" s="45" t="s">
        <v>32</v>
      </c>
      <c r="E976" s="45" t="s">
        <v>1100</v>
      </c>
      <c r="F976" s="45" t="s">
        <v>7</v>
      </c>
      <c r="G976" s="45" t="s">
        <v>14</v>
      </c>
      <c r="H976" s="53">
        <v>40</v>
      </c>
      <c r="I976" s="54">
        <f>IF(H976:H1975&lt;45, "Adult", IF(H976:H1975&lt;60, "Middle Age", IF(H976:H1975&lt;70, "Old", "Very Old")))</f>
      </c>
      <c r="J976" s="55">
        <v>40944</v>
      </c>
      <c r="K976" s="56">
        <v>61523</v>
      </c>
      <c r="L976" s="54">
        <f>IF(K976:K1975&lt;50000,"0-50",IF(K976:K1975&lt;100001,"51-100",IF(K976:K1975&lt;150001,"101-150",IF(K976:K1975&lt;200001,"151-200",IF(K976:K1975&lt;250001,"201-250","above 250")))))</f>
      </c>
      <c r="M976" s="57">
        <v>0</v>
      </c>
      <c r="N976" s="45" t="s">
        <v>15</v>
      </c>
      <c r="O976" s="45" t="s">
        <v>55</v>
      </c>
      <c r="P976" s="51"/>
      <c r="Q976" s="52">
        <f>IF(ISBLANK(P976:P1975), "", DATEDIF(J976:J1975, P976:P1975, "Y"))</f>
      </c>
    </row>
    <row x14ac:dyDescent="0.25" r="977" customHeight="1" ht="15.75">
      <c r="A977" s="3"/>
      <c r="B977" s="45" t="s">
        <v>620</v>
      </c>
      <c r="C977" s="45" t="s">
        <v>142</v>
      </c>
      <c r="D977" s="45" t="s">
        <v>30</v>
      </c>
      <c r="E977" s="45" t="s">
        <v>1100</v>
      </c>
      <c r="F977" s="45" t="s">
        <v>10</v>
      </c>
      <c r="G977" s="45" t="s">
        <v>11</v>
      </c>
      <c r="H977" s="53">
        <v>45</v>
      </c>
      <c r="I977" s="54">
        <f>IF(H977:H1976&lt;45, "Adult", IF(H977:H1976&lt;60, "Middle Age", IF(H977:H1976&lt;70, "Old", "Very Old")))</f>
      </c>
      <c r="J977" s="55">
        <v>40524</v>
      </c>
      <c r="K977" s="56">
        <v>190512</v>
      </c>
      <c r="L977" s="54">
        <f>IF(K977:K1976&lt;50000,"0-50",IF(K977:K1976&lt;100001,"51-100",IF(K977:K1976&lt;150001,"101-150",IF(K977:K1976&lt;200001,"151-200",IF(K977:K1976&lt;250001,"201-250","above 250")))))</f>
      </c>
      <c r="M977" s="57">
        <v>0.32</v>
      </c>
      <c r="N977" s="45" t="s">
        <v>15</v>
      </c>
      <c r="O977" s="45" t="s">
        <v>55</v>
      </c>
      <c r="P977" s="51"/>
      <c r="Q977" s="52">
        <f>IF(ISBLANK(P977:P1976), "", DATEDIF(J977:J1976, P977:P1976, "Y"))</f>
      </c>
    </row>
    <row x14ac:dyDescent="0.25" r="978" customHeight="1" ht="15.75">
      <c r="A978" s="3"/>
      <c r="B978" s="45" t="s">
        <v>399</v>
      </c>
      <c r="C978" s="45" t="s">
        <v>92</v>
      </c>
      <c r="D978" s="45" t="s">
        <v>26</v>
      </c>
      <c r="E978" s="45" t="s">
        <v>1096</v>
      </c>
      <c r="F978" s="45" t="s">
        <v>7</v>
      </c>
      <c r="G978" s="45" t="s">
        <v>8</v>
      </c>
      <c r="H978" s="53">
        <v>37</v>
      </c>
      <c r="I978" s="54">
        <f>IF(H978:H1977&lt;45, "Adult", IF(H978:H1977&lt;60, "Middle Age", IF(H978:H1977&lt;70, "Old", "Very Old")))</f>
      </c>
      <c r="J978" s="55">
        <v>41318</v>
      </c>
      <c r="K978" s="56">
        <v>124827</v>
      </c>
      <c r="L978" s="54">
        <f>IF(K978:K1977&lt;50000,"0-50",IF(K978:K1977&lt;100001,"51-100",IF(K978:K1977&lt;150001,"101-150",IF(K978:K1977&lt;200001,"151-200",IF(K978:K1977&lt;250001,"201-250","above 250")))))</f>
      </c>
      <c r="M978" s="57">
        <v>0</v>
      </c>
      <c r="N978" s="45" t="s">
        <v>12</v>
      </c>
      <c r="O978" s="45" t="s">
        <v>47</v>
      </c>
      <c r="P978" s="51"/>
      <c r="Q978" s="52">
        <f>IF(ISBLANK(P978:P1977), "", DATEDIF(J978:J1977, P978:P1977, "Y"))</f>
      </c>
    </row>
    <row x14ac:dyDescent="0.25" r="979" customHeight="1" ht="15.75">
      <c r="A979" s="3"/>
      <c r="B979" s="45" t="s">
        <v>939</v>
      </c>
      <c r="C979" s="45" t="s">
        <v>110</v>
      </c>
      <c r="D979" s="45" t="s">
        <v>24</v>
      </c>
      <c r="E979" s="45" t="s">
        <v>1094</v>
      </c>
      <c r="F979" s="45" t="s">
        <v>10</v>
      </c>
      <c r="G979" s="45" t="s">
        <v>14</v>
      </c>
      <c r="H979" s="53">
        <v>57</v>
      </c>
      <c r="I979" s="54">
        <f>IF(H979:H1978&lt;45, "Adult", IF(H979:H1978&lt;60, "Middle Age", IF(H979:H1978&lt;70, "Old", "Very Old")))</f>
      </c>
      <c r="J979" s="55">
        <v>43484</v>
      </c>
      <c r="K979" s="56">
        <v>101577</v>
      </c>
      <c r="L979" s="54">
        <f>IF(K979:K1978&lt;50000,"0-50",IF(K979:K1978&lt;100001,"51-100",IF(K979:K1978&lt;150001,"101-150",IF(K979:K1978&lt;200001,"151-200",IF(K979:K1978&lt;250001,"201-250","above 250")))))</f>
      </c>
      <c r="M979" s="57">
        <v>0.05</v>
      </c>
      <c r="N979" s="45" t="s">
        <v>15</v>
      </c>
      <c r="O979" s="45" t="s">
        <v>51</v>
      </c>
      <c r="P979" s="51"/>
      <c r="Q979" s="52">
        <f>IF(ISBLANK(P979:P1978), "", DATEDIF(J979:J1978, P979:P1978, "Y"))</f>
      </c>
    </row>
    <row x14ac:dyDescent="0.25" r="980" customHeight="1" ht="15.75">
      <c r="A980" s="3"/>
      <c r="B980" s="45" t="s">
        <v>551</v>
      </c>
      <c r="C980" s="45" t="s">
        <v>110</v>
      </c>
      <c r="D980" s="45" t="s">
        <v>24</v>
      </c>
      <c r="E980" s="45" t="s">
        <v>1094</v>
      </c>
      <c r="F980" s="45" t="s">
        <v>7</v>
      </c>
      <c r="G980" s="45" t="s">
        <v>17</v>
      </c>
      <c r="H980" s="53">
        <v>44</v>
      </c>
      <c r="I980" s="54">
        <f>IF(H980:H1979&lt;45, "Adult", IF(H980:H1979&lt;60, "Middle Age", IF(H980:H1979&lt;70, "Old", "Very Old")))</f>
      </c>
      <c r="J980" s="55">
        <v>38642</v>
      </c>
      <c r="K980" s="56">
        <v>105223</v>
      </c>
      <c r="L980" s="54">
        <f>IF(K980:K1979&lt;50000,"0-50",IF(K980:K1979&lt;100001,"51-100",IF(K980:K1979&lt;150001,"101-150",IF(K980:K1979&lt;200001,"151-200",IF(K980:K1979&lt;250001,"201-250","above 250")))))</f>
      </c>
      <c r="M980" s="57">
        <v>0.1</v>
      </c>
      <c r="N980" s="45" t="s">
        <v>15</v>
      </c>
      <c r="O980" s="45" t="s">
        <v>61</v>
      </c>
      <c r="P980" s="51"/>
      <c r="Q980" s="52">
        <f>IF(ISBLANK(P980:P1979), "", DATEDIF(J980:J1979, P980:P1979, "Y"))</f>
      </c>
    </row>
    <row x14ac:dyDescent="0.25" r="981" customHeight="1" ht="15.75">
      <c r="A981" s="3"/>
      <c r="B981" s="45" t="s">
        <v>705</v>
      </c>
      <c r="C981" s="45" t="s">
        <v>108</v>
      </c>
      <c r="D981" s="45" t="s">
        <v>32</v>
      </c>
      <c r="E981" s="45" t="s">
        <v>1100</v>
      </c>
      <c r="F981" s="45" t="s">
        <v>10</v>
      </c>
      <c r="G981" s="45" t="s">
        <v>17</v>
      </c>
      <c r="H981" s="53">
        <v>48</v>
      </c>
      <c r="I981" s="54">
        <f>IF(H981:H1980&lt;45, "Adult", IF(H981:H1980&lt;60, "Middle Age", IF(H981:H1980&lt;70, "Old", "Very Old")))</f>
      </c>
      <c r="J981" s="55">
        <v>39635</v>
      </c>
      <c r="K981" s="56">
        <v>94815</v>
      </c>
      <c r="L981" s="54">
        <f>IF(K981:K1980&lt;50000,"0-50",IF(K981:K1980&lt;100001,"51-100",IF(K981:K1980&lt;150001,"101-150",IF(K981:K1980&lt;200001,"151-200",IF(K981:K1980&lt;250001,"201-250","above 250")))))</f>
      </c>
      <c r="M981" s="57">
        <v>0</v>
      </c>
      <c r="N981" s="45" t="s">
        <v>15</v>
      </c>
      <c r="O981" s="45" t="s">
        <v>51</v>
      </c>
      <c r="P981" s="51"/>
      <c r="Q981" s="52">
        <f>IF(ISBLANK(P981:P1980), "", DATEDIF(J981:J1980, P981:P1980, "Y"))</f>
      </c>
    </row>
    <row x14ac:dyDescent="0.25" r="982" customHeight="1" ht="15.75">
      <c r="A982" s="3"/>
      <c r="B982" s="45" t="s">
        <v>73</v>
      </c>
      <c r="C982" s="45" t="s">
        <v>110</v>
      </c>
      <c r="D982" s="45" t="s">
        <v>24</v>
      </c>
      <c r="E982" s="45" t="s">
        <v>1096</v>
      </c>
      <c r="F982" s="45" t="s">
        <v>7</v>
      </c>
      <c r="G982" s="45" t="s">
        <v>8</v>
      </c>
      <c r="H982" s="53">
        <v>25</v>
      </c>
      <c r="I982" s="54">
        <f>IF(H982:H1981&lt;45, "Adult", IF(H982:H1981&lt;60, "Middle Age", IF(H982:H1981&lt;70, "Old", "Very Old")))</f>
      </c>
      <c r="J982" s="55">
        <v>44545</v>
      </c>
      <c r="K982" s="56">
        <v>114893</v>
      </c>
      <c r="L982" s="54">
        <f>IF(K982:K1981&lt;50000,"0-50",IF(K982:K1981&lt;100001,"51-100",IF(K982:K1981&lt;150001,"101-150",IF(K982:K1981&lt;200001,"151-200",IF(K982:K1981&lt;250001,"201-250","above 250")))))</f>
      </c>
      <c r="M982" s="57">
        <v>0.06</v>
      </c>
      <c r="N982" s="45" t="s">
        <v>12</v>
      </c>
      <c r="O982" s="45" t="s">
        <v>49</v>
      </c>
      <c r="P982" s="51"/>
      <c r="Q982" s="52">
        <f>IF(ISBLANK(P982:P1981), "", DATEDIF(J982:J1981, P982:P1981, "Y"))</f>
      </c>
    </row>
    <row x14ac:dyDescent="0.25" r="983" customHeight="1" ht="15.75">
      <c r="A983" s="3"/>
      <c r="B983" s="45" t="s">
        <v>352</v>
      </c>
      <c r="C983" s="45" t="s">
        <v>128</v>
      </c>
      <c r="D983" s="45" t="s">
        <v>34</v>
      </c>
      <c r="E983" s="45" t="s">
        <v>1096</v>
      </c>
      <c r="F983" s="45" t="s">
        <v>7</v>
      </c>
      <c r="G983" s="45" t="s">
        <v>17</v>
      </c>
      <c r="H983" s="53">
        <v>35</v>
      </c>
      <c r="I983" s="54">
        <f>IF(H983:H1982&lt;45, "Adult", IF(H983:H1982&lt;60, "Middle Age", IF(H983:H1982&lt;70, "Old", "Very Old")))</f>
      </c>
      <c r="J983" s="55">
        <v>42745</v>
      </c>
      <c r="K983" s="56">
        <v>80622</v>
      </c>
      <c r="L983" s="54">
        <f>IF(K983:K1982&lt;50000,"0-50",IF(K983:K1982&lt;100001,"51-100",IF(K983:K1982&lt;150001,"101-150",IF(K983:K1982&lt;200001,"151-200",IF(K983:K1982&lt;250001,"201-250","above 250")))))</f>
      </c>
      <c r="M983" s="57">
        <v>0</v>
      </c>
      <c r="N983" s="45" t="s">
        <v>15</v>
      </c>
      <c r="O983" s="45" t="s">
        <v>42</v>
      </c>
      <c r="P983" s="51"/>
      <c r="Q983" s="52">
        <f>IF(ISBLANK(P983:P1982), "", DATEDIF(J983:J1982, P983:P1982, "Y"))</f>
      </c>
    </row>
    <row x14ac:dyDescent="0.25" r="984" customHeight="1" ht="15.75">
      <c r="A984" s="3"/>
      <c r="B984" s="45" t="s">
        <v>938</v>
      </c>
      <c r="C984" s="45" t="s">
        <v>142</v>
      </c>
      <c r="D984" s="45" t="s">
        <v>32</v>
      </c>
      <c r="E984" s="45" t="s">
        <v>1096</v>
      </c>
      <c r="F984" s="45" t="s">
        <v>7</v>
      </c>
      <c r="G984" s="45" t="s">
        <v>8</v>
      </c>
      <c r="H984" s="53">
        <v>57</v>
      </c>
      <c r="I984" s="54">
        <f>IF(H984:H1983&lt;45, "Adult", IF(H984:H1983&lt;60, "Middle Age", IF(H984:H1983&lt;70, "Old", "Very Old")))</f>
      </c>
      <c r="J984" s="55">
        <v>42685</v>
      </c>
      <c r="K984" s="56">
        <v>246589</v>
      </c>
      <c r="L984" s="54">
        <f>IF(K984:K1983&lt;50000,"0-50",IF(K984:K1983&lt;100001,"51-100",IF(K984:K1983&lt;150001,"101-150",IF(K984:K1983&lt;200001,"151-200",IF(K984:K1983&lt;250001,"201-250","above 250")))))</f>
      </c>
      <c r="M984" s="57">
        <v>0.33</v>
      </c>
      <c r="N984" s="45" t="s">
        <v>15</v>
      </c>
      <c r="O984" s="45" t="s">
        <v>61</v>
      </c>
      <c r="P984" s="58">
        <v>42820</v>
      </c>
      <c r="Q984" s="53">
        <f>IF(ISBLANK(P984:P1983), "", DATEDIF(J984:J1983, P984:P1983, "Y"))</f>
      </c>
    </row>
    <row x14ac:dyDescent="0.25" r="985" customHeight="1" ht="18.75">
      <c r="A985" s="3"/>
      <c r="B985" s="45" t="s">
        <v>728</v>
      </c>
      <c r="C985" s="45" t="s">
        <v>110</v>
      </c>
      <c r="D985" s="45" t="s">
        <v>34</v>
      </c>
      <c r="E985" s="45" t="s">
        <v>1096</v>
      </c>
      <c r="F985" s="45" t="s">
        <v>10</v>
      </c>
      <c r="G985" s="45" t="s">
        <v>8</v>
      </c>
      <c r="H985" s="53">
        <v>49</v>
      </c>
      <c r="I985" s="54">
        <f>IF(H985:H1984&lt;45, "Adult", IF(H985:H1984&lt;60, "Middle Age", IF(H985:H1984&lt;70, "Old", "Very Old")))</f>
      </c>
      <c r="J985" s="55">
        <v>43240</v>
      </c>
      <c r="K985" s="56">
        <v>119397</v>
      </c>
      <c r="L985" s="54">
        <f>IF(K985:K1984&lt;50000,"0-50",IF(K985:K1984&lt;100001,"51-100",IF(K985:K1984&lt;150001,"101-150",IF(K985:K1984&lt;200001,"151-200",IF(K985:K1984&lt;250001,"201-250","above 250")))))</f>
      </c>
      <c r="M985" s="57">
        <v>0.09</v>
      </c>
      <c r="N985" s="45" t="s">
        <v>12</v>
      </c>
      <c r="O985" s="45" t="s">
        <v>47</v>
      </c>
      <c r="P985" s="58">
        <v>43538</v>
      </c>
      <c r="Q985" s="53">
        <f>IF(ISBLANK(P985:P1984), "", DATEDIF(J985:J1984, P985:P1984, "Y"))</f>
      </c>
    </row>
    <row x14ac:dyDescent="0.25" r="986" customHeight="1" ht="15.75">
      <c r="A986" s="3"/>
      <c r="B986" s="45" t="s">
        <v>66</v>
      </c>
      <c r="C986" s="45" t="s">
        <v>96</v>
      </c>
      <c r="D986" s="45" t="s">
        <v>36</v>
      </c>
      <c r="E986" s="45" t="s">
        <v>1100</v>
      </c>
      <c r="F986" s="45" t="s">
        <v>7</v>
      </c>
      <c r="G986" s="45" t="s">
        <v>8</v>
      </c>
      <c r="H986" s="53">
        <v>25</v>
      </c>
      <c r="I986" s="54">
        <f>IF(H986:H1985&lt;45, "Adult", IF(H986:H1985&lt;60, "Middle Age", IF(H986:H1985&lt;70, "Old", "Very Old")))</f>
      </c>
      <c r="J986" s="55">
        <v>44549</v>
      </c>
      <c r="K986" s="56">
        <v>150666</v>
      </c>
      <c r="L986" s="54">
        <f>IF(K986:K1985&lt;50000,"0-50",IF(K986:K1985&lt;100001,"51-100",IF(K986:K1985&lt;150001,"101-150",IF(K986:K1985&lt;200001,"151-200",IF(K986:K1985&lt;250001,"201-250","above 250")))))</f>
      </c>
      <c r="M986" s="57">
        <v>0.23</v>
      </c>
      <c r="N986" s="45" t="s">
        <v>12</v>
      </c>
      <c r="O986" s="45" t="s">
        <v>49</v>
      </c>
      <c r="P986" s="51"/>
      <c r="Q986" s="52">
        <f>IF(ISBLANK(P986:P1985), "", DATEDIF(J986:J1985, P986:P1985, "Y"))</f>
      </c>
    </row>
    <row x14ac:dyDescent="0.25" r="987" customHeight="1" ht="15.75">
      <c r="A987" s="3"/>
      <c r="B987" s="45" t="s">
        <v>659</v>
      </c>
      <c r="C987" s="45" t="s">
        <v>132</v>
      </c>
      <c r="D987" s="45" t="s">
        <v>32</v>
      </c>
      <c r="E987" s="45" t="s">
        <v>1092</v>
      </c>
      <c r="F987" s="45" t="s">
        <v>7</v>
      </c>
      <c r="G987" s="45" t="s">
        <v>14</v>
      </c>
      <c r="H987" s="53">
        <v>46</v>
      </c>
      <c r="I987" s="54">
        <f>IF(H987:H1986&lt;45, "Adult", IF(H987:H1986&lt;60, "Middle Age", IF(H987:H1986&lt;70, "Old", "Very Old")))</f>
      </c>
      <c r="J987" s="55">
        <v>37265</v>
      </c>
      <c r="K987" s="56">
        <v>148035</v>
      </c>
      <c r="L987" s="54">
        <f>IF(K987:K1986&lt;50000,"0-50",IF(K987:K1986&lt;100001,"51-100",IF(K987:K1986&lt;150001,"101-150",IF(K987:K1986&lt;200001,"151-200",IF(K987:K1986&lt;250001,"201-250","above 250")))))</f>
      </c>
      <c r="M987" s="57">
        <v>0.14</v>
      </c>
      <c r="N987" s="45" t="s">
        <v>15</v>
      </c>
      <c r="O987" s="45" t="s">
        <v>61</v>
      </c>
      <c r="P987" s="51"/>
      <c r="Q987" s="52">
        <f>IF(ISBLANK(P987:P1986), "", DATEDIF(J987:J1986, P987:P1986, "Y"))</f>
      </c>
    </row>
    <row x14ac:dyDescent="0.25" r="988" customHeight="1" ht="15.75">
      <c r="A988" s="3"/>
      <c r="B988" s="45" t="s">
        <v>995</v>
      </c>
      <c r="C988" s="45" t="s">
        <v>96</v>
      </c>
      <c r="D988" s="45" t="s">
        <v>28</v>
      </c>
      <c r="E988" s="45" t="s">
        <v>1100</v>
      </c>
      <c r="F988" s="45" t="s">
        <v>10</v>
      </c>
      <c r="G988" s="45" t="s">
        <v>8</v>
      </c>
      <c r="H988" s="53">
        <v>60</v>
      </c>
      <c r="I988" s="54">
        <f>IF(H988:H1987&lt;45, "Adult", IF(H988:H1987&lt;60, "Middle Age", IF(H988:H1987&lt;70, "Old", "Very Old")))</f>
      </c>
      <c r="J988" s="55">
        <v>42891</v>
      </c>
      <c r="K988" s="56">
        <v>158898</v>
      </c>
      <c r="L988" s="54">
        <f>IF(K988:K1987&lt;50000,"0-50",IF(K988:K1987&lt;100001,"51-100",IF(K988:K1987&lt;150001,"101-150",IF(K988:K1987&lt;200001,"151-200",IF(K988:K1987&lt;250001,"201-250","above 250")))))</f>
      </c>
      <c r="M988" s="57">
        <v>0.18</v>
      </c>
      <c r="N988" s="45" t="s">
        <v>15</v>
      </c>
      <c r="O988" s="45" t="s">
        <v>59</v>
      </c>
      <c r="P988" s="51"/>
      <c r="Q988" s="52">
        <f>IF(ISBLANK(P988:P1987), "", DATEDIF(J988:J1987, P988:P1987, "Y"))</f>
      </c>
    </row>
    <row x14ac:dyDescent="0.25" r="989" customHeight="1" ht="15.75">
      <c r="A989" s="3"/>
      <c r="B989" s="45" t="s">
        <v>626</v>
      </c>
      <c r="C989" s="45" t="s">
        <v>102</v>
      </c>
      <c r="D989" s="45" t="s">
        <v>26</v>
      </c>
      <c r="E989" s="45" t="s">
        <v>1100</v>
      </c>
      <c r="F989" s="45" t="s">
        <v>7</v>
      </c>
      <c r="G989" s="45" t="s">
        <v>8</v>
      </c>
      <c r="H989" s="53">
        <v>45</v>
      </c>
      <c r="I989" s="54">
        <f>IF(H989:H1988&lt;45, "Adult", IF(H989:H1988&lt;60, "Middle Age", IF(H989:H1988&lt;70, "Old", "Very Old")))</f>
      </c>
      <c r="J989" s="55">
        <v>40967</v>
      </c>
      <c r="K989" s="56">
        <v>89659</v>
      </c>
      <c r="L989" s="54">
        <f>IF(K989:K1988&lt;50000,"0-50",IF(K989:K1988&lt;100001,"51-100",IF(K989:K1988&lt;150001,"101-150",IF(K989:K1988&lt;200001,"151-200",IF(K989:K1988&lt;250001,"201-250","above 250")))))</f>
      </c>
      <c r="M989" s="57">
        <v>0</v>
      </c>
      <c r="N989" s="45" t="s">
        <v>12</v>
      </c>
      <c r="O989" s="45" t="s">
        <v>47</v>
      </c>
      <c r="P989" s="51"/>
      <c r="Q989" s="52">
        <f>IF(ISBLANK(P989:P1988), "", DATEDIF(J989:J1988, P989:P1988, "Y"))</f>
      </c>
    </row>
    <row x14ac:dyDescent="0.25" r="990" customHeight="1" ht="15.75">
      <c r="A990" s="3"/>
      <c r="B990" s="45" t="s">
        <v>444</v>
      </c>
      <c r="C990" s="45" t="s">
        <v>96</v>
      </c>
      <c r="D990" s="45" t="s">
        <v>36</v>
      </c>
      <c r="E990" s="45" t="s">
        <v>1096</v>
      </c>
      <c r="F990" s="45" t="s">
        <v>7</v>
      </c>
      <c r="G990" s="45" t="s">
        <v>14</v>
      </c>
      <c r="H990" s="53">
        <v>39</v>
      </c>
      <c r="I990" s="54">
        <f>IF(H990:H1989&lt;45, "Adult", IF(H990:H1989&lt;60, "Middle Age", IF(H990:H1989&lt;70, "Old", "Very Old")))</f>
      </c>
      <c r="J990" s="55">
        <v>39201</v>
      </c>
      <c r="K990" s="56">
        <v>171487</v>
      </c>
      <c r="L990" s="54">
        <f>IF(K990:K1989&lt;50000,"0-50",IF(K990:K1989&lt;100001,"51-100",IF(K990:K1989&lt;150001,"101-150",IF(K990:K1989&lt;200001,"151-200",IF(K990:K1989&lt;250001,"201-250","above 250")))))</f>
      </c>
      <c r="M990" s="57">
        <v>0.23</v>
      </c>
      <c r="N990" s="45" t="s">
        <v>15</v>
      </c>
      <c r="O990" s="45" t="s">
        <v>61</v>
      </c>
      <c r="P990" s="51"/>
      <c r="Q990" s="52">
        <f>IF(ISBLANK(P990:P1989), "", DATEDIF(J990:J1989, P990:P1989, "Y"))</f>
      </c>
    </row>
    <row x14ac:dyDescent="0.25" r="991" customHeight="1" ht="15.75">
      <c r="A991" s="3"/>
      <c r="B991" s="45" t="s">
        <v>540</v>
      </c>
      <c r="C991" s="45" t="s">
        <v>142</v>
      </c>
      <c r="D991" s="45" t="s">
        <v>36</v>
      </c>
      <c r="E991" s="45" t="s">
        <v>1094</v>
      </c>
      <c r="F991" s="45" t="s">
        <v>7</v>
      </c>
      <c r="G991" s="45" t="s">
        <v>17</v>
      </c>
      <c r="H991" s="53">
        <v>43</v>
      </c>
      <c r="I991" s="54">
        <f>IF(H991:H1990&lt;45, "Adult", IF(H991:H1990&lt;60, "Middle Age", IF(H991:H1990&lt;70, "Old", "Very Old")))</f>
      </c>
      <c r="J991" s="55">
        <v>42603</v>
      </c>
      <c r="K991" s="56">
        <v>258498</v>
      </c>
      <c r="L991" s="54">
        <f>IF(K991:K1990&lt;50000,"0-50",IF(K991:K1990&lt;100001,"51-100",IF(K991:K1990&lt;150001,"101-150",IF(K991:K1990&lt;200001,"151-200",IF(K991:K1990&lt;250001,"201-250","above 250")))))</f>
      </c>
      <c r="M991" s="57">
        <v>0.35</v>
      </c>
      <c r="N991" s="45" t="s">
        <v>15</v>
      </c>
      <c r="O991" s="45" t="s">
        <v>55</v>
      </c>
      <c r="P991" s="51"/>
      <c r="Q991" s="52">
        <f>IF(ISBLANK(P991:P1990), "", DATEDIF(J991:J1990, P991:P1990, "Y"))</f>
      </c>
    </row>
    <row x14ac:dyDescent="0.25" r="992" customHeight="1" ht="15.75">
      <c r="A992" s="3"/>
      <c r="B992" s="45" t="s">
        <v>398</v>
      </c>
      <c r="C992" s="45" t="s">
        <v>132</v>
      </c>
      <c r="D992" s="45" t="s">
        <v>32</v>
      </c>
      <c r="E992" s="45" t="s">
        <v>1092</v>
      </c>
      <c r="F992" s="45" t="s">
        <v>10</v>
      </c>
      <c r="G992" s="45" t="s">
        <v>8</v>
      </c>
      <c r="H992" s="53">
        <v>37</v>
      </c>
      <c r="I992" s="54">
        <f>IF(H992:H1991&lt;45, "Adult", IF(H992:H1991&lt;60, "Middle Age", IF(H992:H1991&lt;70, "Old", "Very Old")))</f>
      </c>
      <c r="J992" s="55">
        <v>40511</v>
      </c>
      <c r="K992" s="56">
        <v>146961</v>
      </c>
      <c r="L992" s="54">
        <f>IF(K992:K1991&lt;50000,"0-50",IF(K992:K1991&lt;100001,"51-100",IF(K992:K1991&lt;150001,"101-150",IF(K992:K1991&lt;200001,"151-200",IF(K992:K1991&lt;250001,"201-250","above 250")))))</f>
      </c>
      <c r="M992" s="57">
        <v>0.11</v>
      </c>
      <c r="N992" s="45" t="s">
        <v>15</v>
      </c>
      <c r="O992" s="45" t="s">
        <v>55</v>
      </c>
      <c r="P992" s="51"/>
      <c r="Q992" s="52">
        <f>IF(ISBLANK(P992:P1991), "", DATEDIF(J992:J1991, P992:P1991, "Y"))</f>
      </c>
    </row>
    <row x14ac:dyDescent="0.25" r="993" customHeight="1" ht="15.75">
      <c r="A993" s="3"/>
      <c r="B993" s="45" t="s">
        <v>708</v>
      </c>
      <c r="C993" s="45" t="s">
        <v>130</v>
      </c>
      <c r="D993" s="45" t="s">
        <v>30</v>
      </c>
      <c r="E993" s="45" t="s">
        <v>1092</v>
      </c>
      <c r="F993" s="45" t="s">
        <v>10</v>
      </c>
      <c r="G993" s="45" t="s">
        <v>17</v>
      </c>
      <c r="H993" s="53">
        <v>48</v>
      </c>
      <c r="I993" s="54">
        <f>IF(H993:H1992&lt;45, "Adult", IF(H993:H1992&lt;60, "Middle Age", IF(H993:H1992&lt;70, "Old", "Very Old")))</f>
      </c>
      <c r="J993" s="55">
        <v>35907</v>
      </c>
      <c r="K993" s="56">
        <v>85369</v>
      </c>
      <c r="L993" s="54">
        <f>IF(K993:K1992&lt;50000,"0-50",IF(K993:K1992&lt;100001,"51-100",IF(K993:K1992&lt;150001,"101-150",IF(K993:K1992&lt;200001,"151-200",IF(K993:K1992&lt;250001,"201-250","above 250")))))</f>
      </c>
      <c r="M993" s="57">
        <v>0</v>
      </c>
      <c r="N993" s="45" t="s">
        <v>9</v>
      </c>
      <c r="O993" s="45" t="s">
        <v>57</v>
      </c>
      <c r="P993" s="58">
        <v>38318</v>
      </c>
      <c r="Q993" s="53">
        <f>IF(ISBLANK(P993:P1992), "", DATEDIF(J993:J1992, P993:P1992, "Y"))</f>
      </c>
    </row>
    <row x14ac:dyDescent="0.25" r="994" customHeight="1" ht="15.75">
      <c r="A994" s="3"/>
      <c r="B994" s="45" t="s">
        <v>238</v>
      </c>
      <c r="C994" s="45" t="s">
        <v>138</v>
      </c>
      <c r="D994" s="45" t="s">
        <v>32</v>
      </c>
      <c r="E994" s="45" t="s">
        <v>1094</v>
      </c>
      <c r="F994" s="45" t="s">
        <v>10</v>
      </c>
      <c r="G994" s="45" t="s">
        <v>14</v>
      </c>
      <c r="H994" s="53">
        <v>30</v>
      </c>
      <c r="I994" s="54">
        <f>IF(H994:H1993&lt;45, "Adult", IF(H994:H1993&lt;60, "Middle Age", IF(H994:H1993&lt;70, "Old", "Very Old")))</f>
      </c>
      <c r="J994" s="55">
        <v>42169</v>
      </c>
      <c r="K994" s="56">
        <v>67489</v>
      </c>
      <c r="L994" s="54">
        <f>IF(K994:K1993&lt;50000,"0-50",IF(K994:K1993&lt;100001,"51-100",IF(K994:K1993&lt;150001,"101-150",IF(K994:K1993&lt;200001,"151-200",IF(K994:K1993&lt;250001,"201-250","above 250")))))</f>
      </c>
      <c r="M994" s="57">
        <v>0</v>
      </c>
      <c r="N994" s="45" t="s">
        <v>15</v>
      </c>
      <c r="O994" s="45" t="s">
        <v>51</v>
      </c>
      <c r="P994" s="51"/>
      <c r="Q994" s="52">
        <f>IF(ISBLANK(P994:P1993), "", DATEDIF(J994:J1993, P994:P1993, "Y"))</f>
      </c>
    </row>
    <row x14ac:dyDescent="0.25" r="995" customHeight="1" ht="15.75">
      <c r="A995" s="3"/>
      <c r="B995" s="45" t="s">
        <v>658</v>
      </c>
      <c r="C995" s="45" t="s">
        <v>96</v>
      </c>
      <c r="D995" s="45" t="s">
        <v>32</v>
      </c>
      <c r="E995" s="45" t="s">
        <v>1094</v>
      </c>
      <c r="F995" s="45" t="s">
        <v>7</v>
      </c>
      <c r="G995" s="45" t="s">
        <v>14</v>
      </c>
      <c r="H995" s="53">
        <v>46</v>
      </c>
      <c r="I995" s="54">
        <f>IF(H995:H1994&lt;45, "Adult", IF(H995:H1994&lt;60, "Middle Age", IF(H995:H1994&lt;70, "Old", "Very Old")))</f>
      </c>
      <c r="J995" s="55">
        <v>43379</v>
      </c>
      <c r="K995" s="56">
        <v>166259</v>
      </c>
      <c r="L995" s="54">
        <f>IF(K995:K1994&lt;50000,"0-50",IF(K995:K1994&lt;100001,"51-100",IF(K995:K1994&lt;150001,"101-150",IF(K995:K1994&lt;200001,"151-200",IF(K995:K1994&lt;250001,"201-250","above 250")))))</f>
      </c>
      <c r="M995" s="57">
        <v>0.17</v>
      </c>
      <c r="N995" s="45" t="s">
        <v>15</v>
      </c>
      <c r="O995" s="45" t="s">
        <v>51</v>
      </c>
      <c r="P995" s="51"/>
      <c r="Q995" s="52">
        <f>IF(ISBLANK(P995:P1994), "", DATEDIF(J995:J1994, P995:P1994, "Y"))</f>
      </c>
    </row>
    <row x14ac:dyDescent="0.25" r="996" customHeight="1" ht="15.75">
      <c r="A996" s="3"/>
      <c r="B996" s="45" t="s">
        <v>899</v>
      </c>
      <c r="C996" s="45" t="s">
        <v>136</v>
      </c>
      <c r="D996" s="45" t="s">
        <v>32</v>
      </c>
      <c r="E996" s="45" t="s">
        <v>1100</v>
      </c>
      <c r="F996" s="45" t="s">
        <v>7</v>
      </c>
      <c r="G996" s="45" t="s">
        <v>8</v>
      </c>
      <c r="H996" s="53">
        <v>55</v>
      </c>
      <c r="I996" s="54">
        <f>IF(H996:H1995&lt;45, "Adult", IF(H996:H1995&lt;60, "Middle Age", IF(H996:H1995&lt;70, "Old", "Very Old")))</f>
      </c>
      <c r="J996" s="55">
        <v>39820</v>
      </c>
      <c r="K996" s="56">
        <v>47032</v>
      </c>
      <c r="L996" s="54">
        <f>IF(K996:K1995&lt;50000,"0-50",IF(K996:K1995&lt;100001,"51-100",IF(K996:K1995&lt;150001,"101-150",IF(K996:K1995&lt;200001,"151-200",IF(K996:K1995&lt;250001,"201-250","above 250")))))</f>
      </c>
      <c r="M996" s="57">
        <v>0</v>
      </c>
      <c r="N996" s="45" t="s">
        <v>15</v>
      </c>
      <c r="O996" s="45" t="s">
        <v>55</v>
      </c>
      <c r="P996" s="51"/>
      <c r="Q996" s="52">
        <f>IF(ISBLANK(P996:P1995), "", DATEDIF(J996:J1995, P996:P1995, "Y"))</f>
      </c>
    </row>
    <row x14ac:dyDescent="0.25" r="997" customHeight="1" ht="15.75">
      <c r="A997" s="3"/>
      <c r="B997" s="45" t="s">
        <v>306</v>
      </c>
      <c r="C997" s="45" t="s">
        <v>128</v>
      </c>
      <c r="D997" s="45" t="s">
        <v>34</v>
      </c>
      <c r="E997" s="45" t="s">
        <v>1096</v>
      </c>
      <c r="F997" s="45" t="s">
        <v>10</v>
      </c>
      <c r="G997" s="45" t="s">
        <v>14</v>
      </c>
      <c r="H997" s="53">
        <v>33</v>
      </c>
      <c r="I997" s="54">
        <f>IF(H997:H1996&lt;45, "Adult", IF(H997:H1996&lt;60, "Middle Age", IF(H997:H1996&lt;70, "Old", "Very Old")))</f>
      </c>
      <c r="J997" s="55">
        <v>42631</v>
      </c>
      <c r="K997" s="56">
        <v>98427</v>
      </c>
      <c r="L997" s="54">
        <f>IF(K997:K1996&lt;50000,"0-50",IF(K997:K1996&lt;100001,"51-100",IF(K997:K1996&lt;150001,"101-150",IF(K997:K1996&lt;200001,"151-200",IF(K997:K1996&lt;250001,"201-250","above 250")))))</f>
      </c>
      <c r="M997" s="57">
        <v>0</v>
      </c>
      <c r="N997" s="45" t="s">
        <v>15</v>
      </c>
      <c r="O997" s="45" t="s">
        <v>55</v>
      </c>
      <c r="P997" s="51"/>
      <c r="Q997" s="52">
        <f>IF(ISBLANK(P997:P1996), "", DATEDIF(J997:J1996, P997:P1996, "Y"))</f>
      </c>
    </row>
    <row x14ac:dyDescent="0.25" r="998" customHeight="1" ht="15.75">
      <c r="A998" s="3"/>
      <c r="B998" s="45" t="s">
        <v>557</v>
      </c>
      <c r="C998" s="45" t="s">
        <v>80</v>
      </c>
      <c r="D998" s="45" t="s">
        <v>28</v>
      </c>
      <c r="E998" s="45" t="s">
        <v>1096</v>
      </c>
      <c r="F998" s="45" t="s">
        <v>7</v>
      </c>
      <c r="G998" s="45" t="s">
        <v>8</v>
      </c>
      <c r="H998" s="53">
        <v>44</v>
      </c>
      <c r="I998" s="54">
        <f>IF(H998:H1997&lt;45, "Adult", IF(H998:H1997&lt;60, "Middle Age", IF(H998:H1997&lt;70, "Old", "Very Old")))</f>
      </c>
      <c r="J998" s="55">
        <v>40329</v>
      </c>
      <c r="K998" s="56">
        <v>47387</v>
      </c>
      <c r="L998" s="54">
        <f>IF(K998:K1997&lt;50000,"0-50",IF(K998:K1997&lt;100001,"51-100",IF(K998:K1997&lt;150001,"101-150",IF(K998:K1997&lt;200001,"151-200",IF(K998:K1997&lt;250001,"201-250","above 250")))))</f>
      </c>
      <c r="M998" s="57">
        <v>0</v>
      </c>
      <c r="N998" s="45" t="s">
        <v>12</v>
      </c>
      <c r="O998" s="45" t="s">
        <v>49</v>
      </c>
      <c r="P998" s="58">
        <v>43108</v>
      </c>
      <c r="Q998" s="53">
        <f>IF(ISBLANK(P998:P1997), "", DATEDIF(J998:J1997, P998:P1997, "Y"))</f>
      </c>
    </row>
    <row x14ac:dyDescent="0.25" r="999" customHeight="1" ht="15.75">
      <c r="A999" s="3"/>
      <c r="B999" s="45" t="s">
        <v>264</v>
      </c>
      <c r="C999" s="45" t="s">
        <v>96</v>
      </c>
      <c r="D999" s="45" t="s">
        <v>34</v>
      </c>
      <c r="E999" s="45" t="s">
        <v>1096</v>
      </c>
      <c r="F999" s="45" t="s">
        <v>10</v>
      </c>
      <c r="G999" s="45" t="s">
        <v>8</v>
      </c>
      <c r="H999" s="53">
        <v>31</v>
      </c>
      <c r="I999" s="54">
        <f>IF(H999:H1998&lt;45, "Adult", IF(H999:H1998&lt;60, "Middle Age", IF(H999:H1998&lt;70, "Old", "Very Old")))</f>
      </c>
      <c r="J999" s="55">
        <v>43626</v>
      </c>
      <c r="K999" s="56">
        <v>176710</v>
      </c>
      <c r="L999" s="54">
        <f>IF(K999:K1998&lt;50000,"0-50",IF(K999:K1998&lt;100001,"51-100",IF(K999:K1998&lt;150001,"101-150",IF(K999:K1998&lt;200001,"151-200",IF(K999:K1998&lt;250001,"201-250","above 250")))))</f>
      </c>
      <c r="M999" s="57">
        <v>0.15</v>
      </c>
      <c r="N999" s="45" t="s">
        <v>15</v>
      </c>
      <c r="O999" s="45" t="s">
        <v>59</v>
      </c>
      <c r="P999" s="51"/>
      <c r="Q999" s="52">
        <f>IF(ISBLANK(P999:P1998), "", DATEDIF(J999:J1998, P999:P1998, "Y"))</f>
      </c>
    </row>
    <row x14ac:dyDescent="0.25" r="1000" customHeight="1" ht="15.75">
      <c r="A1000" s="3"/>
      <c r="B1000" s="45" t="s">
        <v>305</v>
      </c>
      <c r="C1000" s="45" t="s">
        <v>128</v>
      </c>
      <c r="D1000" s="45" t="s">
        <v>28</v>
      </c>
      <c r="E1000" s="45" t="s">
        <v>1096</v>
      </c>
      <c r="F1000" s="45" t="s">
        <v>7</v>
      </c>
      <c r="G1000" s="45" t="s">
        <v>8</v>
      </c>
      <c r="H1000" s="53">
        <v>33</v>
      </c>
      <c r="I1000" s="54">
        <f>IF(H1000:H1999&lt;45, "Adult", IF(H1000:H1999&lt;60, "Middle Age", IF(H1000:H1999&lt;70, "Old", "Very Old")))</f>
      </c>
      <c r="J1000" s="55">
        <v>40936</v>
      </c>
      <c r="K1000" s="56">
        <v>95960</v>
      </c>
      <c r="L1000" s="54">
        <f>IF(K1000:K1999&lt;50000,"0-50",IF(K1000:K1999&lt;100001,"51-100",IF(K1000:K1999&lt;150001,"101-150",IF(K1000:K1999&lt;200001,"151-200",IF(K1000:K1999&lt;250001,"201-250","above 250")))))</f>
      </c>
      <c r="M1000" s="57">
        <v>0</v>
      </c>
      <c r="N1000" s="45" t="s">
        <v>12</v>
      </c>
      <c r="O1000" s="45" t="s">
        <v>49</v>
      </c>
      <c r="P1000" s="51"/>
      <c r="Q1000" s="52">
        <f>IF(ISBLANK(P1000:P1999), "", DATEDIF(J1000:J1999, P1000:P1999, "Y"))</f>
      </c>
    </row>
    <row x14ac:dyDescent="0.25" r="1001" customHeight="1" ht="15.75">
      <c r="A1001" s="3"/>
      <c r="B1001" s="45" t="s">
        <v>1043</v>
      </c>
      <c r="C1001" s="45" t="s">
        <v>142</v>
      </c>
      <c r="D1001" s="45" t="s">
        <v>24</v>
      </c>
      <c r="E1001" s="45" t="s">
        <v>1100</v>
      </c>
      <c r="F1001" s="45" t="s">
        <v>7</v>
      </c>
      <c r="G1001" s="45" t="s">
        <v>8</v>
      </c>
      <c r="H1001" s="53">
        <v>63</v>
      </c>
      <c r="I1001" s="54">
        <f>IF(H1001:H2000&lt;45, "Adult", IF(H1001:H2000&lt;60, "Middle Age", IF(H1001:H2000&lt;70, "Old", "Very Old")))</f>
      </c>
      <c r="J1001" s="55">
        <v>44038</v>
      </c>
      <c r="K1001" s="56">
        <v>216195</v>
      </c>
      <c r="L1001" s="54">
        <f>IF(K1001:K2000&lt;50000,"0-50",IF(K1001:K2000&lt;100001,"51-100",IF(K1001:K2000&lt;150001,"101-150",IF(K1001:K2000&lt;200001,"151-200",IF(K1001:K2000&lt;250001,"201-250","above 250")))))</f>
      </c>
      <c r="M1001" s="57">
        <v>0.31</v>
      </c>
      <c r="N1001" s="45" t="s">
        <v>15</v>
      </c>
      <c r="O1001" s="45" t="s">
        <v>59</v>
      </c>
      <c r="P1001" s="51"/>
      <c r="Q1001" s="52">
        <f>IF(ISBLANK(P1001:P2000), "", DATEDIF(J1001:J2000, P1001:P2000, "Y"))</f>
      </c>
    </row>
    <row x14ac:dyDescent="0.25" r="1002" customHeight="1" ht="15.75">
      <c r="A1002" s="3"/>
      <c r="B1002" s="3"/>
      <c r="C1002" s="3"/>
      <c r="D1002" s="3"/>
      <c r="E1002" s="3"/>
      <c r="F1002" s="3"/>
      <c r="G1002" s="3"/>
      <c r="H1002" s="59">
        <f>AVERAGE(H2:H1001)</f>
      </c>
      <c r="I1002" s="3"/>
      <c r="J1002" s="55"/>
      <c r="K1002" s="56"/>
      <c r="L1002" s="54">
        <f>IF(K1002:K2001&lt;50000,"0-50",IF(K1002:K2001&lt;100001,"51-100",IF(K1002:K2001&lt;150001,"101-150",IF(K1002:K2001&lt;200001,"151-200",IF(K1002:K2001&lt;250001,"201-250","above 250")))))</f>
      </c>
      <c r="M1002" s="57"/>
      <c r="N1002" s="3"/>
      <c r="O1002" s="3"/>
      <c r="P1002" s="51"/>
      <c r="Q1002" s="52">
        <f>IF(ISBLANK(P1002:P2001), "", DATEDIF(J1002:J2001, P1002:P2001, "Y"))</f>
      </c>
    </row>
    <row x14ac:dyDescent="0.25" r="1003" customHeight="1" ht="15.75">
      <c r="A1003" s="3"/>
      <c r="B1003" s="3"/>
      <c r="C1003" s="3"/>
      <c r="D1003" s="3"/>
      <c r="E1003" s="3"/>
      <c r="F1003" s="3"/>
      <c r="G1003" s="3"/>
      <c r="H1003" s="60"/>
      <c r="I1003" s="3"/>
      <c r="J1003" s="55"/>
      <c r="K1003" s="56"/>
      <c r="L1003" s="56"/>
      <c r="M1003" s="57"/>
      <c r="N1003" s="3"/>
      <c r="O1003" s="3"/>
      <c r="P1003" s="51"/>
      <c r="Q1003" s="52">
        <f>IF(ISBLANK(P1003:P2002), "", DATEDIF(J1003:J2002, P1003:P2002, "Y"))</f>
      </c>
    </row>
    <row x14ac:dyDescent="0.25" r="1004" customHeight="1" ht="15.75">
      <c r="A1004" s="3"/>
      <c r="B1004" s="3"/>
      <c r="C1004" s="3"/>
      <c r="D1004" s="3"/>
      <c r="E1004" s="3"/>
      <c r="F1004" s="3"/>
      <c r="G1004" s="3"/>
      <c r="H1004" s="60"/>
      <c r="I1004" s="3"/>
      <c r="J1004" s="55"/>
      <c r="K1004" s="56"/>
      <c r="L1004" s="56"/>
      <c r="M1004" s="57"/>
      <c r="N1004" s="3"/>
      <c r="O1004" s="3"/>
      <c r="P1004" s="51"/>
      <c r="Q1004" s="52">
        <f>IF(ISBLANK(P1004:P2003), "", DATEDIF(J1004:J2003, P1004:P2003, "Y"))</f>
      </c>
    </row>
    <row x14ac:dyDescent="0.25" r="1005" customHeight="1" ht="15.75">
      <c r="A1005" s="3"/>
      <c r="B1005" s="3"/>
      <c r="C1005" s="3"/>
      <c r="D1005" s="3"/>
      <c r="E1005" s="3"/>
      <c r="F1005" s="3"/>
      <c r="G1005" s="3"/>
      <c r="H1005" s="60"/>
      <c r="I1005" s="3"/>
      <c r="J1005" s="55"/>
      <c r="K1005" s="56"/>
      <c r="L1005" s="56"/>
      <c r="M1005" s="57"/>
      <c r="N1005" s="3"/>
      <c r="O1005" s="3"/>
      <c r="P1005" s="51"/>
      <c r="Q1005" s="52">
        <f>IF(ISBLANK(P1005:P2004), "", DATEDIF(J1005:J2004, P1005:P2004, "Y"))</f>
      </c>
    </row>
    <row x14ac:dyDescent="0.25" r="1006" customHeight="1" ht="15.75">
      <c r="A1006" s="45"/>
      <c r="B1006" s="3"/>
      <c r="C1006" s="3"/>
      <c r="D1006" s="45"/>
      <c r="E1006" s="3"/>
      <c r="F1006" s="3"/>
      <c r="G1006" s="3"/>
      <c r="H1006" s="60"/>
      <c r="I1006" s="3"/>
      <c r="J1006" s="55"/>
      <c r="K1006" s="56"/>
      <c r="L1006" s="56"/>
      <c r="M1006" s="57"/>
      <c r="N1006" s="3"/>
      <c r="O1006" s="3"/>
      <c r="P1006" s="51"/>
      <c r="Q1006" s="52">
        <f>IF(ISBLANK(P1006:P2005), "", DATEDIF(J1006:J2005, P1006:P2005, "Y"))</f>
      </c>
    </row>
    <row x14ac:dyDescent="0.25" r="1007" customHeight="1" ht="15.75">
      <c r="A1007" s="45"/>
      <c r="B1007" s="3"/>
      <c r="C1007" s="3"/>
      <c r="D1007" s="45"/>
      <c r="E1007" s="3"/>
      <c r="F1007" s="3"/>
      <c r="G1007" s="3"/>
      <c r="H1007" s="60"/>
      <c r="I1007" s="3"/>
      <c r="J1007" s="55"/>
      <c r="K1007" s="56"/>
      <c r="L1007" s="56"/>
      <c r="M1007" s="57"/>
      <c r="N1007" s="3"/>
      <c r="O1007" s="3"/>
      <c r="P1007" s="51"/>
      <c r="Q1007" s="52">
        <f>IF(ISBLANK(P1007:P2006), "", DATEDIF(J1007:J2006, P1007:P2006, "Y"))</f>
      </c>
    </row>
    <row x14ac:dyDescent="0.25" r="1008" customHeight="1" ht="15.75">
      <c r="A1008" s="45"/>
      <c r="B1008" s="3"/>
      <c r="C1008" s="3"/>
      <c r="D1008" s="45"/>
      <c r="E1008" s="3"/>
      <c r="F1008" s="3"/>
      <c r="G1008" s="3"/>
      <c r="H1008" s="60"/>
      <c r="I1008" s="3"/>
      <c r="J1008" s="55"/>
      <c r="K1008" s="56"/>
      <c r="L1008" s="56"/>
      <c r="M1008" s="57"/>
      <c r="N1008" s="3"/>
      <c r="O1008" s="3"/>
      <c r="P1008" s="51"/>
      <c r="Q1008" s="52">
        <f>IF(ISBLANK(P1008:P2007), "", DATEDIF(J1008:J2007, P1008:P2007, "Y"))</f>
      </c>
    </row>
    <row x14ac:dyDescent="0.25" r="1009" customHeight="1" ht="15.75">
      <c r="A1009" s="45"/>
      <c r="B1009" s="3"/>
      <c r="C1009" s="45"/>
      <c r="D1009" s="45"/>
      <c r="E1009" s="3"/>
      <c r="F1009" s="3"/>
      <c r="G1009" s="3"/>
      <c r="H1009" s="60"/>
      <c r="I1009" s="3"/>
      <c r="J1009" s="55"/>
      <c r="K1009" s="56"/>
      <c r="L1009" s="56"/>
      <c r="M1009" s="57"/>
      <c r="N1009" s="3"/>
      <c r="O1009" s="3"/>
      <c r="P1009" s="51"/>
      <c r="Q1009" s="52">
        <f>IF(ISBLANK(P1009:P2008), "", DATEDIF(J1009:J2008, P1009:P2008, "Y"))</f>
      </c>
    </row>
    <row x14ac:dyDescent="0.25" r="1010" customHeight="1" ht="15.75">
      <c r="A1010" s="3"/>
      <c r="B1010" s="3"/>
      <c r="C1010" s="45"/>
      <c r="D1010" s="45"/>
      <c r="E1010" s="3"/>
      <c r="F1010" s="3"/>
      <c r="G1010" s="3"/>
      <c r="H1010" s="60"/>
      <c r="I1010" s="3"/>
      <c r="J1010" s="55"/>
      <c r="K1010" s="56"/>
      <c r="L1010" s="56"/>
      <c r="M1010" s="57"/>
      <c r="N1010" s="3"/>
      <c r="O1010" s="3"/>
      <c r="P1010" s="51"/>
      <c r="Q1010" s="52">
        <f>IF(ISBLANK(P1010:P2009), "", DATEDIF(J1010:J2009, P1010:P2009, "Y"))</f>
      </c>
    </row>
    <row x14ac:dyDescent="0.25" r="1011" customHeight="1" ht="15.75">
      <c r="A1011" s="45"/>
      <c r="B1011" s="3"/>
      <c r="C1011" s="3"/>
      <c r="D1011" s="45"/>
      <c r="E1011" s="3"/>
      <c r="F1011" s="3"/>
      <c r="G1011" s="3"/>
      <c r="H1011" s="60"/>
      <c r="I1011" s="3"/>
      <c r="J1011" s="55"/>
      <c r="K1011" s="56"/>
      <c r="L1011" s="56"/>
      <c r="M1011" s="57"/>
      <c r="N1011" s="3"/>
      <c r="O1011" s="3"/>
      <c r="P1011" s="51"/>
      <c r="Q1011" s="52">
        <f>IF(ISBLANK(P1011:P2010), "", DATEDIF(J1011:J2010, P1011:P2010, "Y"))</f>
      </c>
    </row>
    <row x14ac:dyDescent="0.25" r="1012" customHeight="1" ht="15.75">
      <c r="A1012" s="45"/>
      <c r="B1012" s="3"/>
      <c r="C1012" s="3"/>
      <c r="D1012" s="45"/>
      <c r="E1012" s="3"/>
      <c r="F1012" s="3"/>
      <c r="G1012" s="3"/>
      <c r="H1012" s="60"/>
      <c r="I1012" s="3"/>
      <c r="J1012" s="55"/>
      <c r="K1012" s="56"/>
      <c r="L1012" s="56"/>
      <c r="M1012" s="57"/>
      <c r="N1012" s="3"/>
      <c r="O1012" s="3"/>
      <c r="P1012" s="51"/>
      <c r="Q1012" s="52">
        <f>IF(ISBLANK(P1012:P2011), "", DATEDIF(J1012:J2011, P1012:P2011, "Y"))</f>
      </c>
    </row>
    <row x14ac:dyDescent="0.25" r="1013" customHeight="1" ht="15.75">
      <c r="A1013" s="45"/>
      <c r="B1013" s="3"/>
      <c r="C1013" s="3"/>
      <c r="D1013" s="45"/>
      <c r="E1013" s="3"/>
      <c r="F1013" s="3"/>
      <c r="G1013" s="3"/>
      <c r="H1013" s="60"/>
      <c r="I1013" s="3"/>
      <c r="J1013" s="55"/>
      <c r="K1013" s="56"/>
      <c r="L1013" s="56"/>
      <c r="M1013" s="57"/>
      <c r="N1013" s="3"/>
      <c r="O1013" s="3"/>
      <c r="P1013" s="51"/>
      <c r="Q1013" s="52">
        <f>IF(ISBLANK(P1013:P2012), "", DATEDIF(J1013:J2012, P1013:P2012, "Y"))</f>
      </c>
    </row>
    <row x14ac:dyDescent="0.25" r="1014" customHeight="1" ht="15.75">
      <c r="A1014" s="45"/>
      <c r="B1014" s="3"/>
      <c r="C1014" s="3"/>
      <c r="D1014" s="32"/>
      <c r="E1014" s="3"/>
      <c r="F1014" s="3"/>
      <c r="G1014" s="3"/>
      <c r="H1014" s="60"/>
      <c r="I1014" s="3"/>
      <c r="J1014" s="55"/>
      <c r="K1014" s="56"/>
      <c r="L1014" s="56"/>
      <c r="M1014" s="57"/>
      <c r="N1014" s="3"/>
      <c r="O1014" s="3"/>
      <c r="P1014" s="51"/>
      <c r="Q1014" s="52">
        <f>IF(ISBLANK(P1014:P2013), "", DATEDIF(J1014:J2013, P1014:P2013, "Y"))</f>
      </c>
    </row>
    <row x14ac:dyDescent="0.25" r="1015" customHeight="1" ht="15.75">
      <c r="A1015" s="45"/>
      <c r="B1015" s="3"/>
      <c r="C1015" s="3"/>
      <c r="D1015" s="61"/>
      <c r="E1015" s="3"/>
      <c r="F1015" s="3"/>
      <c r="G1015" s="3"/>
      <c r="H1015" s="60"/>
      <c r="I1015" s="3"/>
      <c r="J1015" s="55"/>
      <c r="K1015" s="56"/>
      <c r="L1015" s="56"/>
      <c r="M1015" s="57"/>
      <c r="N1015" s="3"/>
      <c r="O1015" s="3"/>
      <c r="P1015" s="51"/>
      <c r="Q1015" s="52">
        <f>IF(ISBLANK(P1015:P2014), "", DATEDIF(J1015:J2014, P1015:P2014, "Y"))</f>
      </c>
    </row>
    <row x14ac:dyDescent="0.25" r="1016" customHeight="1" ht="15.75">
      <c r="A1016" s="3"/>
      <c r="B1016" s="3"/>
      <c r="C1016" s="3"/>
      <c r="D1016" s="62"/>
      <c r="E1016" s="3"/>
      <c r="F1016" s="3"/>
      <c r="G1016" s="3"/>
      <c r="H1016" s="60"/>
      <c r="I1016" s="3"/>
      <c r="J1016" s="55"/>
      <c r="K1016" s="56"/>
      <c r="L1016" s="56"/>
      <c r="M1016" s="57"/>
      <c r="N1016" s="3"/>
      <c r="O1016" s="3"/>
      <c r="P1016" s="51"/>
      <c r="Q1016" s="52">
        <f>IF(ISBLANK(P1016:P2015), "", DATEDIF(J1016:J2015, P1016:P2015, "Y"))</f>
      </c>
    </row>
    <row x14ac:dyDescent="0.25" r="1017" customHeight="1" ht="15.75">
      <c r="A1017" s="3"/>
      <c r="B1017" s="3"/>
      <c r="C1017" s="3"/>
      <c r="D1017" s="3"/>
      <c r="E1017" s="3"/>
      <c r="F1017" s="3"/>
      <c r="G1017" s="3"/>
      <c r="H1017" s="60"/>
      <c r="I1017" s="3"/>
      <c r="J1017" s="55"/>
      <c r="K1017" s="56"/>
      <c r="L1017" s="56"/>
      <c r="M1017" s="57"/>
      <c r="N1017" s="3"/>
      <c r="O1017" s="3"/>
      <c r="P1017" s="51"/>
      <c r="Q1017" s="52">
        <f>IF(ISBLANK(P1017:P2016), "", DATEDIF(J1017:J2016, P1017:P2016, "Y"))</f>
      </c>
    </row>
    <row x14ac:dyDescent="0.25" r="1018" customHeight="1" ht="15.75">
      <c r="A1018" s="3"/>
      <c r="B1018" s="3"/>
      <c r="C1018" s="3"/>
      <c r="D1018" s="3"/>
      <c r="E1018" s="3"/>
      <c r="F1018" s="3"/>
      <c r="G1018" s="3"/>
      <c r="H1018" s="60"/>
      <c r="I1018" s="3"/>
      <c r="J1018" s="55"/>
      <c r="K1018" s="56"/>
      <c r="L1018" s="56"/>
      <c r="M1018" s="57"/>
      <c r="N1018" s="3"/>
      <c r="O1018" s="3"/>
      <c r="P1018" s="51"/>
      <c r="Q1018" s="52">
        <f>IF(ISBLANK(P1018:P2017), "", DATEDIF(J1018:J2017, P1018:P2017, "Y"))</f>
      </c>
    </row>
    <row x14ac:dyDescent="0.25" r="1019" customHeight="1" ht="15.75">
      <c r="A1019" s="3"/>
      <c r="B1019" s="3"/>
      <c r="C1019" s="3"/>
      <c r="D1019" s="45"/>
      <c r="E1019" s="3"/>
      <c r="F1019" s="3"/>
      <c r="G1019" s="3"/>
      <c r="H1019" s="60"/>
      <c r="I1019" s="3"/>
      <c r="J1019" s="55"/>
      <c r="K1019" s="56"/>
      <c r="L1019" s="56"/>
      <c r="M1019" s="57"/>
      <c r="N1019" s="3"/>
      <c r="O1019" s="3"/>
      <c r="P1019" s="51"/>
      <c r="Q1019" s="52">
        <f>IF(ISBLANK(P1019:P2018), "", DATEDIF(J1019:J2018, P1019:P2018, "Y"))</f>
      </c>
    </row>
    <row x14ac:dyDescent="0.25" r="1020" customHeight="1" ht="15.75">
      <c r="A1020" s="3"/>
      <c r="B1020" s="3"/>
      <c r="C1020" s="3"/>
      <c r="D1020" s="3"/>
      <c r="E1020" s="3"/>
      <c r="F1020" s="3"/>
      <c r="G1020" s="3"/>
      <c r="H1020" s="60"/>
      <c r="I1020" s="3"/>
      <c r="J1020" s="55"/>
      <c r="K1020" s="56"/>
      <c r="L1020" s="56"/>
      <c r="M1020" s="57"/>
      <c r="N1020" s="3"/>
      <c r="O1020" s="3"/>
      <c r="P1020" s="51"/>
      <c r="Q1020" s="52">
        <f>IF(ISBLANK(P1020:P2019), "", DATEDIF(J1020:J2019, P1020:P2019, "Y"))</f>
      </c>
    </row>
    <row x14ac:dyDescent="0.25" r="1021" customHeight="1" ht="15.75">
      <c r="A1021" s="3"/>
      <c r="B1021" s="3"/>
      <c r="C1021" s="3"/>
      <c r="D1021" s="3"/>
      <c r="E1021" s="3"/>
      <c r="F1021" s="3"/>
      <c r="G1021" s="3"/>
      <c r="H1021" s="60"/>
      <c r="I1021" s="3"/>
      <c r="J1021" s="55"/>
      <c r="K1021" s="56"/>
      <c r="L1021" s="56"/>
      <c r="M1021" s="57"/>
      <c r="N1021" s="3"/>
      <c r="O1021" s="3"/>
      <c r="P1021" s="51"/>
      <c r="Q1021" s="52">
        <f>IF(ISBLANK(P1021:P2020), "", DATEDIF(J1021:J2020, P1021:P2020, "Y"))</f>
      </c>
    </row>
    <row x14ac:dyDescent="0.25" r="1022" customHeight="1" ht="15.75">
      <c r="A1022" s="3"/>
      <c r="B1022" s="3"/>
      <c r="C1022" s="3"/>
      <c r="D1022" s="3"/>
      <c r="E1022" s="3"/>
      <c r="F1022" s="3"/>
      <c r="G1022" s="3"/>
      <c r="H1022" s="60"/>
      <c r="I1022" s="3"/>
      <c r="J1022" s="55"/>
      <c r="K1022" s="56"/>
      <c r="L1022" s="56"/>
      <c r="M1022" s="57"/>
      <c r="N1022" s="3"/>
      <c r="O1022" s="3"/>
      <c r="P1022" s="51"/>
      <c r="Q1022" s="52">
        <f>IF(ISBLANK(P1022:P2021), "", DATEDIF(J1022:J2021, P1022:P2021, "Y"))</f>
      </c>
    </row>
    <row x14ac:dyDescent="0.25" r="1023" customHeight="1" ht="15.75">
      <c r="A1023" s="3"/>
      <c r="B1023" s="3"/>
      <c r="C1023" s="3"/>
      <c r="D1023" s="3"/>
      <c r="E1023" s="3"/>
      <c r="F1023" s="3"/>
      <c r="G1023" s="3"/>
      <c r="H1023" s="60"/>
      <c r="I1023" s="3"/>
      <c r="J1023" s="55"/>
      <c r="K1023" s="56"/>
      <c r="L1023" s="56"/>
      <c r="M1023" s="57"/>
      <c r="N1023" s="3"/>
      <c r="O1023" s="3"/>
      <c r="P1023" s="51"/>
      <c r="Q1023" s="5"/>
    </row>
    <row x14ac:dyDescent="0.25" r="1024" customHeight="1" ht="15.75">
      <c r="A1024" s="3"/>
      <c r="B1024" s="3"/>
      <c r="C1024" s="3"/>
      <c r="D1024" s="3"/>
      <c r="E1024" s="3"/>
      <c r="F1024" s="3"/>
      <c r="G1024" s="3"/>
      <c r="H1024" s="60"/>
      <c r="I1024" s="3"/>
      <c r="J1024" s="55"/>
      <c r="K1024" s="56"/>
      <c r="L1024" s="56"/>
      <c r="M1024" s="57"/>
      <c r="N1024" s="3"/>
      <c r="O1024" s="3"/>
      <c r="P1024" s="51"/>
      <c r="Q1024" s="5"/>
    </row>
    <row x14ac:dyDescent="0.25" r="1025" customHeight="1" ht="15.75">
      <c r="A1025" s="3"/>
      <c r="B1025" s="3"/>
      <c r="C1025" s="3"/>
      <c r="D1025" s="3"/>
      <c r="E1025" s="3"/>
      <c r="F1025" s="3"/>
      <c r="G1025" s="3"/>
      <c r="H1025" s="60"/>
      <c r="I1025" s="3"/>
      <c r="J1025" s="55"/>
      <c r="K1025" s="56"/>
      <c r="L1025" s="56"/>
      <c r="M1025" s="57"/>
      <c r="N1025" s="3"/>
      <c r="O1025" s="3"/>
      <c r="P1025" s="51"/>
      <c r="Q1025" s="5"/>
    </row>
    <row x14ac:dyDescent="0.25" r="1026" customHeight="1" ht="15.75">
      <c r="A1026" s="3"/>
      <c r="B1026" s="3"/>
      <c r="C1026" s="3"/>
      <c r="D1026" s="3"/>
      <c r="E1026" s="3"/>
      <c r="F1026" s="3"/>
      <c r="G1026" s="3"/>
      <c r="H1026" s="60"/>
      <c r="I1026" s="3"/>
      <c r="J1026" s="55"/>
      <c r="K1026" s="56"/>
      <c r="L1026" s="56"/>
      <c r="M1026" s="57"/>
      <c r="N1026" s="3"/>
      <c r="O1026" s="3"/>
      <c r="P1026" s="51"/>
      <c r="Q1026" s="5"/>
    </row>
    <row x14ac:dyDescent="0.25" r="1027" customHeight="1" ht="15.75">
      <c r="A1027" s="3"/>
      <c r="B1027" s="3"/>
      <c r="C1027" s="3"/>
      <c r="D1027" s="3"/>
      <c r="E1027" s="3"/>
      <c r="F1027" s="3"/>
      <c r="G1027" s="3"/>
      <c r="H1027" s="60"/>
      <c r="I1027" s="3"/>
      <c r="J1027" s="55"/>
      <c r="K1027" s="56"/>
      <c r="L1027" s="56"/>
      <c r="M1027" s="57"/>
      <c r="N1027" s="3"/>
      <c r="O1027" s="3"/>
      <c r="P1027" s="51"/>
      <c r="Q1027" s="5"/>
    </row>
    <row x14ac:dyDescent="0.25" r="1028" customHeight="1" ht="15.75">
      <c r="A1028" s="3"/>
      <c r="B1028" s="3"/>
      <c r="C1028" s="3"/>
      <c r="D1028" s="3"/>
      <c r="E1028" s="3"/>
      <c r="F1028" s="3"/>
      <c r="G1028" s="3"/>
      <c r="H1028" s="60"/>
      <c r="I1028" s="3"/>
      <c r="J1028" s="55"/>
      <c r="K1028" s="56"/>
      <c r="L1028" s="56"/>
      <c r="M1028" s="57"/>
      <c r="N1028" s="3"/>
      <c r="O1028" s="3"/>
      <c r="P1028" s="51"/>
      <c r="Q1028" s="5"/>
    </row>
    <row x14ac:dyDescent="0.25" r="1029" customHeight="1" ht="15.75">
      <c r="A1029" s="3"/>
      <c r="B1029" s="3"/>
      <c r="C1029" s="3"/>
      <c r="D1029" s="3"/>
      <c r="E1029" s="3"/>
      <c r="F1029" s="3"/>
      <c r="G1029" s="3"/>
      <c r="H1029" s="60"/>
      <c r="I1029" s="3"/>
      <c r="J1029" s="55"/>
      <c r="K1029" s="56"/>
      <c r="L1029" s="56"/>
      <c r="M1029" s="57"/>
      <c r="N1029" s="3"/>
      <c r="O1029" s="3"/>
      <c r="P1029" s="51"/>
      <c r="Q1029" s="5"/>
    </row>
    <row x14ac:dyDescent="0.25" r="1030" customHeight="1" ht="15.75">
      <c r="A1030" s="3"/>
      <c r="B1030" s="3"/>
      <c r="C1030" s="3"/>
      <c r="D1030" s="3"/>
      <c r="E1030" s="3"/>
      <c r="F1030" s="3"/>
      <c r="G1030" s="3"/>
      <c r="H1030" s="60"/>
      <c r="I1030" s="3"/>
      <c r="J1030" s="55"/>
      <c r="K1030" s="56"/>
      <c r="L1030" s="56"/>
      <c r="M1030" s="57"/>
      <c r="N1030" s="3"/>
      <c r="O1030" s="3"/>
      <c r="P1030" s="51"/>
      <c r="Q1030" s="5"/>
    </row>
    <row x14ac:dyDescent="0.25" r="1031" customHeight="1" ht="15.75">
      <c r="A1031" s="3"/>
      <c r="B1031" s="3"/>
      <c r="C1031" s="3"/>
      <c r="D1031" s="3"/>
      <c r="E1031" s="3"/>
      <c r="F1031" s="3"/>
      <c r="G1031" s="3"/>
      <c r="H1031" s="60"/>
      <c r="I1031" s="3"/>
      <c r="J1031" s="55"/>
      <c r="K1031" s="56"/>
      <c r="L1031" s="56"/>
      <c r="M1031" s="57"/>
      <c r="N1031" s="3"/>
      <c r="O1031" s="3"/>
      <c r="P1031" s="51"/>
      <c r="Q1031" s="5"/>
    </row>
    <row x14ac:dyDescent="0.25" r="1032" customHeight="1" ht="15.75">
      <c r="A1032" s="3"/>
      <c r="B1032" s="3"/>
      <c r="C1032" s="3"/>
      <c r="D1032" s="3"/>
      <c r="E1032" s="3"/>
      <c r="F1032" s="3"/>
      <c r="G1032" s="3"/>
      <c r="H1032" s="60"/>
      <c r="I1032" s="3"/>
      <c r="J1032" s="55"/>
      <c r="K1032" s="56"/>
      <c r="L1032" s="56"/>
      <c r="M1032" s="57"/>
      <c r="N1032" s="3"/>
      <c r="O1032" s="3"/>
      <c r="P1032" s="51"/>
      <c r="Q1032" s="5"/>
    </row>
    <row x14ac:dyDescent="0.25" r="1033" customHeight="1" ht="15.75">
      <c r="A1033" s="3"/>
      <c r="B1033" s="3"/>
      <c r="C1033" s="3"/>
      <c r="D1033" s="3"/>
      <c r="E1033" s="3"/>
      <c r="F1033" s="3"/>
      <c r="G1033" s="3"/>
      <c r="H1033" s="60"/>
      <c r="I1033" s="3"/>
      <c r="J1033" s="55"/>
      <c r="K1033" s="56"/>
      <c r="L1033" s="56"/>
      <c r="M1033" s="57"/>
      <c r="N1033" s="3"/>
      <c r="O1033" s="3"/>
      <c r="P1033" s="51"/>
      <c r="Q1033" s="5"/>
    </row>
    <row x14ac:dyDescent="0.25" r="1034" customHeight="1" ht="15.75">
      <c r="A1034" s="3"/>
      <c r="B1034" s="3"/>
      <c r="C1034" s="3"/>
      <c r="D1034" s="3"/>
      <c r="E1034" s="3"/>
      <c r="F1034" s="3"/>
      <c r="G1034" s="3"/>
      <c r="H1034" s="60"/>
      <c r="I1034" s="3"/>
      <c r="J1034" s="55"/>
      <c r="K1034" s="56"/>
      <c r="L1034" s="56"/>
      <c r="M1034" s="57"/>
      <c r="N1034" s="3"/>
      <c r="O1034" s="3"/>
      <c r="P1034" s="51"/>
      <c r="Q1034" s="5"/>
    </row>
    <row x14ac:dyDescent="0.25" r="1035" customHeight="1" ht="15.75">
      <c r="A1035" s="3"/>
      <c r="B1035" s="3"/>
      <c r="C1035" s="3"/>
      <c r="D1035" s="3"/>
      <c r="E1035" s="3"/>
      <c r="F1035" s="3"/>
      <c r="G1035" s="3"/>
      <c r="H1035" s="60"/>
      <c r="I1035" s="3"/>
      <c r="J1035" s="55"/>
      <c r="K1035" s="56"/>
      <c r="L1035" s="56"/>
      <c r="M1035" s="57"/>
      <c r="N1035" s="3"/>
      <c r="O1035" s="3"/>
      <c r="P1035" s="51"/>
      <c r="Q1035" s="5"/>
    </row>
    <row x14ac:dyDescent="0.25" r="1036" customHeight="1" ht="15.75">
      <c r="A1036" s="3"/>
      <c r="B1036" s="3"/>
      <c r="C1036" s="3"/>
      <c r="D1036" s="3"/>
      <c r="E1036" s="3"/>
      <c r="F1036" s="3"/>
      <c r="G1036" s="3"/>
      <c r="H1036" s="60"/>
      <c r="I1036" s="3"/>
      <c r="J1036" s="55"/>
      <c r="K1036" s="56"/>
      <c r="L1036" s="56"/>
      <c r="M1036" s="57"/>
      <c r="N1036" s="3"/>
      <c r="O1036" s="3"/>
      <c r="P1036" s="51"/>
      <c r="Q1036" s="5"/>
    </row>
    <row x14ac:dyDescent="0.25" r="1037" customHeight="1" ht="15.75">
      <c r="A1037" s="3"/>
      <c r="B1037" s="3"/>
      <c r="C1037" s="3"/>
      <c r="D1037" s="3"/>
      <c r="E1037" s="3"/>
      <c r="F1037" s="3"/>
      <c r="G1037" s="3"/>
      <c r="H1037" s="60"/>
      <c r="I1037" s="3"/>
      <c r="J1037" s="55"/>
      <c r="K1037" s="56"/>
      <c r="L1037" s="56"/>
      <c r="M1037" s="57"/>
      <c r="N1037" s="3"/>
      <c r="O1037" s="3"/>
      <c r="P1037" s="51"/>
      <c r="Q1037" s="5"/>
    </row>
    <row x14ac:dyDescent="0.25" r="1038" customHeight="1" ht="15.75">
      <c r="A1038" s="3"/>
      <c r="B1038" s="3"/>
      <c r="C1038" s="3"/>
      <c r="D1038" s="3"/>
      <c r="E1038" s="3"/>
      <c r="F1038" s="3"/>
      <c r="G1038" s="3"/>
      <c r="H1038" s="60"/>
      <c r="I1038" s="3"/>
      <c r="J1038" s="55"/>
      <c r="K1038" s="56"/>
      <c r="L1038" s="56"/>
      <c r="M1038" s="57"/>
      <c r="N1038" s="3"/>
      <c r="O1038" s="3"/>
      <c r="P1038" s="51"/>
      <c r="Q1038" s="5"/>
    </row>
    <row x14ac:dyDescent="0.25" r="1039" customHeight="1" ht="15.75">
      <c r="A1039" s="3"/>
      <c r="B1039" s="3"/>
      <c r="C1039" s="3"/>
      <c r="D1039" s="3"/>
      <c r="E1039" s="3"/>
      <c r="F1039" s="3"/>
      <c r="G1039" s="3"/>
      <c r="H1039" s="60"/>
      <c r="I1039" s="3"/>
      <c r="J1039" s="55"/>
      <c r="K1039" s="56"/>
      <c r="L1039" s="56"/>
      <c r="M1039" s="57"/>
      <c r="N1039" s="3"/>
      <c r="O1039" s="3"/>
      <c r="P1039" s="51"/>
      <c r="Q1039" s="5"/>
    </row>
    <row x14ac:dyDescent="0.25" r="1040" customHeight="1" ht="15.75">
      <c r="A1040" s="3"/>
      <c r="B1040" s="3"/>
      <c r="C1040" s="3"/>
      <c r="D1040" s="3"/>
      <c r="E1040" s="3"/>
      <c r="F1040" s="3"/>
      <c r="G1040" s="3"/>
      <c r="H1040" s="60"/>
      <c r="I1040" s="3"/>
      <c r="J1040" s="55"/>
      <c r="K1040" s="56"/>
      <c r="L1040" s="56"/>
      <c r="M1040" s="57"/>
      <c r="N1040" s="3"/>
      <c r="O1040" s="3"/>
      <c r="P1040" s="51"/>
      <c r="Q1040" s="5"/>
    </row>
    <row x14ac:dyDescent="0.25" r="1041" customHeight="1" ht="15.75">
      <c r="A1041" s="3"/>
      <c r="B1041" s="3"/>
      <c r="C1041" s="3"/>
      <c r="D1041" s="3"/>
      <c r="E1041" s="3"/>
      <c r="F1041" s="3"/>
      <c r="G1041" s="3"/>
      <c r="H1041" s="60"/>
      <c r="I1041" s="3"/>
      <c r="J1041" s="55"/>
      <c r="K1041" s="56"/>
      <c r="L1041" s="56"/>
      <c r="M1041" s="57"/>
      <c r="N1041" s="3"/>
      <c r="O1041" s="3"/>
      <c r="P1041" s="51"/>
      <c r="Q1041" s="5"/>
    </row>
    <row x14ac:dyDescent="0.25" r="1042" customHeight="1" ht="15.75">
      <c r="A1042" s="3"/>
      <c r="B1042" s="3"/>
      <c r="C1042" s="3"/>
      <c r="D1042" s="3"/>
      <c r="E1042" s="3"/>
      <c r="F1042" s="3"/>
      <c r="G1042" s="3"/>
      <c r="H1042" s="60"/>
      <c r="I1042" s="3"/>
      <c r="J1042" s="55"/>
      <c r="K1042" s="56"/>
      <c r="L1042" s="56"/>
      <c r="M1042" s="57"/>
      <c r="N1042" s="3"/>
      <c r="O1042" s="3"/>
      <c r="P1042" s="51"/>
      <c r="Q1042" s="5"/>
    </row>
    <row x14ac:dyDescent="0.25" r="1043" customHeight="1" ht="15.75">
      <c r="A1043" s="3"/>
      <c r="B1043" s="3"/>
      <c r="C1043" s="3"/>
      <c r="D1043" s="3"/>
      <c r="E1043" s="3"/>
      <c r="F1043" s="3"/>
      <c r="G1043" s="3"/>
      <c r="H1043" s="60"/>
      <c r="I1043" s="3"/>
      <c r="J1043" s="55"/>
      <c r="K1043" s="56"/>
      <c r="L1043" s="56"/>
      <c r="M1043" s="57"/>
      <c r="N1043" s="3"/>
      <c r="O1043" s="3"/>
      <c r="P1043" s="51"/>
      <c r="Q1043" s="5"/>
    </row>
    <row x14ac:dyDescent="0.25" r="1044" customHeight="1" ht="15.75">
      <c r="A1044" s="3"/>
      <c r="B1044" s="3"/>
      <c r="C1044" s="3"/>
      <c r="D1044" s="3"/>
      <c r="E1044" s="3"/>
      <c r="F1044" s="3"/>
      <c r="G1044" s="3"/>
      <c r="H1044" s="60"/>
      <c r="I1044" s="3"/>
      <c r="J1044" s="55"/>
      <c r="K1044" s="56"/>
      <c r="L1044" s="56"/>
      <c r="M1044" s="57"/>
      <c r="N1044" s="3"/>
      <c r="O1044" s="3"/>
      <c r="P1044" s="51"/>
      <c r="Q1044" s="5"/>
    </row>
    <row x14ac:dyDescent="0.25" r="1045" customHeight="1" ht="15.75">
      <c r="A1045" s="3"/>
      <c r="B1045" s="3"/>
      <c r="C1045" s="3"/>
      <c r="D1045" s="3"/>
      <c r="E1045" s="3"/>
      <c r="F1045" s="3"/>
      <c r="G1045" s="3"/>
      <c r="H1045" s="60"/>
      <c r="I1045" s="3"/>
      <c r="J1045" s="55"/>
      <c r="K1045" s="56"/>
      <c r="L1045" s="56"/>
      <c r="M1045" s="57"/>
      <c r="N1045" s="3"/>
      <c r="O1045" s="3"/>
      <c r="P1045" s="51"/>
      <c r="Q1045" s="5"/>
    </row>
    <row x14ac:dyDescent="0.25" r="1046" customHeight="1" ht="15.75">
      <c r="A1046" s="3"/>
      <c r="B1046" s="3"/>
      <c r="C1046" s="3"/>
      <c r="D1046" s="3"/>
      <c r="E1046" s="3"/>
      <c r="F1046" s="3"/>
      <c r="G1046" s="3"/>
      <c r="H1046" s="60"/>
      <c r="I1046" s="3"/>
      <c r="J1046" s="55"/>
      <c r="K1046" s="56"/>
      <c r="L1046" s="56"/>
      <c r="M1046" s="57"/>
      <c r="N1046" s="3"/>
      <c r="O1046" s="3"/>
      <c r="P1046" s="51"/>
      <c r="Q1046" s="5"/>
    </row>
    <row x14ac:dyDescent="0.25" r="1047" customHeight="1" ht="15.75">
      <c r="A1047" s="3"/>
      <c r="B1047" s="3"/>
      <c r="C1047" s="3"/>
      <c r="D1047" s="3"/>
      <c r="E1047" s="3"/>
      <c r="F1047" s="3"/>
      <c r="G1047" s="3"/>
      <c r="H1047" s="60"/>
      <c r="I1047" s="3"/>
      <c r="J1047" s="55"/>
      <c r="K1047" s="56"/>
      <c r="L1047" s="56"/>
      <c r="M1047" s="57"/>
      <c r="N1047" s="3"/>
      <c r="O1047" s="3"/>
      <c r="P1047" s="51"/>
      <c r="Q1047" s="5"/>
    </row>
    <row x14ac:dyDescent="0.25" r="1048" customHeight="1" ht="15.75">
      <c r="A1048" s="3"/>
      <c r="B1048" s="3"/>
      <c r="C1048" s="3"/>
      <c r="D1048" s="3"/>
      <c r="E1048" s="3"/>
      <c r="F1048" s="3"/>
      <c r="G1048" s="3"/>
      <c r="H1048" s="60"/>
      <c r="I1048" s="3"/>
      <c r="J1048" s="55"/>
      <c r="K1048" s="56"/>
      <c r="L1048" s="56"/>
      <c r="M1048" s="57"/>
      <c r="N1048" s="3"/>
      <c r="O1048" s="3"/>
      <c r="P1048" s="51"/>
      <c r="Q1048" s="5"/>
    </row>
    <row x14ac:dyDescent="0.25" r="1049" customHeight="1" ht="15.75">
      <c r="A1049" s="3"/>
      <c r="B1049" s="3"/>
      <c r="C1049" s="3"/>
      <c r="D1049" s="3"/>
      <c r="E1049" s="3"/>
      <c r="F1049" s="3"/>
      <c r="G1049" s="3"/>
      <c r="H1049" s="60"/>
      <c r="I1049" s="3"/>
      <c r="J1049" s="55"/>
      <c r="K1049" s="56"/>
      <c r="L1049" s="56"/>
      <c r="M1049" s="57"/>
      <c r="N1049" s="3"/>
      <c r="O1049" s="3"/>
      <c r="P1049" s="51"/>
      <c r="Q1049" s="5"/>
    </row>
    <row x14ac:dyDescent="0.25" r="1050" customHeight="1" ht="15.75">
      <c r="A1050" s="3"/>
      <c r="B1050" s="3"/>
      <c r="C1050" s="3"/>
      <c r="D1050" s="3"/>
      <c r="E1050" s="3"/>
      <c r="F1050" s="3"/>
      <c r="G1050" s="3"/>
      <c r="H1050" s="60"/>
      <c r="I1050" s="3"/>
      <c r="J1050" s="55"/>
      <c r="K1050" s="56"/>
      <c r="L1050" s="56"/>
      <c r="M1050" s="57"/>
      <c r="N1050" s="3"/>
      <c r="O1050" s="3"/>
      <c r="P1050" s="51"/>
      <c r="Q1050" s="5"/>
    </row>
    <row x14ac:dyDescent="0.25" r="1051" customHeight="1" ht="15.75">
      <c r="A1051" s="3"/>
      <c r="B1051" s="3"/>
      <c r="C1051" s="3"/>
      <c r="D1051" s="3"/>
      <c r="E1051" s="3"/>
      <c r="F1051" s="3"/>
      <c r="G1051" s="3"/>
      <c r="H1051" s="60"/>
      <c r="I1051" s="3"/>
      <c r="J1051" s="55"/>
      <c r="K1051" s="56"/>
      <c r="L1051" s="56"/>
      <c r="M1051" s="57"/>
      <c r="N1051" s="3"/>
      <c r="O1051" s="3"/>
      <c r="P1051" s="51"/>
      <c r="Q1051" s="5"/>
    </row>
    <row x14ac:dyDescent="0.25" r="1052" customHeight="1" ht="15.75">
      <c r="A1052" s="3"/>
      <c r="B1052" s="3"/>
      <c r="C1052" s="3"/>
      <c r="D1052" s="3"/>
      <c r="E1052" s="3"/>
      <c r="F1052" s="3"/>
      <c r="G1052" s="3"/>
      <c r="H1052" s="60"/>
      <c r="I1052" s="3"/>
      <c r="J1052" s="55"/>
      <c r="K1052" s="56"/>
      <c r="L1052" s="56"/>
      <c r="M1052" s="57"/>
      <c r="N1052" s="3"/>
      <c r="O1052" s="3"/>
      <c r="P1052" s="51"/>
      <c r="Q1052" s="5"/>
    </row>
    <row x14ac:dyDescent="0.25" r="1053" customHeight="1" ht="15.75">
      <c r="A1053" s="3"/>
      <c r="B1053" s="3"/>
      <c r="C1053" s="3"/>
      <c r="D1053" s="3"/>
      <c r="E1053" s="3"/>
      <c r="F1053" s="3"/>
      <c r="G1053" s="3"/>
      <c r="H1053" s="60"/>
      <c r="I1053" s="3"/>
      <c r="J1053" s="55"/>
      <c r="K1053" s="56"/>
      <c r="L1053" s="56"/>
      <c r="M1053" s="57"/>
      <c r="N1053" s="3"/>
      <c r="O1053" s="3"/>
      <c r="P1053" s="51"/>
      <c r="Q1053" s="5"/>
    </row>
    <row x14ac:dyDescent="0.25" r="1054" customHeight="1" ht="15.75">
      <c r="A1054" s="3"/>
      <c r="B1054" s="3"/>
      <c r="C1054" s="3"/>
      <c r="D1054" s="3"/>
      <c r="E1054" s="3"/>
      <c r="F1054" s="3"/>
      <c r="G1054" s="3"/>
      <c r="H1054" s="60"/>
      <c r="I1054" s="3"/>
      <c r="J1054" s="55"/>
      <c r="K1054" s="56"/>
      <c r="L1054" s="56"/>
      <c r="M1054" s="57"/>
      <c r="N1054" s="3"/>
      <c r="O1054" s="3"/>
      <c r="P1054" s="51"/>
      <c r="Q1054" s="5"/>
    </row>
    <row x14ac:dyDescent="0.25" r="1055" customHeight="1" ht="15.75">
      <c r="A1055" s="3"/>
      <c r="B1055" s="3"/>
      <c r="C1055" s="3"/>
      <c r="D1055" s="3"/>
      <c r="E1055" s="3"/>
      <c r="F1055" s="3"/>
      <c r="G1055" s="3"/>
      <c r="H1055" s="60"/>
      <c r="I1055" s="3"/>
      <c r="J1055" s="55"/>
      <c r="K1055" s="56"/>
      <c r="L1055" s="56"/>
      <c r="M1055" s="57"/>
      <c r="N1055" s="3"/>
      <c r="O1055" s="3"/>
      <c r="P1055" s="51"/>
      <c r="Q1055" s="5"/>
    </row>
    <row x14ac:dyDescent="0.25" r="1056" customHeight="1" ht="15.75">
      <c r="A1056" s="3"/>
      <c r="B1056" s="3"/>
      <c r="C1056" s="3"/>
      <c r="D1056" s="3"/>
      <c r="E1056" s="3"/>
      <c r="F1056" s="3"/>
      <c r="G1056" s="3"/>
      <c r="H1056" s="60"/>
      <c r="I1056" s="3"/>
      <c r="J1056" s="55"/>
      <c r="K1056" s="56"/>
      <c r="L1056" s="56"/>
      <c r="M1056" s="57"/>
      <c r="N1056" s="3"/>
      <c r="O1056" s="3"/>
      <c r="P1056" s="51"/>
      <c r="Q1056" s="5"/>
    </row>
    <row x14ac:dyDescent="0.25" r="1057" customHeight="1" ht="15.75">
      <c r="A1057" s="3"/>
      <c r="B1057" s="3"/>
      <c r="C1057" s="3"/>
      <c r="D1057" s="3"/>
      <c r="E1057" s="3"/>
      <c r="F1057" s="3"/>
      <c r="G1057" s="3"/>
      <c r="H1057" s="60"/>
      <c r="I1057" s="3"/>
      <c r="J1057" s="55"/>
      <c r="K1057" s="56"/>
      <c r="L1057" s="56"/>
      <c r="M1057" s="57"/>
      <c r="N1057" s="3"/>
      <c r="O1057" s="3"/>
      <c r="P1057" s="51"/>
      <c r="Q1057" s="5"/>
    </row>
    <row x14ac:dyDescent="0.25" r="1058" customHeight="1" ht="15.75">
      <c r="A1058" s="3"/>
      <c r="B1058" s="3"/>
      <c r="C1058" s="3"/>
      <c r="D1058" s="3"/>
      <c r="E1058" s="3"/>
      <c r="F1058" s="3"/>
      <c r="G1058" s="3"/>
      <c r="H1058" s="60"/>
      <c r="I1058" s="3"/>
      <c r="J1058" s="55"/>
      <c r="K1058" s="56"/>
      <c r="L1058" s="56"/>
      <c r="M1058" s="57"/>
      <c r="N1058" s="3"/>
      <c r="O1058" s="3"/>
      <c r="P1058" s="51"/>
      <c r="Q1058" s="5"/>
    </row>
    <row x14ac:dyDescent="0.25" r="1059" customHeight="1" ht="15.75">
      <c r="A1059" s="3"/>
      <c r="B1059" s="3"/>
      <c r="C1059" s="3"/>
      <c r="D1059" s="3"/>
      <c r="E1059" s="3"/>
      <c r="F1059" s="3"/>
      <c r="G1059" s="3"/>
      <c r="H1059" s="60"/>
      <c r="I1059" s="3"/>
      <c r="J1059" s="55"/>
      <c r="K1059" s="56"/>
      <c r="L1059" s="56"/>
      <c r="M1059" s="57"/>
      <c r="N1059" s="3"/>
      <c r="O1059" s="3"/>
      <c r="P1059" s="51"/>
      <c r="Q1059" s="5"/>
    </row>
    <row x14ac:dyDescent="0.25" r="1060" customHeight="1" ht="15.75">
      <c r="A1060" s="3"/>
      <c r="B1060" s="3"/>
      <c r="C1060" s="3"/>
      <c r="D1060" s="3"/>
      <c r="E1060" s="3"/>
      <c r="F1060" s="3"/>
      <c r="G1060" s="3"/>
      <c r="H1060" s="60"/>
      <c r="I1060" s="3"/>
      <c r="J1060" s="55"/>
      <c r="K1060" s="56"/>
      <c r="L1060" s="56"/>
      <c r="M1060" s="57"/>
      <c r="N1060" s="3"/>
      <c r="O1060" s="3"/>
      <c r="P1060" s="51"/>
      <c r="Q1060" s="5"/>
    </row>
    <row x14ac:dyDescent="0.25" r="1061" customHeight="1" ht="15.75">
      <c r="A1061" s="3"/>
      <c r="B1061" s="3"/>
      <c r="C1061" s="3"/>
      <c r="D1061" s="3"/>
      <c r="E1061" s="3"/>
      <c r="F1061" s="3"/>
      <c r="G1061" s="3"/>
      <c r="H1061" s="60"/>
      <c r="I1061" s="3"/>
      <c r="J1061" s="55"/>
      <c r="K1061" s="56"/>
      <c r="L1061" s="56"/>
      <c r="M1061" s="57"/>
      <c r="N1061" s="3"/>
      <c r="O1061" s="3"/>
      <c r="P1061" s="51"/>
      <c r="Q1061" s="5"/>
    </row>
    <row x14ac:dyDescent="0.25" r="1062" customHeight="1" ht="15.75">
      <c r="A1062" s="3"/>
      <c r="B1062" s="3"/>
      <c r="C1062" s="3"/>
      <c r="D1062" s="3"/>
      <c r="E1062" s="3"/>
      <c r="F1062" s="3"/>
      <c r="G1062" s="3"/>
      <c r="H1062" s="60"/>
      <c r="I1062" s="3"/>
      <c r="J1062" s="55"/>
      <c r="K1062" s="56"/>
      <c r="L1062" s="56"/>
      <c r="M1062" s="57"/>
      <c r="N1062" s="3"/>
      <c r="O1062" s="3"/>
      <c r="P1062" s="51"/>
      <c r="Q1062" s="5"/>
    </row>
    <row x14ac:dyDescent="0.25" r="1063" customHeight="1" ht="15.75">
      <c r="A1063" s="3"/>
      <c r="B1063" s="3"/>
      <c r="C1063" s="3"/>
      <c r="D1063" s="3"/>
      <c r="E1063" s="3"/>
      <c r="F1063" s="3"/>
      <c r="G1063" s="3"/>
      <c r="H1063" s="60"/>
      <c r="I1063" s="3"/>
      <c r="J1063" s="55"/>
      <c r="K1063" s="56"/>
      <c r="L1063" s="56"/>
      <c r="M1063" s="57"/>
      <c r="N1063" s="3"/>
      <c r="O1063" s="3"/>
      <c r="P1063" s="51"/>
      <c r="Q1063" s="5"/>
    </row>
    <row x14ac:dyDescent="0.25" r="1064" customHeight="1" ht="15.75">
      <c r="A1064" s="3"/>
      <c r="B1064" s="3"/>
      <c r="C1064" s="3"/>
      <c r="D1064" s="3"/>
      <c r="E1064" s="3"/>
      <c r="F1064" s="3"/>
      <c r="G1064" s="3"/>
      <c r="H1064" s="60"/>
      <c r="I1064" s="3"/>
      <c r="J1064" s="55"/>
      <c r="K1064" s="56"/>
      <c r="L1064" s="56"/>
      <c r="M1064" s="57"/>
      <c r="N1064" s="3"/>
      <c r="O1064" s="3"/>
      <c r="P1064" s="51"/>
      <c r="Q1064" s="5"/>
    </row>
    <row x14ac:dyDescent="0.25" r="1065" customHeight="1" ht="15.75">
      <c r="A1065" s="3"/>
      <c r="B1065" s="3"/>
      <c r="C1065" s="3"/>
      <c r="D1065" s="3"/>
      <c r="E1065" s="3"/>
      <c r="F1065" s="3"/>
      <c r="G1065" s="3"/>
      <c r="H1065" s="60"/>
      <c r="I1065" s="3"/>
      <c r="J1065" s="55"/>
      <c r="K1065" s="56"/>
      <c r="L1065" s="56"/>
      <c r="M1065" s="57"/>
      <c r="N1065" s="3"/>
      <c r="O1065" s="3"/>
      <c r="P1065" s="51"/>
      <c r="Q1065" s="5"/>
    </row>
    <row x14ac:dyDescent="0.25" r="1066" customHeight="1" ht="15.75">
      <c r="A1066" s="3"/>
      <c r="B1066" s="3"/>
      <c r="C1066" s="3"/>
      <c r="D1066" s="3"/>
      <c r="E1066" s="3"/>
      <c r="F1066" s="3"/>
      <c r="G1066" s="3"/>
      <c r="H1066" s="60"/>
      <c r="I1066" s="3"/>
      <c r="J1066" s="55"/>
      <c r="K1066" s="56"/>
      <c r="L1066" s="56"/>
      <c r="M1066" s="57"/>
      <c r="N1066" s="3"/>
      <c r="O1066" s="3"/>
      <c r="P1066" s="51"/>
      <c r="Q1066" s="5"/>
    </row>
    <row x14ac:dyDescent="0.25" r="1067" customHeight="1" ht="15.75">
      <c r="A1067" s="3"/>
      <c r="B1067" s="3"/>
      <c r="C1067" s="3"/>
      <c r="D1067" s="3"/>
      <c r="E1067" s="3"/>
      <c r="F1067" s="3"/>
      <c r="G1067" s="3"/>
      <c r="H1067" s="60"/>
      <c r="I1067" s="3"/>
      <c r="J1067" s="55"/>
      <c r="K1067" s="56"/>
      <c r="L1067" s="56"/>
      <c r="M1067" s="57"/>
      <c r="N1067" s="3"/>
      <c r="O1067" s="3"/>
      <c r="P1067" s="51"/>
      <c r="Q1067" s="5"/>
    </row>
    <row x14ac:dyDescent="0.25" r="1068" customHeight="1" ht="15.75">
      <c r="A1068" s="3"/>
      <c r="B1068" s="3"/>
      <c r="C1068" s="3"/>
      <c r="D1068" s="3"/>
      <c r="E1068" s="3"/>
      <c r="F1068" s="3"/>
      <c r="G1068" s="3"/>
      <c r="H1068" s="60"/>
      <c r="I1068" s="3"/>
      <c r="J1068" s="55"/>
      <c r="K1068" s="56"/>
      <c r="L1068" s="56"/>
      <c r="M1068" s="57"/>
      <c r="N1068" s="3"/>
      <c r="O1068" s="3"/>
      <c r="P1068" s="51"/>
      <c r="Q1068" s="5"/>
    </row>
    <row x14ac:dyDescent="0.25" r="1069" customHeight="1" ht="15.75">
      <c r="A1069" s="3"/>
      <c r="B1069" s="3"/>
      <c r="C1069" s="3"/>
      <c r="D1069" s="3"/>
      <c r="E1069" s="3"/>
      <c r="F1069" s="3"/>
      <c r="G1069" s="3"/>
      <c r="H1069" s="60"/>
      <c r="I1069" s="3"/>
      <c r="J1069" s="55"/>
      <c r="K1069" s="56"/>
      <c r="L1069" s="56"/>
      <c r="M1069" s="57"/>
      <c r="N1069" s="3"/>
      <c r="O1069" s="3"/>
      <c r="P1069" s="51"/>
      <c r="Q1069" s="5"/>
    </row>
    <row x14ac:dyDescent="0.25" r="1070" customHeight="1" ht="15.75">
      <c r="A1070" s="3"/>
      <c r="B1070" s="3"/>
      <c r="C1070" s="3"/>
      <c r="D1070" s="3"/>
      <c r="E1070" s="3"/>
      <c r="F1070" s="3"/>
      <c r="G1070" s="3"/>
      <c r="H1070" s="60"/>
      <c r="I1070" s="3"/>
      <c r="J1070" s="55"/>
      <c r="K1070" s="56"/>
      <c r="L1070" s="56"/>
      <c r="M1070" s="57"/>
      <c r="N1070" s="3"/>
      <c r="O1070" s="3"/>
      <c r="P1070" s="51"/>
      <c r="Q1070" s="5"/>
    </row>
    <row x14ac:dyDescent="0.25" r="1071" customHeight="1" ht="15.75">
      <c r="A1071" s="3"/>
      <c r="B1071" s="3"/>
      <c r="C1071" s="3"/>
      <c r="D1071" s="3"/>
      <c r="E1071" s="3"/>
      <c r="F1071" s="3"/>
      <c r="G1071" s="3"/>
      <c r="H1071" s="60"/>
      <c r="I1071" s="3"/>
      <c r="J1071" s="55"/>
      <c r="K1071" s="56"/>
      <c r="L1071" s="56"/>
      <c r="M1071" s="57"/>
      <c r="N1071" s="3"/>
      <c r="O1071" s="3"/>
      <c r="P1071" s="51"/>
      <c r="Q1071" s="5"/>
    </row>
    <row x14ac:dyDescent="0.25" r="1072" customHeight="1" ht="15.75">
      <c r="A1072" s="3"/>
      <c r="B1072" s="3"/>
      <c r="C1072" s="3"/>
      <c r="D1072" s="3"/>
      <c r="E1072" s="3"/>
      <c r="F1072" s="3"/>
      <c r="G1072" s="3"/>
      <c r="H1072" s="60"/>
      <c r="I1072" s="3"/>
      <c r="J1072" s="55"/>
      <c r="K1072" s="56"/>
      <c r="L1072" s="56"/>
      <c r="M1072" s="57"/>
      <c r="N1072" s="3"/>
      <c r="O1072" s="3"/>
      <c r="P1072" s="51"/>
      <c r="Q1072" s="5"/>
    </row>
    <row x14ac:dyDescent="0.25" r="1073" customHeight="1" ht="15.75">
      <c r="A1073" s="3"/>
      <c r="B1073" s="3"/>
      <c r="C1073" s="3"/>
      <c r="D1073" s="3"/>
      <c r="E1073" s="3"/>
      <c r="F1073" s="3"/>
      <c r="G1073" s="3"/>
      <c r="H1073" s="60"/>
      <c r="I1073" s="3"/>
      <c r="J1073" s="55"/>
      <c r="K1073" s="56"/>
      <c r="L1073" s="56"/>
      <c r="M1073" s="57"/>
      <c r="N1073" s="3"/>
      <c r="O1073" s="3"/>
      <c r="P1073" s="51"/>
      <c r="Q1073" s="5"/>
    </row>
    <row x14ac:dyDescent="0.25" r="1074" customHeight="1" ht="15.75">
      <c r="A1074" s="3"/>
      <c r="B1074" s="3"/>
      <c r="C1074" s="3"/>
      <c r="D1074" s="3"/>
      <c r="E1074" s="3"/>
      <c r="F1074" s="3"/>
      <c r="G1074" s="3"/>
      <c r="H1074" s="60"/>
      <c r="I1074" s="3"/>
      <c r="J1074" s="55"/>
      <c r="K1074" s="56"/>
      <c r="L1074" s="56"/>
      <c r="M1074" s="57"/>
      <c r="N1074" s="3"/>
      <c r="O1074" s="3"/>
      <c r="P1074" s="51"/>
      <c r="Q1074" s="5"/>
    </row>
    <row x14ac:dyDescent="0.25" r="1075" customHeight="1" ht="15.75">
      <c r="A1075" s="3"/>
      <c r="B1075" s="3"/>
      <c r="C1075" s="3"/>
      <c r="D1075" s="3"/>
      <c r="E1075" s="3"/>
      <c r="F1075" s="3"/>
      <c r="G1075" s="3"/>
      <c r="H1075" s="60"/>
      <c r="I1075" s="3"/>
      <c r="J1075" s="55"/>
      <c r="K1075" s="56"/>
      <c r="L1075" s="56"/>
      <c r="M1075" s="57"/>
      <c r="N1075" s="3"/>
      <c r="O1075" s="3"/>
      <c r="P1075" s="51"/>
      <c r="Q1075" s="5"/>
    </row>
    <row x14ac:dyDescent="0.25" r="1076" customHeight="1" ht="15.75">
      <c r="A1076" s="3"/>
      <c r="B1076" s="3"/>
      <c r="C1076" s="3"/>
      <c r="D1076" s="3"/>
      <c r="E1076" s="3"/>
      <c r="F1076" s="3"/>
      <c r="G1076" s="3"/>
      <c r="H1076" s="60"/>
      <c r="I1076" s="3"/>
      <c r="J1076" s="55"/>
      <c r="K1076" s="56"/>
      <c r="L1076" s="56"/>
      <c r="M1076" s="57"/>
      <c r="N1076" s="3"/>
      <c r="O1076" s="3"/>
      <c r="P1076" s="51"/>
      <c r="Q1076" s="5"/>
    </row>
    <row x14ac:dyDescent="0.25" r="1077" customHeight="1" ht="15.75">
      <c r="A1077" s="3"/>
      <c r="B1077" s="3"/>
      <c r="C1077" s="3"/>
      <c r="D1077" s="3"/>
      <c r="E1077" s="3"/>
      <c r="F1077" s="3"/>
      <c r="G1077" s="3"/>
      <c r="H1077" s="60"/>
      <c r="I1077" s="3"/>
      <c r="J1077" s="55"/>
      <c r="K1077" s="56"/>
      <c r="L1077" s="56"/>
      <c r="M1077" s="57"/>
      <c r="N1077" s="3"/>
      <c r="O1077" s="3"/>
      <c r="P1077" s="51"/>
      <c r="Q1077" s="5"/>
    </row>
    <row x14ac:dyDescent="0.25" r="1078" customHeight="1" ht="15.75">
      <c r="A1078" s="3"/>
      <c r="B1078" s="3"/>
      <c r="C1078" s="3"/>
      <c r="D1078" s="3"/>
      <c r="E1078" s="3"/>
      <c r="F1078" s="3"/>
      <c r="G1078" s="3"/>
      <c r="H1078" s="60"/>
      <c r="I1078" s="3"/>
      <c r="J1078" s="55"/>
      <c r="K1078" s="56"/>
      <c r="L1078" s="56"/>
      <c r="M1078" s="57"/>
      <c r="N1078" s="3"/>
      <c r="O1078" s="3"/>
      <c r="P1078" s="51"/>
      <c r="Q1078" s="5"/>
    </row>
    <row x14ac:dyDescent="0.25" r="1079" customHeight="1" ht="15.75">
      <c r="A1079" s="3"/>
      <c r="B1079" s="3"/>
      <c r="C1079" s="3"/>
      <c r="D1079" s="3"/>
      <c r="E1079" s="3"/>
      <c r="F1079" s="3"/>
      <c r="G1079" s="3"/>
      <c r="H1079" s="60"/>
      <c r="I1079" s="3"/>
      <c r="J1079" s="55"/>
      <c r="K1079" s="56"/>
      <c r="L1079" s="56"/>
      <c r="M1079" s="57"/>
      <c r="N1079" s="3"/>
      <c r="O1079" s="3"/>
      <c r="P1079" s="51"/>
      <c r="Q1079" s="5"/>
    </row>
    <row x14ac:dyDescent="0.25" r="1080" customHeight="1" ht="15.75">
      <c r="A1080" s="3"/>
      <c r="B1080" s="3"/>
      <c r="C1080" s="3"/>
      <c r="D1080" s="3"/>
      <c r="E1080" s="3"/>
      <c r="F1080" s="3"/>
      <c r="G1080" s="3"/>
      <c r="H1080" s="60"/>
      <c r="I1080" s="3"/>
      <c r="J1080" s="55"/>
      <c r="K1080" s="56"/>
      <c r="L1080" s="56"/>
      <c r="M1080" s="57"/>
      <c r="N1080" s="3"/>
      <c r="O1080" s="3"/>
      <c r="P1080" s="51"/>
      <c r="Q1080" s="5"/>
    </row>
    <row x14ac:dyDescent="0.25" r="1081" customHeight="1" ht="15.75">
      <c r="A1081" s="3"/>
      <c r="B1081" s="3"/>
      <c r="C1081" s="3"/>
      <c r="D1081" s="3"/>
      <c r="E1081" s="3"/>
      <c r="F1081" s="3"/>
      <c r="G1081" s="3"/>
      <c r="H1081" s="60"/>
      <c r="I1081" s="3"/>
      <c r="J1081" s="55"/>
      <c r="K1081" s="56"/>
      <c r="L1081" s="56"/>
      <c r="M1081" s="57"/>
      <c r="N1081" s="3"/>
      <c r="O1081" s="3"/>
      <c r="P1081" s="51"/>
      <c r="Q1081" s="5"/>
    </row>
    <row x14ac:dyDescent="0.25" r="1082" customHeight="1" ht="15.75">
      <c r="A1082" s="3"/>
      <c r="B1082" s="3"/>
      <c r="C1082" s="3"/>
      <c r="D1082" s="3"/>
      <c r="E1082" s="3"/>
      <c r="F1082" s="3"/>
      <c r="G1082" s="3"/>
      <c r="H1082" s="60"/>
      <c r="I1082" s="3"/>
      <c r="J1082" s="55"/>
      <c r="K1082" s="56"/>
      <c r="L1082" s="56"/>
      <c r="M1082" s="57"/>
      <c r="N1082" s="3"/>
      <c r="O1082" s="3"/>
      <c r="P1082" s="51"/>
      <c r="Q1082" s="5"/>
    </row>
    <row x14ac:dyDescent="0.25" r="1083" customHeight="1" ht="15.75">
      <c r="A1083" s="3"/>
      <c r="B1083" s="3"/>
      <c r="C1083" s="3"/>
      <c r="D1083" s="3"/>
      <c r="E1083" s="3"/>
      <c r="F1083" s="3"/>
      <c r="G1083" s="3"/>
      <c r="H1083" s="60"/>
      <c r="I1083" s="3"/>
      <c r="J1083" s="55"/>
      <c r="K1083" s="56"/>
      <c r="L1083" s="56"/>
      <c r="M1083" s="57"/>
      <c r="N1083" s="3"/>
      <c r="O1083" s="3"/>
      <c r="P1083" s="51"/>
      <c r="Q1083" s="5"/>
    </row>
    <row x14ac:dyDescent="0.25" r="1084" customHeight="1" ht="15.75">
      <c r="A1084" s="3"/>
      <c r="B1084" s="3"/>
      <c r="C1084" s="3"/>
      <c r="D1084" s="3"/>
      <c r="E1084" s="3"/>
      <c r="F1084" s="3"/>
      <c r="G1084" s="3"/>
      <c r="H1084" s="60"/>
      <c r="I1084" s="3"/>
      <c r="J1084" s="55"/>
      <c r="K1084" s="56"/>
      <c r="L1084" s="56"/>
      <c r="M1084" s="57"/>
      <c r="N1084" s="3"/>
      <c r="O1084" s="3"/>
      <c r="P1084" s="51"/>
      <c r="Q1084" s="5"/>
    </row>
    <row x14ac:dyDescent="0.25" r="1085" customHeight="1" ht="15.75">
      <c r="A1085" s="3"/>
      <c r="B1085" s="3"/>
      <c r="C1085" s="3"/>
      <c r="D1085" s="3"/>
      <c r="E1085" s="3"/>
      <c r="F1085" s="3"/>
      <c r="G1085" s="3"/>
      <c r="H1085" s="60"/>
      <c r="I1085" s="3"/>
      <c r="J1085" s="55"/>
      <c r="K1085" s="56"/>
      <c r="L1085" s="56"/>
      <c r="M1085" s="57"/>
      <c r="N1085" s="3"/>
      <c r="O1085" s="3"/>
      <c r="P1085" s="51"/>
      <c r="Q1085" s="5"/>
    </row>
    <row x14ac:dyDescent="0.25" r="1086" customHeight="1" ht="15.75">
      <c r="A1086" s="3"/>
      <c r="B1086" s="3"/>
      <c r="C1086" s="3"/>
      <c r="D1086" s="3"/>
      <c r="E1086" s="3"/>
      <c r="F1086" s="3"/>
      <c r="G1086" s="3"/>
      <c r="H1086" s="60"/>
      <c r="I1086" s="3"/>
      <c r="J1086" s="55"/>
      <c r="K1086" s="56"/>
      <c r="L1086" s="56"/>
      <c r="M1086" s="57"/>
      <c r="N1086" s="3"/>
      <c r="O1086" s="3"/>
      <c r="P1086" s="51"/>
      <c r="Q1086" s="5"/>
    </row>
    <row x14ac:dyDescent="0.25" r="1087" customHeight="1" ht="15.75">
      <c r="A1087" s="3"/>
      <c r="B1087" s="3"/>
      <c r="C1087" s="3"/>
      <c r="D1087" s="3"/>
      <c r="E1087" s="3"/>
      <c r="F1087" s="3"/>
      <c r="G1087" s="3"/>
      <c r="H1087" s="60"/>
      <c r="I1087" s="3"/>
      <c r="J1087" s="55"/>
      <c r="K1087" s="56"/>
      <c r="L1087" s="56"/>
      <c r="M1087" s="57"/>
      <c r="N1087" s="3"/>
      <c r="O1087" s="3"/>
      <c r="P1087" s="51"/>
      <c r="Q1087" s="5"/>
    </row>
    <row x14ac:dyDescent="0.25" r="1088" customHeight="1" ht="15.75">
      <c r="A1088" s="3"/>
      <c r="B1088" s="3"/>
      <c r="C1088" s="3"/>
      <c r="D1088" s="3"/>
      <c r="E1088" s="3"/>
      <c r="F1088" s="3"/>
      <c r="G1088" s="3"/>
      <c r="H1088" s="60"/>
      <c r="I1088" s="3"/>
      <c r="J1088" s="55"/>
      <c r="K1088" s="56"/>
      <c r="L1088" s="56"/>
      <c r="M1088" s="57"/>
      <c r="N1088" s="3"/>
      <c r="O1088" s="3"/>
      <c r="P1088" s="51"/>
      <c r="Q1088" s="5"/>
    </row>
    <row x14ac:dyDescent="0.25" r="1089" customHeight="1" ht="15.75">
      <c r="A1089" s="3"/>
      <c r="B1089" s="3"/>
      <c r="C1089" s="3"/>
      <c r="D1089" s="3"/>
      <c r="E1089" s="3"/>
      <c r="F1089" s="3"/>
      <c r="G1089" s="3"/>
      <c r="H1089" s="60"/>
      <c r="I1089" s="3"/>
      <c r="J1089" s="55"/>
      <c r="K1089" s="56"/>
      <c r="L1089" s="56"/>
      <c r="M1089" s="57"/>
      <c r="N1089" s="3"/>
      <c r="O1089" s="3"/>
      <c r="P1089" s="51"/>
      <c r="Q1089" s="5"/>
    </row>
    <row x14ac:dyDescent="0.25" r="1090" customHeight="1" ht="15.75">
      <c r="A1090" s="3"/>
      <c r="B1090" s="3"/>
      <c r="C1090" s="3"/>
      <c r="D1090" s="3"/>
      <c r="E1090" s="3"/>
      <c r="F1090" s="3"/>
      <c r="G1090" s="3"/>
      <c r="H1090" s="60"/>
      <c r="I1090" s="3"/>
      <c r="J1090" s="55"/>
      <c r="K1090" s="56"/>
      <c r="L1090" s="56"/>
      <c r="M1090" s="57"/>
      <c r="N1090" s="3"/>
      <c r="O1090" s="3"/>
      <c r="P1090" s="51"/>
      <c r="Q1090" s="5"/>
    </row>
    <row x14ac:dyDescent="0.25" r="1091" customHeight="1" ht="15.75">
      <c r="A1091" s="3"/>
      <c r="B1091" s="3"/>
      <c r="C1091" s="3"/>
      <c r="D1091" s="3"/>
      <c r="E1091" s="3"/>
      <c r="F1091" s="3"/>
      <c r="G1091" s="3"/>
      <c r="H1091" s="60"/>
      <c r="I1091" s="3"/>
      <c r="J1091" s="55"/>
      <c r="K1091" s="56"/>
      <c r="L1091" s="56"/>
      <c r="M1091" s="57"/>
      <c r="N1091" s="3"/>
      <c r="O1091" s="3"/>
      <c r="P1091" s="51"/>
      <c r="Q1091" s="5"/>
    </row>
    <row x14ac:dyDescent="0.25" r="1092" customHeight="1" ht="15.75">
      <c r="A1092" s="3"/>
      <c r="B1092" s="3"/>
      <c r="C1092" s="3"/>
      <c r="D1092" s="3"/>
      <c r="E1092" s="3"/>
      <c r="F1092" s="3"/>
      <c r="G1092" s="3"/>
      <c r="H1092" s="60"/>
      <c r="I1092" s="3"/>
      <c r="J1092" s="55"/>
      <c r="K1092" s="56"/>
      <c r="L1092" s="56"/>
      <c r="M1092" s="57"/>
      <c r="N1092" s="3"/>
      <c r="O1092" s="3"/>
      <c r="P1092" s="51"/>
      <c r="Q1092" s="5"/>
    </row>
    <row x14ac:dyDescent="0.25" r="1093" customHeight="1" ht="15.75">
      <c r="A1093" s="3"/>
      <c r="B1093" s="3"/>
      <c r="C1093" s="3"/>
      <c r="D1093" s="3"/>
      <c r="E1093" s="3"/>
      <c r="F1093" s="3"/>
      <c r="G1093" s="3"/>
      <c r="H1093" s="60"/>
      <c r="I1093" s="3"/>
      <c r="J1093" s="55"/>
      <c r="K1093" s="56"/>
      <c r="L1093" s="56"/>
      <c r="M1093" s="57"/>
      <c r="N1093" s="3"/>
      <c r="O1093" s="3"/>
      <c r="P1093" s="51"/>
      <c r="Q1093" s="5"/>
    </row>
    <row x14ac:dyDescent="0.25" r="1094" customHeight="1" ht="15.75">
      <c r="A1094" s="3"/>
      <c r="B1094" s="3"/>
      <c r="C1094" s="3"/>
      <c r="D1094" s="3"/>
      <c r="E1094" s="3"/>
      <c r="F1094" s="3"/>
      <c r="G1094" s="3"/>
      <c r="H1094" s="60"/>
      <c r="I1094" s="3"/>
      <c r="J1094" s="55"/>
      <c r="K1094" s="56"/>
      <c r="L1094" s="56"/>
      <c r="M1094" s="57"/>
      <c r="N1094" s="3"/>
      <c r="O1094" s="3"/>
      <c r="P1094" s="51"/>
      <c r="Q1094" s="5"/>
    </row>
    <row x14ac:dyDescent="0.25" r="1095" customHeight="1" ht="15.75">
      <c r="A1095" s="3"/>
      <c r="B1095" s="3"/>
      <c r="C1095" s="3"/>
      <c r="D1095" s="3"/>
      <c r="E1095" s="3"/>
      <c r="F1095" s="3"/>
      <c r="G1095" s="3"/>
      <c r="H1095" s="60"/>
      <c r="I1095" s="3"/>
      <c r="J1095" s="55"/>
      <c r="K1095" s="56"/>
      <c r="L1095" s="56"/>
      <c r="M1095" s="57"/>
      <c r="N1095" s="3"/>
      <c r="O1095" s="3"/>
      <c r="P1095" s="51"/>
      <c r="Q1095" s="5"/>
    </row>
    <row x14ac:dyDescent="0.25" r="1096" customHeight="1" ht="15.75">
      <c r="A1096" s="3"/>
      <c r="B1096" s="3"/>
      <c r="C1096" s="3"/>
      <c r="D1096" s="3"/>
      <c r="E1096" s="3"/>
      <c r="F1096" s="3"/>
      <c r="G1096" s="3"/>
      <c r="H1096" s="60"/>
      <c r="I1096" s="3"/>
      <c r="J1096" s="55"/>
      <c r="K1096" s="56"/>
      <c r="L1096" s="56"/>
      <c r="M1096" s="57"/>
      <c r="N1096" s="3"/>
      <c r="O1096" s="3"/>
      <c r="P1096" s="51"/>
      <c r="Q1096" s="5"/>
    </row>
    <row x14ac:dyDescent="0.25" r="1097" customHeight="1" ht="15.75">
      <c r="A1097" s="3"/>
      <c r="B1097" s="3"/>
      <c r="C1097" s="3"/>
      <c r="D1097" s="3"/>
      <c r="E1097" s="3"/>
      <c r="F1097" s="3"/>
      <c r="G1097" s="3"/>
      <c r="H1097" s="60"/>
      <c r="I1097" s="3"/>
      <c r="J1097" s="55"/>
      <c r="K1097" s="56"/>
      <c r="L1097" s="56"/>
      <c r="M1097" s="57"/>
      <c r="N1097" s="3"/>
      <c r="O1097" s="3"/>
      <c r="P1097" s="51"/>
      <c r="Q1097" s="5"/>
    </row>
    <row x14ac:dyDescent="0.25" r="1098" customHeight="1" ht="15.75">
      <c r="A1098" s="3"/>
      <c r="B1098" s="3"/>
      <c r="C1098" s="3"/>
      <c r="D1098" s="3"/>
      <c r="E1098" s="3"/>
      <c r="F1098" s="3"/>
      <c r="G1098" s="3"/>
      <c r="H1098" s="60"/>
      <c r="I1098" s="3"/>
      <c r="J1098" s="55"/>
      <c r="K1098" s="56"/>
      <c r="L1098" s="56"/>
      <c r="M1098" s="57"/>
      <c r="N1098" s="3"/>
      <c r="O1098" s="3"/>
      <c r="P1098" s="51"/>
      <c r="Q1098" s="5"/>
    </row>
    <row x14ac:dyDescent="0.25" r="1099" customHeight="1" ht="15.75">
      <c r="A1099" s="3"/>
      <c r="B1099" s="3"/>
      <c r="C1099" s="3"/>
      <c r="D1099" s="3"/>
      <c r="E1099" s="3"/>
      <c r="F1099" s="3"/>
      <c r="G1099" s="3"/>
      <c r="H1099" s="60"/>
      <c r="I1099" s="3"/>
      <c r="J1099" s="55"/>
      <c r="K1099" s="56"/>
      <c r="L1099" s="56"/>
      <c r="M1099" s="57"/>
      <c r="N1099" s="3"/>
      <c r="O1099" s="3"/>
      <c r="P1099" s="51"/>
      <c r="Q1099" s="5"/>
    </row>
    <row x14ac:dyDescent="0.25" r="1100" customHeight="1" ht="15.75">
      <c r="A1100" s="3"/>
      <c r="B1100" s="3"/>
      <c r="C1100" s="3"/>
      <c r="D1100" s="3"/>
      <c r="E1100" s="3"/>
      <c r="F1100" s="3"/>
      <c r="G1100" s="3"/>
      <c r="H1100" s="60"/>
      <c r="I1100" s="3"/>
      <c r="J1100" s="55"/>
      <c r="K1100" s="56"/>
      <c r="L1100" s="56"/>
      <c r="M1100" s="57"/>
      <c r="N1100" s="3"/>
      <c r="O1100" s="3"/>
      <c r="P1100" s="51"/>
      <c r="Q1100" s="5"/>
    </row>
    <row x14ac:dyDescent="0.25" r="1101" customHeight="1" ht="15.75">
      <c r="A1101" s="3"/>
      <c r="B1101" s="3"/>
      <c r="C1101" s="3"/>
      <c r="D1101" s="3"/>
      <c r="E1101" s="3"/>
      <c r="F1101" s="3"/>
      <c r="G1101" s="3"/>
      <c r="H1101" s="60"/>
      <c r="I1101" s="3"/>
      <c r="J1101" s="55"/>
      <c r="K1101" s="56"/>
      <c r="L1101" s="56"/>
      <c r="M1101" s="57"/>
      <c r="N1101" s="3"/>
      <c r="O1101" s="3"/>
      <c r="P1101" s="51"/>
      <c r="Q1101" s="5"/>
    </row>
    <row x14ac:dyDescent="0.25" r="1102" customHeight="1" ht="15.75">
      <c r="A1102" s="3"/>
      <c r="B1102" s="3"/>
      <c r="C1102" s="3"/>
      <c r="D1102" s="3"/>
      <c r="E1102" s="3"/>
      <c r="F1102" s="3"/>
      <c r="G1102" s="3"/>
      <c r="H1102" s="60"/>
      <c r="I1102" s="3"/>
      <c r="J1102" s="55"/>
      <c r="K1102" s="56"/>
      <c r="L1102" s="56"/>
      <c r="M1102" s="57"/>
      <c r="N1102" s="3"/>
      <c r="O1102" s="3"/>
      <c r="P1102" s="51"/>
      <c r="Q1102" s="5"/>
    </row>
    <row x14ac:dyDescent="0.25" r="1103" customHeight="1" ht="15.75">
      <c r="A1103" s="3"/>
      <c r="B1103" s="3"/>
      <c r="C1103" s="3"/>
      <c r="D1103" s="3"/>
      <c r="E1103" s="3"/>
      <c r="F1103" s="3"/>
      <c r="G1103" s="3"/>
      <c r="H1103" s="60"/>
      <c r="I1103" s="3"/>
      <c r="J1103" s="55"/>
      <c r="K1103" s="56"/>
      <c r="L1103" s="56"/>
      <c r="M1103" s="57"/>
      <c r="N1103" s="3"/>
      <c r="O1103" s="3"/>
      <c r="P1103" s="51"/>
      <c r="Q1103" s="5"/>
    </row>
    <row x14ac:dyDescent="0.25" r="1104" customHeight="1" ht="15.75">
      <c r="A1104" s="3"/>
      <c r="B1104" s="3"/>
      <c r="C1104" s="3"/>
      <c r="D1104" s="3"/>
      <c r="E1104" s="3"/>
      <c r="F1104" s="3"/>
      <c r="G1104" s="3"/>
      <c r="H1104" s="60"/>
      <c r="I1104" s="3"/>
      <c r="J1104" s="55"/>
      <c r="K1104" s="56"/>
      <c r="L1104" s="56"/>
      <c r="M1104" s="57"/>
      <c r="N1104" s="3"/>
      <c r="O1104" s="3"/>
      <c r="P1104" s="51"/>
      <c r="Q1104" s="5"/>
    </row>
    <row x14ac:dyDescent="0.25" r="1105" customHeight="1" ht="15.75">
      <c r="A1105" s="3"/>
      <c r="B1105" s="3"/>
      <c r="C1105" s="3"/>
      <c r="D1105" s="3"/>
      <c r="E1105" s="3"/>
      <c r="F1105" s="3"/>
      <c r="G1105" s="3"/>
      <c r="H1105" s="60"/>
      <c r="I1105" s="3"/>
      <c r="J1105" s="55"/>
      <c r="K1105" s="56"/>
      <c r="L1105" s="56"/>
      <c r="M1105" s="57"/>
      <c r="N1105" s="3"/>
      <c r="O1105" s="3"/>
      <c r="P1105" s="51"/>
      <c r="Q1105" s="5"/>
    </row>
    <row x14ac:dyDescent="0.25" r="1106" customHeight="1" ht="15.75">
      <c r="A1106" s="3"/>
      <c r="B1106" s="3"/>
      <c r="C1106" s="3"/>
      <c r="D1106" s="3"/>
      <c r="E1106" s="3"/>
      <c r="F1106" s="3"/>
      <c r="G1106" s="3"/>
      <c r="H1106" s="60"/>
      <c r="I1106" s="3"/>
      <c r="J1106" s="55"/>
      <c r="K1106" s="56"/>
      <c r="L1106" s="56"/>
      <c r="M1106" s="57"/>
      <c r="N1106" s="3"/>
      <c r="O1106" s="3"/>
      <c r="P1106" s="51"/>
      <c r="Q1106" s="5"/>
    </row>
    <row x14ac:dyDescent="0.25" r="1107" customHeight="1" ht="15.75">
      <c r="A1107" s="3"/>
      <c r="B1107" s="3"/>
      <c r="C1107" s="3"/>
      <c r="D1107" s="3"/>
      <c r="E1107" s="3"/>
      <c r="F1107" s="3"/>
      <c r="G1107" s="3"/>
      <c r="H1107" s="60"/>
      <c r="I1107" s="3"/>
      <c r="J1107" s="55"/>
      <c r="K1107" s="56"/>
      <c r="L1107" s="56"/>
      <c r="M1107" s="57"/>
      <c r="N1107" s="3"/>
      <c r="O1107" s="3"/>
      <c r="P1107" s="51"/>
      <c r="Q1107" s="5"/>
    </row>
    <row x14ac:dyDescent="0.25" r="1108" customHeight="1" ht="15.75">
      <c r="A1108" s="3"/>
      <c r="B1108" s="3"/>
      <c r="C1108" s="3"/>
      <c r="D1108" s="3"/>
      <c r="E1108" s="3"/>
      <c r="F1108" s="3"/>
      <c r="G1108" s="3"/>
      <c r="H1108" s="60"/>
      <c r="I1108" s="3"/>
      <c r="J1108" s="55"/>
      <c r="K1108" s="56"/>
      <c r="L1108" s="56"/>
      <c r="M1108" s="57"/>
      <c r="N1108" s="3"/>
      <c r="O1108" s="3"/>
      <c r="P1108" s="51"/>
      <c r="Q1108" s="5"/>
    </row>
    <row x14ac:dyDescent="0.25" r="1109" customHeight="1" ht="15.75">
      <c r="A1109" s="3"/>
      <c r="B1109" s="3"/>
      <c r="C1109" s="3"/>
      <c r="D1109" s="3"/>
      <c r="E1109" s="3"/>
      <c r="F1109" s="3"/>
      <c r="G1109" s="3"/>
      <c r="H1109" s="60"/>
      <c r="I1109" s="3"/>
      <c r="J1109" s="55"/>
      <c r="K1109" s="56"/>
      <c r="L1109" s="56"/>
      <c r="M1109" s="57"/>
      <c r="N1109" s="3"/>
      <c r="O1109" s="3"/>
      <c r="P1109" s="51"/>
      <c r="Q1109" s="5"/>
    </row>
    <row x14ac:dyDescent="0.25" r="1110" customHeight="1" ht="15.75">
      <c r="A1110" s="3"/>
      <c r="B1110" s="3"/>
      <c r="C1110" s="3"/>
      <c r="D1110" s="3"/>
      <c r="E1110" s="3"/>
      <c r="F1110" s="3"/>
      <c r="G1110" s="3"/>
      <c r="H1110" s="60"/>
      <c r="I1110" s="3"/>
      <c r="J1110" s="55"/>
      <c r="K1110" s="56"/>
      <c r="L1110" s="56"/>
      <c r="M1110" s="57"/>
      <c r="N1110" s="3"/>
      <c r="O1110" s="3"/>
      <c r="P1110" s="51"/>
      <c r="Q1110" s="5"/>
    </row>
    <row x14ac:dyDescent="0.25" r="1111" customHeight="1" ht="15.75">
      <c r="A1111" s="3"/>
      <c r="B1111" s="3"/>
      <c r="C1111" s="3"/>
      <c r="D1111" s="3"/>
      <c r="E1111" s="3"/>
      <c r="F1111" s="3"/>
      <c r="G1111" s="3"/>
      <c r="H1111" s="60"/>
      <c r="I1111" s="3"/>
      <c r="J1111" s="55"/>
      <c r="K1111" s="56"/>
      <c r="L1111" s="56"/>
      <c r="M1111" s="57"/>
      <c r="N1111" s="3"/>
      <c r="O1111" s="3"/>
      <c r="P1111" s="51"/>
      <c r="Q1111" s="5"/>
    </row>
    <row x14ac:dyDescent="0.25" r="1112" customHeight="1" ht="15.75">
      <c r="A1112" s="3"/>
      <c r="B1112" s="3"/>
      <c r="C1112" s="3"/>
      <c r="D1112" s="3"/>
      <c r="E1112" s="3"/>
      <c r="F1112" s="3"/>
      <c r="G1112" s="3"/>
      <c r="H1112" s="60"/>
      <c r="I1112" s="3"/>
      <c r="J1112" s="55"/>
      <c r="K1112" s="56"/>
      <c r="L1112" s="56"/>
      <c r="M1112" s="57"/>
      <c r="N1112" s="3"/>
      <c r="O1112" s="3"/>
      <c r="P1112" s="51"/>
      <c r="Q1112" s="5"/>
    </row>
    <row x14ac:dyDescent="0.25" r="1113" customHeight="1" ht="15.75">
      <c r="A1113" s="3"/>
      <c r="B1113" s="3"/>
      <c r="C1113" s="3"/>
      <c r="D1113" s="3"/>
      <c r="E1113" s="3"/>
      <c r="F1113" s="3"/>
      <c r="G1113" s="3"/>
      <c r="H1113" s="60"/>
      <c r="I1113" s="3"/>
      <c r="J1113" s="55"/>
      <c r="K1113" s="56"/>
      <c r="L1113" s="56"/>
      <c r="M1113" s="57"/>
      <c r="N1113" s="3"/>
      <c r="O1113" s="3"/>
      <c r="P1113" s="51"/>
      <c r="Q1113" s="5"/>
    </row>
    <row x14ac:dyDescent="0.25" r="1114" customHeight="1" ht="15.75">
      <c r="A1114" s="3"/>
      <c r="B1114" s="3"/>
      <c r="C1114" s="3"/>
      <c r="D1114" s="3"/>
      <c r="E1114" s="3"/>
      <c r="F1114" s="3"/>
      <c r="G1114" s="3"/>
      <c r="H1114" s="60"/>
      <c r="I1114" s="3"/>
      <c r="J1114" s="55"/>
      <c r="K1114" s="56"/>
      <c r="L1114" s="56"/>
      <c r="M1114" s="57"/>
      <c r="N1114" s="3"/>
      <c r="O1114" s="3"/>
      <c r="P1114" s="51"/>
      <c r="Q1114" s="5"/>
    </row>
    <row x14ac:dyDescent="0.25" r="1115" customHeight="1" ht="15.75">
      <c r="A1115" s="3"/>
      <c r="B1115" s="3"/>
      <c r="C1115" s="3"/>
      <c r="D1115" s="3"/>
      <c r="E1115" s="3"/>
      <c r="F1115" s="3"/>
      <c r="G1115" s="3"/>
      <c r="H1115" s="60"/>
      <c r="I1115" s="3"/>
      <c r="J1115" s="55"/>
      <c r="K1115" s="56"/>
      <c r="L1115" s="56"/>
      <c r="M1115" s="57"/>
      <c r="N1115" s="3"/>
      <c r="O1115" s="3"/>
      <c r="P1115" s="51"/>
      <c r="Q1115" s="5"/>
    </row>
    <row x14ac:dyDescent="0.25" r="1116" customHeight="1" ht="15.75">
      <c r="A1116" s="3"/>
      <c r="B1116" s="3"/>
      <c r="C1116" s="3"/>
      <c r="D1116" s="3"/>
      <c r="E1116" s="3"/>
      <c r="F1116" s="3"/>
      <c r="G1116" s="3"/>
      <c r="H1116" s="60"/>
      <c r="I1116" s="3"/>
      <c r="J1116" s="55"/>
      <c r="K1116" s="56"/>
      <c r="L1116" s="56"/>
      <c r="M1116" s="57"/>
      <c r="N1116" s="3"/>
      <c r="O1116" s="3"/>
      <c r="P1116" s="51"/>
      <c r="Q1116" s="5"/>
    </row>
    <row x14ac:dyDescent="0.25" r="1117" customHeight="1" ht="15.75">
      <c r="A1117" s="3"/>
      <c r="B1117" s="3"/>
      <c r="C1117" s="3"/>
      <c r="D1117" s="3"/>
      <c r="E1117" s="3"/>
      <c r="F1117" s="3"/>
      <c r="G1117" s="3"/>
      <c r="H1117" s="60"/>
      <c r="I1117" s="3"/>
      <c r="J1117" s="55"/>
      <c r="K1117" s="56"/>
      <c r="L1117" s="56"/>
      <c r="M1117" s="57"/>
      <c r="N1117" s="3"/>
      <c r="O1117" s="3"/>
      <c r="P1117" s="51"/>
      <c r="Q1117" s="5"/>
    </row>
    <row x14ac:dyDescent="0.25" r="1118" customHeight="1" ht="15.75">
      <c r="A1118" s="3"/>
      <c r="B1118" s="3"/>
      <c r="C1118" s="3"/>
      <c r="D1118" s="3"/>
      <c r="E1118" s="3"/>
      <c r="F1118" s="3"/>
      <c r="G1118" s="3"/>
      <c r="H1118" s="60"/>
      <c r="I1118" s="3"/>
      <c r="J1118" s="55"/>
      <c r="K1118" s="56"/>
      <c r="L1118" s="56"/>
      <c r="M1118" s="57"/>
      <c r="N1118" s="3"/>
      <c r="O1118" s="3"/>
      <c r="P1118" s="51"/>
      <c r="Q1118" s="5"/>
    </row>
    <row x14ac:dyDescent="0.25" r="1119" customHeight="1" ht="15.75">
      <c r="A1119" s="3"/>
      <c r="B1119" s="3"/>
      <c r="C1119" s="3"/>
      <c r="D1119" s="3"/>
      <c r="E1119" s="3"/>
      <c r="F1119" s="3"/>
      <c r="G1119" s="3"/>
      <c r="H1119" s="60"/>
      <c r="I1119" s="3"/>
      <c r="J1119" s="55"/>
      <c r="K1119" s="56"/>
      <c r="L1119" s="56"/>
      <c r="M1119" s="57"/>
      <c r="N1119" s="3"/>
      <c r="O1119" s="3"/>
      <c r="P1119" s="51"/>
      <c r="Q1119" s="5"/>
    </row>
    <row x14ac:dyDescent="0.25" r="1120" customHeight="1" ht="15.75">
      <c r="A1120" s="3"/>
      <c r="B1120" s="3"/>
      <c r="C1120" s="3"/>
      <c r="D1120" s="3"/>
      <c r="E1120" s="3"/>
      <c r="F1120" s="3"/>
      <c r="G1120" s="3"/>
      <c r="H1120" s="60"/>
      <c r="I1120" s="3"/>
      <c r="J1120" s="55"/>
      <c r="K1120" s="56"/>
      <c r="L1120" s="56"/>
      <c r="M1120" s="57"/>
      <c r="N1120" s="3"/>
      <c r="O1120" s="3"/>
      <c r="P1120" s="51"/>
      <c r="Q1120" s="5"/>
    </row>
    <row x14ac:dyDescent="0.25" r="1121" customHeight="1" ht="15.75">
      <c r="A1121" s="3"/>
      <c r="B1121" s="3"/>
      <c r="C1121" s="3"/>
      <c r="D1121" s="3"/>
      <c r="E1121" s="3"/>
      <c r="F1121" s="3"/>
      <c r="G1121" s="3"/>
      <c r="H1121" s="60"/>
      <c r="I1121" s="3"/>
      <c r="J1121" s="55"/>
      <c r="K1121" s="56"/>
      <c r="L1121" s="56"/>
      <c r="M1121" s="57"/>
      <c r="N1121" s="3"/>
      <c r="O1121" s="3"/>
      <c r="P1121" s="51"/>
      <c r="Q1121" s="5"/>
    </row>
    <row x14ac:dyDescent="0.25" r="1122" customHeight="1" ht="15.75">
      <c r="A1122" s="3"/>
      <c r="B1122" s="3"/>
      <c r="C1122" s="3"/>
      <c r="D1122" s="3"/>
      <c r="E1122" s="3"/>
      <c r="F1122" s="3"/>
      <c r="G1122" s="3"/>
      <c r="H1122" s="60"/>
      <c r="I1122" s="3"/>
      <c r="J1122" s="55"/>
      <c r="K1122" s="56"/>
      <c r="L1122" s="56"/>
      <c r="M1122" s="57"/>
      <c r="N1122" s="3"/>
      <c r="O1122" s="3"/>
      <c r="P1122" s="51"/>
      <c r="Q1122" s="5"/>
    </row>
    <row x14ac:dyDescent="0.25" r="1123" customHeight="1" ht="15.75">
      <c r="A1123" s="3"/>
      <c r="B1123" s="3"/>
      <c r="C1123" s="3"/>
      <c r="D1123" s="3"/>
      <c r="E1123" s="3"/>
      <c r="F1123" s="3"/>
      <c r="G1123" s="3"/>
      <c r="H1123" s="60"/>
      <c r="I1123" s="3"/>
      <c r="J1123" s="55"/>
      <c r="K1123" s="56"/>
      <c r="L1123" s="56"/>
      <c r="M1123" s="57"/>
      <c r="N1123" s="3"/>
      <c r="O1123" s="3"/>
      <c r="P1123" s="51"/>
      <c r="Q1123" s="5"/>
    </row>
    <row x14ac:dyDescent="0.25" r="1124" customHeight="1" ht="15.75">
      <c r="A1124" s="3"/>
      <c r="B1124" s="3"/>
      <c r="C1124" s="3"/>
      <c r="D1124" s="3"/>
      <c r="E1124" s="3"/>
      <c r="F1124" s="3"/>
      <c r="G1124" s="3"/>
      <c r="H1124" s="60"/>
      <c r="I1124" s="3"/>
      <c r="J1124" s="55"/>
      <c r="K1124" s="56"/>
      <c r="L1124" s="56"/>
      <c r="M1124" s="57"/>
      <c r="N1124" s="3"/>
      <c r="O1124" s="3"/>
      <c r="P1124" s="51"/>
      <c r="Q1124" s="5"/>
    </row>
    <row x14ac:dyDescent="0.25" r="1125" customHeight="1" ht="15.75">
      <c r="A1125" s="3"/>
      <c r="B1125" s="3"/>
      <c r="C1125" s="3"/>
      <c r="D1125" s="3"/>
      <c r="E1125" s="3"/>
      <c r="F1125" s="3"/>
      <c r="G1125" s="3"/>
      <c r="H1125" s="60"/>
      <c r="I1125" s="3"/>
      <c r="J1125" s="55"/>
      <c r="K1125" s="56"/>
      <c r="L1125" s="56"/>
      <c r="M1125" s="57"/>
      <c r="N1125" s="3"/>
      <c r="O1125" s="3"/>
      <c r="P1125" s="51"/>
      <c r="Q1125" s="5"/>
    </row>
    <row x14ac:dyDescent="0.25" r="1126" customHeight="1" ht="15.75">
      <c r="A1126" s="3"/>
      <c r="B1126" s="3"/>
      <c r="C1126" s="3"/>
      <c r="D1126" s="3"/>
      <c r="E1126" s="3"/>
      <c r="F1126" s="3"/>
      <c r="G1126" s="3"/>
      <c r="H1126" s="60"/>
      <c r="I1126" s="3"/>
      <c r="J1126" s="55"/>
      <c r="K1126" s="56"/>
      <c r="L1126" s="56"/>
      <c r="M1126" s="57"/>
      <c r="N1126" s="3"/>
      <c r="O1126" s="3"/>
      <c r="P1126" s="51"/>
      <c r="Q1126" s="5"/>
    </row>
    <row x14ac:dyDescent="0.25" r="1127" customHeight="1" ht="15.75">
      <c r="A1127" s="3"/>
      <c r="B1127" s="3"/>
      <c r="C1127" s="3"/>
      <c r="D1127" s="3"/>
      <c r="E1127" s="3"/>
      <c r="F1127" s="3"/>
      <c r="G1127" s="3"/>
      <c r="H1127" s="60"/>
      <c r="I1127" s="3"/>
      <c r="J1127" s="55"/>
      <c r="K1127" s="56"/>
      <c r="L1127" s="56"/>
      <c r="M1127" s="57"/>
      <c r="N1127" s="3"/>
      <c r="O1127" s="3"/>
      <c r="P1127" s="51"/>
      <c r="Q1127" s="5"/>
    </row>
    <row x14ac:dyDescent="0.25" r="1128" customHeight="1" ht="15.75">
      <c r="A1128" s="3"/>
      <c r="B1128" s="3"/>
      <c r="C1128" s="3"/>
      <c r="D1128" s="3"/>
      <c r="E1128" s="3"/>
      <c r="F1128" s="3"/>
      <c r="G1128" s="3"/>
      <c r="H1128" s="60"/>
      <c r="I1128" s="3"/>
      <c r="J1128" s="55"/>
      <c r="K1128" s="56"/>
      <c r="L1128" s="56"/>
      <c r="M1128" s="57"/>
      <c r="N1128" s="3"/>
      <c r="O1128" s="3"/>
      <c r="P1128" s="51"/>
      <c r="Q1128" s="5"/>
    </row>
    <row x14ac:dyDescent="0.25" r="1129" customHeight="1" ht="15.75">
      <c r="A1129" s="3"/>
      <c r="B1129" s="3"/>
      <c r="C1129" s="3"/>
      <c r="D1129" s="3"/>
      <c r="E1129" s="3"/>
      <c r="F1129" s="3"/>
      <c r="G1129" s="3"/>
      <c r="H1129" s="60"/>
      <c r="I1129" s="3"/>
      <c r="J1129" s="55"/>
      <c r="K1129" s="56"/>
      <c r="L1129" s="56"/>
      <c r="M1129" s="57"/>
      <c r="N1129" s="3"/>
      <c r="O1129" s="3"/>
      <c r="P1129" s="51"/>
      <c r="Q1129" s="5"/>
    </row>
    <row x14ac:dyDescent="0.25" r="1130" customHeight="1" ht="15.75">
      <c r="A1130" s="3"/>
      <c r="B1130" s="3"/>
      <c r="C1130" s="3"/>
      <c r="D1130" s="3"/>
      <c r="E1130" s="3"/>
      <c r="F1130" s="3"/>
      <c r="G1130" s="3"/>
      <c r="H1130" s="60"/>
      <c r="I1130" s="3"/>
      <c r="J1130" s="55"/>
      <c r="K1130" s="56"/>
      <c r="L1130" s="56"/>
      <c r="M1130" s="57"/>
      <c r="N1130" s="3"/>
      <c r="O1130" s="3"/>
      <c r="P1130" s="51"/>
      <c r="Q1130" s="5"/>
    </row>
    <row x14ac:dyDescent="0.25" r="1131" customHeight="1" ht="15.75">
      <c r="A1131" s="3"/>
      <c r="B1131" s="3"/>
      <c r="C1131" s="3"/>
      <c r="D1131" s="3"/>
      <c r="E1131" s="3"/>
      <c r="F1131" s="3"/>
      <c r="G1131" s="3"/>
      <c r="H1131" s="60"/>
      <c r="I1131" s="3"/>
      <c r="J1131" s="55"/>
      <c r="K1131" s="56"/>
      <c r="L1131" s="56"/>
      <c r="M1131" s="57"/>
      <c r="N1131" s="3"/>
      <c r="O1131" s="3"/>
      <c r="P1131" s="51"/>
      <c r="Q1131" s="5"/>
    </row>
    <row x14ac:dyDescent="0.25" r="1132" customHeight="1" ht="15.75">
      <c r="A1132" s="3"/>
      <c r="B1132" s="3"/>
      <c r="C1132" s="3"/>
      <c r="D1132" s="3"/>
      <c r="E1132" s="3"/>
      <c r="F1132" s="3"/>
      <c r="G1132" s="3"/>
      <c r="H1132" s="60"/>
      <c r="I1132" s="3"/>
      <c r="J1132" s="55"/>
      <c r="K1132" s="56"/>
      <c r="L1132" s="56"/>
      <c r="M1132" s="57"/>
      <c r="N1132" s="3"/>
      <c r="O1132" s="3"/>
      <c r="P1132" s="51"/>
      <c r="Q1132" s="5"/>
    </row>
    <row x14ac:dyDescent="0.25" r="1133" customHeight="1" ht="15.75">
      <c r="A1133" s="3"/>
      <c r="B1133" s="3"/>
      <c r="C1133" s="3"/>
      <c r="D1133" s="3"/>
      <c r="E1133" s="3"/>
      <c r="F1133" s="3"/>
      <c r="G1133" s="3"/>
      <c r="H1133" s="60"/>
      <c r="I1133" s="3"/>
      <c r="J1133" s="55"/>
      <c r="K1133" s="56"/>
      <c r="L1133" s="56"/>
      <c r="M1133" s="57"/>
      <c r="N1133" s="3"/>
      <c r="O1133" s="3"/>
      <c r="P1133" s="51"/>
      <c r="Q1133" s="5"/>
    </row>
    <row x14ac:dyDescent="0.25" r="1134" customHeight="1" ht="15.75">
      <c r="A1134" s="3"/>
      <c r="B1134" s="3"/>
      <c r="C1134" s="3"/>
      <c r="D1134" s="3"/>
      <c r="E1134" s="3"/>
      <c r="F1134" s="3"/>
      <c r="G1134" s="3"/>
      <c r="H1134" s="60"/>
      <c r="I1134" s="3"/>
      <c r="J1134" s="55"/>
      <c r="K1134" s="56"/>
      <c r="L1134" s="56"/>
      <c r="M1134" s="57"/>
      <c r="N1134" s="3"/>
      <c r="O1134" s="3"/>
      <c r="P1134" s="51"/>
      <c r="Q1134" s="5"/>
    </row>
    <row x14ac:dyDescent="0.25" r="1135" customHeight="1" ht="15.75">
      <c r="A1135" s="3"/>
      <c r="B1135" s="3"/>
      <c r="C1135" s="3"/>
      <c r="D1135" s="3"/>
      <c r="E1135" s="3"/>
      <c r="F1135" s="3"/>
      <c r="G1135" s="3"/>
      <c r="H1135" s="60"/>
      <c r="I1135" s="3"/>
      <c r="J1135" s="55"/>
      <c r="K1135" s="56"/>
      <c r="L1135" s="56"/>
      <c r="M1135" s="57"/>
      <c r="N1135" s="3"/>
      <c r="O1135" s="3"/>
      <c r="P1135" s="51"/>
      <c r="Q1135" s="5"/>
    </row>
    <row x14ac:dyDescent="0.25" r="1136" customHeight="1" ht="15.75">
      <c r="A1136" s="3"/>
      <c r="B1136" s="3"/>
      <c r="C1136" s="3"/>
      <c r="D1136" s="3"/>
      <c r="E1136" s="3"/>
      <c r="F1136" s="3"/>
      <c r="G1136" s="3"/>
      <c r="H1136" s="60"/>
      <c r="I1136" s="3"/>
      <c r="J1136" s="55"/>
      <c r="K1136" s="56"/>
      <c r="L1136" s="56"/>
      <c r="M1136" s="57"/>
      <c r="N1136" s="3"/>
      <c r="O1136" s="3"/>
      <c r="P1136" s="51"/>
      <c r="Q1136" s="5"/>
    </row>
    <row x14ac:dyDescent="0.25" r="1137" customHeight="1" ht="15.75">
      <c r="A1137" s="3"/>
      <c r="B1137" s="3"/>
      <c r="C1137" s="3"/>
      <c r="D1137" s="3"/>
      <c r="E1137" s="3"/>
      <c r="F1137" s="3"/>
      <c r="G1137" s="3"/>
      <c r="H1137" s="60"/>
      <c r="I1137" s="3"/>
      <c r="J1137" s="55"/>
      <c r="K1137" s="56"/>
      <c r="L1137" s="56"/>
      <c r="M1137" s="57"/>
      <c r="N1137" s="3"/>
      <c r="O1137" s="3"/>
      <c r="P1137" s="51"/>
      <c r="Q1137" s="5"/>
    </row>
    <row x14ac:dyDescent="0.25" r="1138" customHeight="1" ht="15.75">
      <c r="A1138" s="3"/>
      <c r="B1138" s="3"/>
      <c r="C1138" s="3"/>
      <c r="D1138" s="3"/>
      <c r="E1138" s="3"/>
      <c r="F1138" s="3"/>
      <c r="G1138" s="3"/>
      <c r="H1138" s="60"/>
      <c r="I1138" s="3"/>
      <c r="J1138" s="55"/>
      <c r="K1138" s="56"/>
      <c r="L1138" s="56"/>
      <c r="M1138" s="57"/>
      <c r="N1138" s="3"/>
      <c r="O1138" s="3"/>
      <c r="P1138" s="51"/>
      <c r="Q1138" s="5"/>
    </row>
    <row x14ac:dyDescent="0.25" r="1139" customHeight="1" ht="15.75">
      <c r="A1139" s="3"/>
      <c r="B1139" s="3"/>
      <c r="C1139" s="3"/>
      <c r="D1139" s="3"/>
      <c r="E1139" s="3"/>
      <c r="F1139" s="3"/>
      <c r="G1139" s="3"/>
      <c r="H1139" s="60"/>
      <c r="I1139" s="3"/>
      <c r="J1139" s="55"/>
      <c r="K1139" s="56"/>
      <c r="L1139" s="56"/>
      <c r="M1139" s="57"/>
      <c r="N1139" s="3"/>
      <c r="O1139" s="3"/>
      <c r="P1139" s="51"/>
      <c r="Q1139" s="5"/>
    </row>
    <row x14ac:dyDescent="0.25" r="1140" customHeight="1" ht="15.75">
      <c r="A1140" s="3"/>
      <c r="B1140" s="3"/>
      <c r="C1140" s="3"/>
      <c r="D1140" s="3"/>
      <c r="E1140" s="3"/>
      <c r="F1140" s="3"/>
      <c r="G1140" s="3"/>
      <c r="H1140" s="60"/>
      <c r="I1140" s="3"/>
      <c r="J1140" s="55"/>
      <c r="K1140" s="56"/>
      <c r="L1140" s="56"/>
      <c r="M1140" s="57"/>
      <c r="N1140" s="3"/>
      <c r="O1140" s="3"/>
      <c r="P1140" s="51"/>
      <c r="Q1140" s="5"/>
    </row>
    <row x14ac:dyDescent="0.25" r="1141" customHeight="1" ht="15.75">
      <c r="A1141" s="3"/>
      <c r="B1141" s="3"/>
      <c r="C1141" s="3"/>
      <c r="D1141" s="3"/>
      <c r="E1141" s="3"/>
      <c r="F1141" s="3"/>
      <c r="G1141" s="3"/>
      <c r="H1141" s="60"/>
      <c r="I1141" s="3"/>
      <c r="J1141" s="55"/>
      <c r="K1141" s="56"/>
      <c r="L1141" s="56"/>
      <c r="M1141" s="57"/>
      <c r="N1141" s="3"/>
      <c r="O1141" s="3"/>
      <c r="P1141" s="51"/>
      <c r="Q1141" s="5"/>
    </row>
    <row x14ac:dyDescent="0.25" r="1142" customHeight="1" ht="15.75">
      <c r="A1142" s="3"/>
      <c r="B1142" s="3"/>
      <c r="C1142" s="3"/>
      <c r="D1142" s="3"/>
      <c r="E1142" s="3"/>
      <c r="F1142" s="3"/>
      <c r="G1142" s="3"/>
      <c r="H1142" s="60"/>
      <c r="I1142" s="3"/>
      <c r="J1142" s="55"/>
      <c r="K1142" s="56"/>
      <c r="L1142" s="56"/>
      <c r="M1142" s="57"/>
      <c r="N1142" s="3"/>
      <c r="O1142" s="3"/>
      <c r="P1142" s="51"/>
      <c r="Q1142" s="5"/>
    </row>
    <row x14ac:dyDescent="0.25" r="1143" customHeight="1" ht="15.75">
      <c r="A1143" s="3"/>
      <c r="B1143" s="3"/>
      <c r="C1143" s="3"/>
      <c r="D1143" s="3"/>
      <c r="E1143" s="3"/>
      <c r="F1143" s="3"/>
      <c r="G1143" s="3"/>
      <c r="H1143" s="60"/>
      <c r="I1143" s="3"/>
      <c r="J1143" s="55"/>
      <c r="K1143" s="56"/>
      <c r="L1143" s="56"/>
      <c r="M1143" s="57"/>
      <c r="N1143" s="3"/>
      <c r="O1143" s="3"/>
      <c r="P1143" s="51"/>
      <c r="Q1143" s="5"/>
    </row>
    <row x14ac:dyDescent="0.25" r="1144" customHeight="1" ht="15.75">
      <c r="A1144" s="3"/>
      <c r="B1144" s="3"/>
      <c r="C1144" s="3"/>
      <c r="D1144" s="3"/>
      <c r="E1144" s="3"/>
      <c r="F1144" s="3"/>
      <c r="G1144" s="3"/>
      <c r="H1144" s="60"/>
      <c r="I1144" s="3"/>
      <c r="J1144" s="55"/>
      <c r="K1144" s="56"/>
      <c r="L1144" s="56"/>
      <c r="M1144" s="57"/>
      <c r="N1144" s="3"/>
      <c r="O1144" s="3"/>
      <c r="P1144" s="51"/>
      <c r="Q1144" s="5"/>
    </row>
    <row x14ac:dyDescent="0.25" r="1145" customHeight="1" ht="15.75">
      <c r="A1145" s="3"/>
      <c r="B1145" s="3"/>
      <c r="C1145" s="3"/>
      <c r="D1145" s="3"/>
      <c r="E1145" s="3"/>
      <c r="F1145" s="3"/>
      <c r="G1145" s="3"/>
      <c r="H1145" s="60"/>
      <c r="I1145" s="3"/>
      <c r="J1145" s="55"/>
      <c r="K1145" s="56"/>
      <c r="L1145" s="56"/>
      <c r="M1145" s="57"/>
      <c r="N1145" s="3"/>
      <c r="O1145" s="3"/>
      <c r="P1145" s="51"/>
      <c r="Q1145" s="5"/>
    </row>
    <row x14ac:dyDescent="0.25" r="1146" customHeight="1" ht="15.75">
      <c r="A1146" s="3"/>
      <c r="B1146" s="3"/>
      <c r="C1146" s="3"/>
      <c r="D1146" s="3"/>
      <c r="E1146" s="3"/>
      <c r="F1146" s="3"/>
      <c r="G1146" s="3"/>
      <c r="H1146" s="60"/>
      <c r="I1146" s="3"/>
      <c r="J1146" s="55"/>
      <c r="K1146" s="56"/>
      <c r="L1146" s="56"/>
      <c r="M1146" s="57"/>
      <c r="N1146" s="3"/>
      <c r="O1146" s="3"/>
      <c r="P1146" s="51"/>
      <c r="Q1146" s="5"/>
    </row>
    <row x14ac:dyDescent="0.25" r="1147" customHeight="1" ht="15.75">
      <c r="A1147" s="3"/>
      <c r="B1147" s="3"/>
      <c r="C1147" s="3"/>
      <c r="D1147" s="3"/>
      <c r="E1147" s="3"/>
      <c r="F1147" s="3"/>
      <c r="G1147" s="3"/>
      <c r="H1147" s="60"/>
      <c r="I1147" s="3"/>
      <c r="J1147" s="55"/>
      <c r="K1147" s="56"/>
      <c r="L1147" s="56"/>
      <c r="M1147" s="57"/>
      <c r="N1147" s="3"/>
      <c r="O1147" s="3"/>
      <c r="P1147" s="51"/>
      <c r="Q1147" s="5"/>
    </row>
    <row x14ac:dyDescent="0.25" r="1148" customHeight="1" ht="15.75">
      <c r="A1148" s="3"/>
      <c r="B1148" s="3"/>
      <c r="C1148" s="3"/>
      <c r="D1148" s="3"/>
      <c r="E1148" s="3"/>
      <c r="F1148" s="3"/>
      <c r="G1148" s="3"/>
      <c r="H1148" s="60"/>
      <c r="I1148" s="3"/>
      <c r="J1148" s="55"/>
      <c r="K1148" s="56"/>
      <c r="L1148" s="56"/>
      <c r="M1148" s="57"/>
      <c r="N1148" s="3"/>
      <c r="O1148" s="3"/>
      <c r="P1148" s="51"/>
      <c r="Q1148" s="5"/>
    </row>
    <row x14ac:dyDescent="0.25" r="1149" customHeight="1" ht="15.75">
      <c r="A1149" s="3"/>
      <c r="B1149" s="3"/>
      <c r="C1149" s="3"/>
      <c r="D1149" s="3"/>
      <c r="E1149" s="3"/>
      <c r="F1149" s="3"/>
      <c r="G1149" s="3"/>
      <c r="H1149" s="60"/>
      <c r="I1149" s="3"/>
      <c r="J1149" s="55"/>
      <c r="K1149" s="56"/>
      <c r="L1149" s="56"/>
      <c r="M1149" s="57"/>
      <c r="N1149" s="3"/>
      <c r="O1149" s="3"/>
      <c r="P1149" s="51"/>
      <c r="Q1149" s="5"/>
    </row>
    <row x14ac:dyDescent="0.25" r="1150" customHeight="1" ht="15.75">
      <c r="A1150" s="3"/>
      <c r="B1150" s="3"/>
      <c r="C1150" s="3"/>
      <c r="D1150" s="3"/>
      <c r="E1150" s="3"/>
      <c r="F1150" s="3"/>
      <c r="G1150" s="3"/>
      <c r="H1150" s="60"/>
      <c r="I1150" s="3"/>
      <c r="J1150" s="55"/>
      <c r="K1150" s="56"/>
      <c r="L1150" s="56"/>
      <c r="M1150" s="57"/>
      <c r="N1150" s="3"/>
      <c r="O1150" s="3"/>
      <c r="P1150" s="51"/>
      <c r="Q1150" s="5"/>
    </row>
    <row x14ac:dyDescent="0.25" r="1151" customHeight="1" ht="15.75">
      <c r="A1151" s="3"/>
      <c r="B1151" s="3"/>
      <c r="C1151" s="3"/>
      <c r="D1151" s="3"/>
      <c r="E1151" s="3"/>
      <c r="F1151" s="3"/>
      <c r="G1151" s="3"/>
      <c r="H1151" s="60"/>
      <c r="I1151" s="3"/>
      <c r="J1151" s="55"/>
      <c r="K1151" s="56"/>
      <c r="L1151" s="56"/>
      <c r="M1151" s="57"/>
      <c r="N1151" s="3"/>
      <c r="O1151" s="3"/>
      <c r="P1151" s="51"/>
      <c r="Q1151" s="5"/>
    </row>
    <row x14ac:dyDescent="0.25" r="1152" customHeight="1" ht="15.75">
      <c r="A1152" s="3"/>
      <c r="B1152" s="3"/>
      <c r="C1152" s="3"/>
      <c r="D1152" s="3"/>
      <c r="E1152" s="3"/>
      <c r="F1152" s="3"/>
      <c r="G1152" s="3"/>
      <c r="H1152" s="60"/>
      <c r="I1152" s="3"/>
      <c r="J1152" s="55"/>
      <c r="K1152" s="56"/>
      <c r="L1152" s="56"/>
      <c r="M1152" s="57"/>
      <c r="N1152" s="3"/>
      <c r="O1152" s="3"/>
      <c r="P1152" s="51"/>
      <c r="Q1152" s="5"/>
    </row>
    <row x14ac:dyDescent="0.25" r="1153" customHeight="1" ht="15.75">
      <c r="A1153" s="3"/>
      <c r="B1153" s="3"/>
      <c r="C1153" s="3"/>
      <c r="D1153" s="3"/>
      <c r="E1153" s="3"/>
      <c r="F1153" s="3"/>
      <c r="G1153" s="3"/>
      <c r="H1153" s="60"/>
      <c r="I1153" s="3"/>
      <c r="J1153" s="55"/>
      <c r="K1153" s="56"/>
      <c r="L1153" s="56"/>
      <c r="M1153" s="57"/>
      <c r="N1153" s="3"/>
      <c r="O1153" s="3"/>
      <c r="P1153" s="51"/>
      <c r="Q1153" s="5"/>
    </row>
    <row x14ac:dyDescent="0.25" r="1154" customHeight="1" ht="15.75">
      <c r="A1154" s="3"/>
      <c r="B1154" s="3"/>
      <c r="C1154" s="3"/>
      <c r="D1154" s="3"/>
      <c r="E1154" s="3"/>
      <c r="F1154" s="3"/>
      <c r="G1154" s="3"/>
      <c r="H1154" s="60"/>
      <c r="I1154" s="3"/>
      <c r="J1154" s="55"/>
      <c r="K1154" s="56"/>
      <c r="L1154" s="56"/>
      <c r="M1154" s="57"/>
      <c r="N1154" s="3"/>
      <c r="O1154" s="3"/>
      <c r="P1154" s="51"/>
      <c r="Q1154" s="5"/>
    </row>
    <row x14ac:dyDescent="0.25" r="1155" customHeight="1" ht="15.75">
      <c r="A1155" s="3"/>
      <c r="B1155" s="3"/>
      <c r="C1155" s="3"/>
      <c r="D1155" s="3"/>
      <c r="E1155" s="3"/>
      <c r="F1155" s="3"/>
      <c r="G1155" s="3"/>
      <c r="H1155" s="60"/>
      <c r="I1155" s="3"/>
      <c r="J1155" s="55"/>
      <c r="K1155" s="56"/>
      <c r="L1155" s="56"/>
      <c r="M1155" s="57"/>
      <c r="N1155" s="3"/>
      <c r="O1155" s="3"/>
      <c r="P1155" s="51"/>
      <c r="Q1155" s="5"/>
    </row>
    <row x14ac:dyDescent="0.25" r="1156" customHeight="1" ht="15.75">
      <c r="A1156" s="3"/>
      <c r="B1156" s="3"/>
      <c r="C1156" s="3"/>
      <c r="D1156" s="3"/>
      <c r="E1156" s="3"/>
      <c r="F1156" s="3"/>
      <c r="G1156" s="3"/>
      <c r="H1156" s="60"/>
      <c r="I1156" s="3"/>
      <c r="J1156" s="55"/>
      <c r="K1156" s="56"/>
      <c r="L1156" s="56"/>
      <c r="M1156" s="57"/>
      <c r="N1156" s="3"/>
      <c r="O1156" s="3"/>
      <c r="P1156" s="51"/>
      <c r="Q1156" s="5"/>
    </row>
    <row x14ac:dyDescent="0.25" r="1157" customHeight="1" ht="15.75">
      <c r="A1157" s="3"/>
      <c r="B1157" s="3"/>
      <c r="C1157" s="3"/>
      <c r="D1157" s="3"/>
      <c r="E1157" s="3"/>
      <c r="F1157" s="3"/>
      <c r="G1157" s="3"/>
      <c r="H1157" s="60"/>
      <c r="I1157" s="3"/>
      <c r="J1157" s="55"/>
      <c r="K1157" s="56"/>
      <c r="L1157" s="56"/>
      <c r="M1157" s="57"/>
      <c r="N1157" s="3"/>
      <c r="O1157" s="3"/>
      <c r="P1157" s="51"/>
      <c r="Q1157" s="5"/>
    </row>
    <row x14ac:dyDescent="0.25" r="1158" customHeight="1" ht="15.75">
      <c r="A1158" s="3"/>
      <c r="B1158" s="3"/>
      <c r="C1158" s="3"/>
      <c r="D1158" s="3"/>
      <c r="E1158" s="3"/>
      <c r="F1158" s="3"/>
      <c r="G1158" s="3"/>
      <c r="H1158" s="60"/>
      <c r="I1158" s="3"/>
      <c r="J1158" s="55"/>
      <c r="K1158" s="56"/>
      <c r="L1158" s="56"/>
      <c r="M1158" s="57"/>
      <c r="N1158" s="3"/>
      <c r="O1158" s="3"/>
      <c r="P1158" s="51"/>
      <c r="Q1158" s="5"/>
    </row>
    <row x14ac:dyDescent="0.25" r="1159" customHeight="1" ht="15.75">
      <c r="A1159" s="3"/>
      <c r="B1159" s="3"/>
      <c r="C1159" s="3"/>
      <c r="D1159" s="3"/>
      <c r="E1159" s="3"/>
      <c r="F1159" s="3"/>
      <c r="G1159" s="3"/>
      <c r="H1159" s="60"/>
      <c r="I1159" s="3"/>
      <c r="J1159" s="55"/>
      <c r="K1159" s="56"/>
      <c r="L1159" s="56"/>
      <c r="M1159" s="57"/>
      <c r="N1159" s="3"/>
      <c r="O1159" s="3"/>
      <c r="P1159" s="51"/>
      <c r="Q1159" s="5"/>
    </row>
    <row x14ac:dyDescent="0.25" r="1160" customHeight="1" ht="15.75">
      <c r="A1160" s="3"/>
      <c r="B1160" s="3"/>
      <c r="C1160" s="3"/>
      <c r="D1160" s="3"/>
      <c r="E1160" s="3"/>
      <c r="F1160" s="3"/>
      <c r="G1160" s="3"/>
      <c r="H1160" s="60"/>
      <c r="I1160" s="3"/>
      <c r="J1160" s="55"/>
      <c r="K1160" s="56"/>
      <c r="L1160" s="56"/>
      <c r="M1160" s="57"/>
      <c r="N1160" s="3"/>
      <c r="O1160" s="3"/>
      <c r="P1160" s="51"/>
      <c r="Q1160" s="5"/>
    </row>
    <row x14ac:dyDescent="0.25" r="1161" customHeight="1" ht="15.75">
      <c r="A1161" s="3"/>
      <c r="B1161" s="3"/>
      <c r="C1161" s="3"/>
      <c r="D1161" s="3"/>
      <c r="E1161" s="3"/>
      <c r="F1161" s="3"/>
      <c r="G1161" s="3"/>
      <c r="H1161" s="60"/>
      <c r="I1161" s="3"/>
      <c r="J1161" s="55"/>
      <c r="K1161" s="56"/>
      <c r="L1161" s="56"/>
      <c r="M1161" s="57"/>
      <c r="N1161" s="3"/>
      <c r="O1161" s="3"/>
      <c r="P1161" s="51"/>
      <c r="Q1161" s="5"/>
    </row>
    <row x14ac:dyDescent="0.25" r="1162" customHeight="1" ht="15.75">
      <c r="A1162" s="3"/>
      <c r="B1162" s="3"/>
      <c r="C1162" s="3"/>
      <c r="D1162" s="3"/>
      <c r="E1162" s="3"/>
      <c r="F1162" s="3"/>
      <c r="G1162" s="3"/>
      <c r="H1162" s="60"/>
      <c r="I1162" s="3"/>
      <c r="J1162" s="55"/>
      <c r="K1162" s="56"/>
      <c r="L1162" s="56"/>
      <c r="M1162" s="57"/>
      <c r="N1162" s="3"/>
      <c r="O1162" s="3"/>
      <c r="P1162" s="51"/>
      <c r="Q1162" s="5"/>
    </row>
    <row x14ac:dyDescent="0.25" r="1163" customHeight="1" ht="15.75">
      <c r="A1163" s="3"/>
      <c r="B1163" s="3"/>
      <c r="C1163" s="3"/>
      <c r="D1163" s="3"/>
      <c r="E1163" s="3"/>
      <c r="F1163" s="3"/>
      <c r="G1163" s="3"/>
      <c r="H1163" s="60"/>
      <c r="I1163" s="3"/>
      <c r="J1163" s="55"/>
      <c r="K1163" s="56"/>
      <c r="L1163" s="56"/>
      <c r="M1163" s="57"/>
      <c r="N1163" s="3"/>
      <c r="O1163" s="3"/>
      <c r="P1163" s="51"/>
      <c r="Q1163" s="5"/>
    </row>
    <row x14ac:dyDescent="0.25" r="1164" customHeight="1" ht="15.75">
      <c r="A1164" s="3"/>
      <c r="B1164" s="3"/>
      <c r="C1164" s="3"/>
      <c r="D1164" s="3"/>
      <c r="E1164" s="3"/>
      <c r="F1164" s="3"/>
      <c r="G1164" s="3"/>
      <c r="H1164" s="60"/>
      <c r="I1164" s="3"/>
      <c r="J1164" s="55"/>
      <c r="K1164" s="56"/>
      <c r="L1164" s="56"/>
      <c r="M1164" s="57"/>
      <c r="N1164" s="3"/>
      <c r="O1164" s="3"/>
      <c r="P1164" s="51"/>
      <c r="Q1164" s="5"/>
    </row>
    <row x14ac:dyDescent="0.25" r="1165" customHeight="1" ht="15.75">
      <c r="A1165" s="3"/>
      <c r="B1165" s="3"/>
      <c r="C1165" s="3"/>
      <c r="D1165" s="3"/>
      <c r="E1165" s="3"/>
      <c r="F1165" s="3"/>
      <c r="G1165" s="3"/>
      <c r="H1165" s="60"/>
      <c r="I1165" s="3"/>
      <c r="J1165" s="55"/>
      <c r="K1165" s="56"/>
      <c r="L1165" s="56"/>
      <c r="M1165" s="57"/>
      <c r="N1165" s="3"/>
      <c r="O1165" s="3"/>
      <c r="P1165" s="51"/>
      <c r="Q1165" s="5"/>
    </row>
    <row x14ac:dyDescent="0.25" r="1166" customHeight="1" ht="15.75">
      <c r="A1166" s="3"/>
      <c r="B1166" s="3"/>
      <c r="C1166" s="3"/>
      <c r="D1166" s="3"/>
      <c r="E1166" s="3"/>
      <c r="F1166" s="3"/>
      <c r="G1166" s="3"/>
      <c r="H1166" s="60"/>
      <c r="I1166" s="3"/>
      <c r="J1166" s="55"/>
      <c r="K1166" s="56"/>
      <c r="L1166" s="56"/>
      <c r="M1166" s="57"/>
      <c r="N1166" s="3"/>
      <c r="O1166" s="3"/>
      <c r="P1166" s="51"/>
      <c r="Q1166" s="5"/>
    </row>
    <row x14ac:dyDescent="0.25" r="1167" customHeight="1" ht="15.75">
      <c r="A1167" s="3"/>
      <c r="B1167" s="3"/>
      <c r="C1167" s="3"/>
      <c r="D1167" s="3"/>
      <c r="E1167" s="3"/>
      <c r="F1167" s="3"/>
      <c r="G1167" s="3"/>
      <c r="H1167" s="60"/>
      <c r="I1167" s="3"/>
      <c r="J1167" s="55"/>
      <c r="K1167" s="56"/>
      <c r="L1167" s="56"/>
      <c r="M1167" s="57"/>
      <c r="N1167" s="3"/>
      <c r="O1167" s="3"/>
      <c r="P1167" s="51"/>
      <c r="Q1167" s="5"/>
    </row>
    <row x14ac:dyDescent="0.25" r="1168" customHeight="1" ht="15.75">
      <c r="A1168" s="3"/>
      <c r="B1168" s="3"/>
      <c r="C1168" s="3"/>
      <c r="D1168" s="3"/>
      <c r="E1168" s="3"/>
      <c r="F1168" s="3"/>
      <c r="G1168" s="3"/>
      <c r="H1168" s="60"/>
      <c r="I1168" s="3"/>
      <c r="J1168" s="55"/>
      <c r="K1168" s="56"/>
      <c r="L1168" s="56"/>
      <c r="M1168" s="57"/>
      <c r="N1168" s="3"/>
      <c r="O1168" s="3"/>
      <c r="P1168" s="51"/>
      <c r="Q1168" s="5"/>
    </row>
    <row x14ac:dyDescent="0.25" r="1169" customHeight="1" ht="15.75">
      <c r="A1169" s="3"/>
      <c r="B1169" s="3"/>
      <c r="C1169" s="3"/>
      <c r="D1169" s="3"/>
      <c r="E1169" s="3"/>
      <c r="F1169" s="3"/>
      <c r="G1169" s="3"/>
      <c r="H1169" s="60"/>
      <c r="I1169" s="3"/>
      <c r="J1169" s="55"/>
      <c r="K1169" s="56"/>
      <c r="L1169" s="56"/>
      <c r="M1169" s="57"/>
      <c r="N1169" s="3"/>
      <c r="O1169" s="3"/>
      <c r="P1169" s="51"/>
      <c r="Q1169" s="5"/>
    </row>
    <row x14ac:dyDescent="0.25" r="1170" customHeight="1" ht="15.75">
      <c r="A1170" s="3"/>
      <c r="B1170" s="3"/>
      <c r="C1170" s="3"/>
      <c r="D1170" s="3"/>
      <c r="E1170" s="3"/>
      <c r="F1170" s="3"/>
      <c r="G1170" s="3"/>
      <c r="H1170" s="60"/>
      <c r="I1170" s="3"/>
      <c r="J1170" s="55"/>
      <c r="K1170" s="56"/>
      <c r="L1170" s="56"/>
      <c r="M1170" s="57"/>
      <c r="N1170" s="3"/>
      <c r="O1170" s="3"/>
      <c r="P1170" s="51"/>
      <c r="Q1170" s="5"/>
    </row>
    <row x14ac:dyDescent="0.25" r="1171" customHeight="1" ht="15.75">
      <c r="A1171" s="3"/>
      <c r="B1171" s="3"/>
      <c r="C1171" s="3"/>
      <c r="D1171" s="3"/>
      <c r="E1171" s="3"/>
      <c r="F1171" s="3"/>
      <c r="G1171" s="3"/>
      <c r="H1171" s="60"/>
      <c r="I1171" s="3"/>
      <c r="J1171" s="55"/>
      <c r="K1171" s="56"/>
      <c r="L1171" s="56"/>
      <c r="M1171" s="57"/>
      <c r="N1171" s="3"/>
      <c r="O1171" s="3"/>
      <c r="P1171" s="51"/>
      <c r="Q1171" s="5"/>
    </row>
    <row x14ac:dyDescent="0.25" r="1172" customHeight="1" ht="15.75">
      <c r="A1172" s="3"/>
      <c r="B1172" s="3"/>
      <c r="C1172" s="3"/>
      <c r="D1172" s="3"/>
      <c r="E1172" s="3"/>
      <c r="F1172" s="3"/>
      <c r="G1172" s="3"/>
      <c r="H1172" s="60"/>
      <c r="I1172" s="3"/>
      <c r="J1172" s="55"/>
      <c r="K1172" s="56"/>
      <c r="L1172" s="56"/>
      <c r="M1172" s="57"/>
      <c r="N1172" s="3"/>
      <c r="O1172" s="3"/>
      <c r="P1172" s="51"/>
      <c r="Q1172" s="5"/>
    </row>
    <row x14ac:dyDescent="0.25" r="1173" customHeight="1" ht="15.75">
      <c r="A1173" s="3"/>
      <c r="B1173" s="3"/>
      <c r="C1173" s="3"/>
      <c r="D1173" s="3"/>
      <c r="E1173" s="3"/>
      <c r="F1173" s="3"/>
      <c r="G1173" s="3"/>
      <c r="H1173" s="60"/>
      <c r="I1173" s="3"/>
      <c r="J1173" s="55"/>
      <c r="K1173" s="56"/>
      <c r="L1173" s="56"/>
      <c r="M1173" s="57"/>
      <c r="N1173" s="3"/>
      <c r="O1173" s="3"/>
      <c r="P1173" s="51"/>
      <c r="Q1173" s="5"/>
    </row>
    <row x14ac:dyDescent="0.25" r="1174" customHeight="1" ht="15.75">
      <c r="A1174" s="3"/>
      <c r="B1174" s="3"/>
      <c r="C1174" s="3"/>
      <c r="D1174" s="3"/>
      <c r="E1174" s="3"/>
      <c r="F1174" s="3"/>
      <c r="G1174" s="3"/>
      <c r="H1174" s="60"/>
      <c r="I1174" s="3"/>
      <c r="J1174" s="55"/>
      <c r="K1174" s="56"/>
      <c r="L1174" s="56"/>
      <c r="M1174" s="57"/>
      <c r="N1174" s="3"/>
      <c r="O1174" s="3"/>
      <c r="P1174" s="51"/>
      <c r="Q1174" s="5"/>
    </row>
    <row x14ac:dyDescent="0.25" r="1175" customHeight="1" ht="15.75">
      <c r="A1175" s="3"/>
      <c r="B1175" s="3"/>
      <c r="C1175" s="3"/>
      <c r="D1175" s="3"/>
      <c r="E1175" s="3"/>
      <c r="F1175" s="3"/>
      <c r="G1175" s="3"/>
      <c r="H1175" s="60"/>
      <c r="I1175" s="3"/>
      <c r="J1175" s="55"/>
      <c r="K1175" s="56"/>
      <c r="L1175" s="56"/>
      <c r="M1175" s="57"/>
      <c r="N1175" s="3"/>
      <c r="O1175" s="3"/>
      <c r="P1175" s="51"/>
      <c r="Q1175" s="5"/>
    </row>
    <row x14ac:dyDescent="0.25" r="1176" customHeight="1" ht="15.75">
      <c r="A1176" s="3"/>
      <c r="B1176" s="3"/>
      <c r="C1176" s="3"/>
      <c r="D1176" s="3"/>
      <c r="E1176" s="3"/>
      <c r="F1176" s="3"/>
      <c r="G1176" s="3"/>
      <c r="H1176" s="60"/>
      <c r="I1176" s="3"/>
      <c r="J1176" s="55"/>
      <c r="K1176" s="56"/>
      <c r="L1176" s="56"/>
      <c r="M1176" s="57"/>
      <c r="N1176" s="3"/>
      <c r="O1176" s="3"/>
      <c r="P1176" s="51"/>
      <c r="Q1176" s="5"/>
    </row>
    <row x14ac:dyDescent="0.25" r="1177" customHeight="1" ht="15.75">
      <c r="A1177" s="3"/>
      <c r="B1177" s="3"/>
      <c r="C1177" s="3"/>
      <c r="D1177" s="3"/>
      <c r="E1177" s="3"/>
      <c r="F1177" s="3"/>
      <c r="G1177" s="3"/>
      <c r="H1177" s="60"/>
      <c r="I1177" s="3"/>
      <c r="J1177" s="55"/>
      <c r="K1177" s="56"/>
      <c r="L1177" s="56"/>
      <c r="M1177" s="57"/>
      <c r="N1177" s="3"/>
      <c r="O1177" s="3"/>
      <c r="P1177" s="51"/>
      <c r="Q1177" s="5"/>
    </row>
    <row x14ac:dyDescent="0.25" r="1178" customHeight="1" ht="15.75">
      <c r="A1178" s="3"/>
      <c r="B1178" s="3"/>
      <c r="C1178" s="3"/>
      <c r="D1178" s="3"/>
      <c r="E1178" s="3"/>
      <c r="F1178" s="3"/>
      <c r="G1178" s="3"/>
      <c r="H1178" s="60"/>
      <c r="I1178" s="3"/>
      <c r="J1178" s="55"/>
      <c r="K1178" s="56"/>
      <c r="L1178" s="56"/>
      <c r="M1178" s="57"/>
      <c r="N1178" s="3"/>
      <c r="O1178" s="3"/>
      <c r="P1178" s="51"/>
      <c r="Q1178" s="5"/>
    </row>
    <row x14ac:dyDescent="0.25" r="1179" customHeight="1" ht="15.75">
      <c r="A1179" s="3"/>
      <c r="B1179" s="3"/>
      <c r="C1179" s="3"/>
      <c r="D1179" s="3"/>
      <c r="E1179" s="3"/>
      <c r="F1179" s="3"/>
      <c r="G1179" s="3"/>
      <c r="H1179" s="60"/>
      <c r="I1179" s="3"/>
      <c r="J1179" s="55"/>
      <c r="K1179" s="56"/>
      <c r="L1179" s="56"/>
      <c r="M1179" s="57"/>
      <c r="N1179" s="3"/>
      <c r="O1179" s="3"/>
      <c r="P1179" s="51"/>
      <c r="Q1179" s="5"/>
    </row>
    <row x14ac:dyDescent="0.25" r="1180" customHeight="1" ht="15.75">
      <c r="A1180" s="3"/>
      <c r="B1180" s="3"/>
      <c r="C1180" s="3"/>
      <c r="D1180" s="3"/>
      <c r="E1180" s="3"/>
      <c r="F1180" s="3"/>
      <c r="G1180" s="3"/>
      <c r="H1180" s="60"/>
      <c r="I1180" s="3"/>
      <c r="J1180" s="55"/>
      <c r="K1180" s="56"/>
      <c r="L1180" s="56"/>
      <c r="M1180" s="57"/>
      <c r="N1180" s="3"/>
      <c r="O1180" s="3"/>
      <c r="P1180" s="51"/>
      <c r="Q1180" s="5"/>
    </row>
    <row x14ac:dyDescent="0.25" r="1181" customHeight="1" ht="15.75">
      <c r="A1181" s="3"/>
      <c r="B1181" s="3"/>
      <c r="C1181" s="3"/>
      <c r="D1181" s="3"/>
      <c r="E1181" s="3"/>
      <c r="F1181" s="3"/>
      <c r="G1181" s="3"/>
      <c r="H1181" s="60"/>
      <c r="I1181" s="3"/>
      <c r="J1181" s="55"/>
      <c r="K1181" s="56"/>
      <c r="L1181" s="56"/>
      <c r="M1181" s="57"/>
      <c r="N1181" s="3"/>
      <c r="O1181" s="3"/>
      <c r="P1181" s="51"/>
      <c r="Q1181" s="5"/>
    </row>
    <row x14ac:dyDescent="0.25" r="1182" customHeight="1" ht="15.75">
      <c r="A1182" s="3"/>
      <c r="B1182" s="3"/>
      <c r="C1182" s="3"/>
      <c r="D1182" s="3"/>
      <c r="E1182" s="3"/>
      <c r="F1182" s="3"/>
      <c r="G1182" s="3"/>
      <c r="H1182" s="60"/>
      <c r="I1182" s="3"/>
      <c r="J1182" s="55"/>
      <c r="K1182" s="56"/>
      <c r="L1182" s="56"/>
      <c r="M1182" s="57"/>
      <c r="N1182" s="3"/>
      <c r="O1182" s="3"/>
      <c r="P1182" s="51"/>
      <c r="Q1182" s="5"/>
    </row>
    <row x14ac:dyDescent="0.25" r="1183" customHeight="1" ht="15.75">
      <c r="A1183" s="3"/>
      <c r="B1183" s="3"/>
      <c r="C1183" s="3"/>
      <c r="D1183" s="3"/>
      <c r="E1183" s="3"/>
      <c r="F1183" s="3"/>
      <c r="G1183" s="3"/>
      <c r="H1183" s="60"/>
      <c r="I1183" s="3"/>
      <c r="J1183" s="55"/>
      <c r="K1183" s="56"/>
      <c r="L1183" s="56"/>
      <c r="M1183" s="57"/>
      <c r="N1183" s="3"/>
      <c r="O1183" s="3"/>
      <c r="P1183" s="51"/>
      <c r="Q1183" s="5"/>
    </row>
    <row x14ac:dyDescent="0.25" r="1184" customHeight="1" ht="15.75">
      <c r="A1184" s="3"/>
      <c r="B1184" s="3"/>
      <c r="C1184" s="3"/>
      <c r="D1184" s="3"/>
      <c r="E1184" s="3"/>
      <c r="F1184" s="3"/>
      <c r="G1184" s="3"/>
      <c r="H1184" s="60"/>
      <c r="I1184" s="3"/>
      <c r="J1184" s="55"/>
      <c r="K1184" s="56"/>
      <c r="L1184" s="56"/>
      <c r="M1184" s="57"/>
      <c r="N1184" s="3"/>
      <c r="O1184" s="3"/>
      <c r="P1184" s="51"/>
      <c r="Q1184" s="5"/>
    </row>
    <row x14ac:dyDescent="0.25" r="1185" customHeight="1" ht="15.75">
      <c r="A1185" s="3"/>
      <c r="B1185" s="3"/>
      <c r="C1185" s="3"/>
      <c r="D1185" s="3"/>
      <c r="E1185" s="3"/>
      <c r="F1185" s="3"/>
      <c r="G1185" s="3"/>
      <c r="H1185" s="60"/>
      <c r="I1185" s="3"/>
      <c r="J1185" s="55"/>
      <c r="K1185" s="56"/>
      <c r="L1185" s="56"/>
      <c r="M1185" s="57"/>
      <c r="N1185" s="3"/>
      <c r="O1185" s="3"/>
      <c r="P1185" s="51"/>
      <c r="Q1185" s="5"/>
    </row>
    <row x14ac:dyDescent="0.25" r="1186" customHeight="1" ht="15.75">
      <c r="A1186" s="3"/>
      <c r="B1186" s="3"/>
      <c r="C1186" s="3"/>
      <c r="D1186" s="3"/>
      <c r="E1186" s="3"/>
      <c r="F1186" s="3"/>
      <c r="G1186" s="3"/>
      <c r="H1186" s="60"/>
      <c r="I1186" s="3"/>
      <c r="J1186" s="55"/>
      <c r="K1186" s="56"/>
      <c r="L1186" s="56"/>
      <c r="M1186" s="57"/>
      <c r="N1186" s="3"/>
      <c r="O1186" s="3"/>
      <c r="P1186" s="51"/>
      <c r="Q1186" s="5"/>
    </row>
    <row x14ac:dyDescent="0.25" r="1187" customHeight="1" ht="15.75">
      <c r="A1187" s="3"/>
      <c r="B1187" s="3"/>
      <c r="C1187" s="3"/>
      <c r="D1187" s="3"/>
      <c r="E1187" s="3"/>
      <c r="F1187" s="3"/>
      <c r="G1187" s="3"/>
      <c r="H1187" s="60"/>
      <c r="I1187" s="3"/>
      <c r="J1187" s="55"/>
      <c r="K1187" s="56"/>
      <c r="L1187" s="56"/>
      <c r="M1187" s="57"/>
      <c r="N1187" s="3"/>
      <c r="O1187" s="3"/>
      <c r="P1187" s="51"/>
      <c r="Q1187" s="5"/>
    </row>
    <row x14ac:dyDescent="0.25" r="1188" customHeight="1" ht="15.75">
      <c r="A1188" s="3"/>
      <c r="B1188" s="3"/>
      <c r="C1188" s="3"/>
      <c r="D1188" s="3"/>
      <c r="E1188" s="3"/>
      <c r="F1188" s="3"/>
      <c r="G1188" s="3"/>
      <c r="H1188" s="60"/>
      <c r="I1188" s="3"/>
      <c r="J1188" s="55"/>
      <c r="K1188" s="56"/>
      <c r="L1188" s="56"/>
      <c r="M1188" s="57"/>
      <c r="N1188" s="3"/>
      <c r="O1188" s="3"/>
      <c r="P1188" s="51"/>
      <c r="Q1188" s="5"/>
    </row>
    <row x14ac:dyDescent="0.25" r="1189" customHeight="1" ht="15.75">
      <c r="A1189" s="3"/>
      <c r="B1189" s="3"/>
      <c r="C1189" s="3"/>
      <c r="D1189" s="3"/>
      <c r="E1189" s="3"/>
      <c r="F1189" s="3"/>
      <c r="G1189" s="3"/>
      <c r="H1189" s="60"/>
      <c r="I1189" s="3"/>
      <c r="J1189" s="55"/>
      <c r="K1189" s="56"/>
      <c r="L1189" s="56"/>
      <c r="M1189" s="57"/>
      <c r="N1189" s="3"/>
      <c r="O1189" s="3"/>
      <c r="P1189" s="51"/>
      <c r="Q1189" s="5"/>
    </row>
    <row x14ac:dyDescent="0.25" r="1190" customHeight="1" ht="15.75">
      <c r="A1190" s="3"/>
      <c r="B1190" s="3"/>
      <c r="C1190" s="3"/>
      <c r="D1190" s="3"/>
      <c r="E1190" s="3"/>
      <c r="F1190" s="3"/>
      <c r="G1190" s="3"/>
      <c r="H1190" s="60"/>
      <c r="I1190" s="3"/>
      <c r="J1190" s="55"/>
      <c r="K1190" s="56"/>
      <c r="L1190" s="56"/>
      <c r="M1190" s="57"/>
      <c r="N1190" s="3"/>
      <c r="O1190" s="3"/>
      <c r="P1190" s="51"/>
      <c r="Q1190" s="5"/>
    </row>
    <row x14ac:dyDescent="0.25" r="1191" customHeight="1" ht="15.75">
      <c r="A1191" s="3"/>
      <c r="B1191" s="3"/>
      <c r="C1191" s="3"/>
      <c r="D1191" s="3"/>
      <c r="E1191" s="3"/>
      <c r="F1191" s="3"/>
      <c r="G1191" s="3"/>
      <c r="H1191" s="60"/>
      <c r="I1191" s="3"/>
      <c r="J1191" s="55"/>
      <c r="K1191" s="56"/>
      <c r="L1191" s="56"/>
      <c r="M1191" s="57"/>
      <c r="N1191" s="3"/>
      <c r="O1191" s="3"/>
      <c r="P1191" s="51"/>
      <c r="Q1191" s="5"/>
    </row>
    <row x14ac:dyDescent="0.25" r="1192" customHeight="1" ht="15.75">
      <c r="A1192" s="3"/>
      <c r="B1192" s="3"/>
      <c r="C1192" s="3"/>
      <c r="D1192" s="3"/>
      <c r="E1192" s="3"/>
      <c r="F1192" s="3"/>
      <c r="G1192" s="3"/>
      <c r="H1192" s="60"/>
      <c r="I1192" s="3"/>
      <c r="J1192" s="55"/>
      <c r="K1192" s="56"/>
      <c r="L1192" s="56"/>
      <c r="M1192" s="57"/>
      <c r="N1192" s="3"/>
      <c r="O1192" s="3"/>
      <c r="P1192" s="51"/>
      <c r="Q1192" s="5"/>
    </row>
    <row x14ac:dyDescent="0.25" r="1193" customHeight="1" ht="15.75">
      <c r="A1193" s="3"/>
      <c r="B1193" s="3"/>
      <c r="C1193" s="3"/>
      <c r="D1193" s="3"/>
      <c r="E1193" s="3"/>
      <c r="F1193" s="3"/>
      <c r="G1193" s="3"/>
      <c r="H1193" s="60"/>
      <c r="I1193" s="3"/>
      <c r="J1193" s="55"/>
      <c r="K1193" s="56"/>
      <c r="L1193" s="56"/>
      <c r="M1193" s="57"/>
      <c r="N1193" s="3"/>
      <c r="O1193" s="3"/>
      <c r="P1193" s="51"/>
      <c r="Q1193" s="5"/>
    </row>
    <row x14ac:dyDescent="0.25" r="1194" customHeight="1" ht="15.75">
      <c r="A1194" s="3"/>
      <c r="B1194" s="3"/>
      <c r="C1194" s="3"/>
      <c r="D1194" s="3"/>
      <c r="E1194" s="3"/>
      <c r="F1194" s="3"/>
      <c r="G1194" s="3"/>
      <c r="H1194" s="60"/>
      <c r="I1194" s="3"/>
      <c r="J1194" s="55"/>
      <c r="K1194" s="56"/>
      <c r="L1194" s="56"/>
      <c r="M1194" s="57"/>
      <c r="N1194" s="3"/>
      <c r="O1194" s="3"/>
      <c r="P1194" s="51"/>
      <c r="Q1194" s="5"/>
    </row>
    <row x14ac:dyDescent="0.25" r="1195" customHeight="1" ht="15.75">
      <c r="A1195" s="3"/>
      <c r="B1195" s="3"/>
      <c r="C1195" s="3"/>
      <c r="D1195" s="3"/>
      <c r="E1195" s="3"/>
      <c r="F1195" s="3"/>
      <c r="G1195" s="3"/>
      <c r="H1195" s="60"/>
      <c r="I1195" s="3"/>
      <c r="J1195" s="55"/>
      <c r="K1195" s="56"/>
      <c r="L1195" s="56"/>
      <c r="M1195" s="57"/>
      <c r="N1195" s="3"/>
      <c r="O1195" s="3"/>
      <c r="P1195" s="51"/>
      <c r="Q1195" s="5"/>
    </row>
    <row x14ac:dyDescent="0.25" r="1196" customHeight="1" ht="15.75">
      <c r="A1196" s="3"/>
      <c r="B1196" s="3"/>
      <c r="C1196" s="3"/>
      <c r="D1196" s="3"/>
      <c r="E1196" s="3"/>
      <c r="F1196" s="3"/>
      <c r="G1196" s="3"/>
      <c r="H1196" s="60"/>
      <c r="I1196" s="3"/>
      <c r="J1196" s="55"/>
      <c r="K1196" s="56"/>
      <c r="L1196" s="56"/>
      <c r="M1196" s="57"/>
      <c r="N1196" s="3"/>
      <c r="O1196" s="3"/>
      <c r="P1196" s="51"/>
      <c r="Q1196" s="5"/>
    </row>
    <row x14ac:dyDescent="0.25" r="1197" customHeight="1" ht="15.75">
      <c r="A1197" s="3"/>
      <c r="B1197" s="3"/>
      <c r="C1197" s="3"/>
      <c r="D1197" s="3"/>
      <c r="E1197" s="3"/>
      <c r="F1197" s="3"/>
      <c r="G1197" s="3"/>
      <c r="H1197" s="60"/>
      <c r="I1197" s="3"/>
      <c r="J1197" s="55"/>
      <c r="K1197" s="56"/>
      <c r="L1197" s="56"/>
      <c r="M1197" s="57"/>
      <c r="N1197" s="3"/>
      <c r="O1197" s="3"/>
      <c r="P1197" s="51"/>
      <c r="Q1197" s="5"/>
    </row>
    <row x14ac:dyDescent="0.25" r="1198" customHeight="1" ht="15.75">
      <c r="A1198" s="3"/>
      <c r="B1198" s="3"/>
      <c r="C1198" s="3"/>
      <c r="D1198" s="3"/>
      <c r="E1198" s="3"/>
      <c r="F1198" s="3"/>
      <c r="G1198" s="3"/>
      <c r="H1198" s="60"/>
      <c r="I1198" s="3"/>
      <c r="J1198" s="55"/>
      <c r="K1198" s="56"/>
      <c r="L1198" s="56"/>
      <c r="M1198" s="57"/>
      <c r="N1198" s="3"/>
      <c r="O1198" s="3"/>
      <c r="P1198" s="51"/>
      <c r="Q1198" s="5"/>
    </row>
    <row x14ac:dyDescent="0.25" r="1199" customHeight="1" ht="15.75">
      <c r="A1199" s="3"/>
      <c r="B1199" s="3"/>
      <c r="C1199" s="3"/>
      <c r="D1199" s="3"/>
      <c r="E1199" s="3"/>
      <c r="F1199" s="3"/>
      <c r="G1199" s="3"/>
      <c r="H1199" s="60"/>
      <c r="I1199" s="3"/>
      <c r="J1199" s="55"/>
      <c r="K1199" s="56"/>
      <c r="L1199" s="56"/>
      <c r="M1199" s="57"/>
      <c r="N1199" s="3"/>
      <c r="O1199" s="3"/>
      <c r="P1199" s="51"/>
      <c r="Q1199" s="5"/>
    </row>
    <row x14ac:dyDescent="0.25" r="1200" customHeight="1" ht="15.75">
      <c r="A1200" s="3"/>
      <c r="B1200" s="3"/>
      <c r="C1200" s="3"/>
      <c r="D1200" s="3"/>
      <c r="E1200" s="3"/>
      <c r="F1200" s="3"/>
      <c r="G1200" s="3"/>
      <c r="H1200" s="60"/>
      <c r="I1200" s="3"/>
      <c r="J1200" s="55"/>
      <c r="K1200" s="56"/>
      <c r="L1200" s="56"/>
      <c r="M1200" s="57"/>
      <c r="N1200" s="3"/>
      <c r="O1200" s="3"/>
      <c r="P1200" s="51"/>
      <c r="Q1200" s="5"/>
    </row>
    <row x14ac:dyDescent="0.25" r="1201" customHeight="1" ht="15.75">
      <c r="A1201" s="3"/>
      <c r="B1201" s="3"/>
      <c r="C1201" s="3"/>
      <c r="D1201" s="3"/>
      <c r="E1201" s="3"/>
      <c r="F1201" s="3"/>
      <c r="G1201" s="3"/>
      <c r="H1201" s="60"/>
      <c r="I1201" s="3"/>
      <c r="J1201" s="55"/>
      <c r="K1201" s="56"/>
      <c r="L1201" s="56"/>
      <c r="M1201" s="57"/>
      <c r="N1201" s="3"/>
      <c r="O1201" s="3"/>
      <c r="P1201" s="51"/>
      <c r="Q1201" s="5"/>
    </row>
    <row x14ac:dyDescent="0.25" r="1202" customHeight="1" ht="15.75">
      <c r="A1202" s="3"/>
      <c r="B1202" s="3"/>
      <c r="C1202" s="3"/>
      <c r="D1202" s="3"/>
      <c r="E1202" s="3"/>
      <c r="F1202" s="3"/>
      <c r="G1202" s="3"/>
      <c r="H1202" s="60"/>
      <c r="I1202" s="3"/>
      <c r="J1202" s="55"/>
      <c r="K1202" s="56"/>
      <c r="L1202" s="56"/>
      <c r="M1202" s="57"/>
      <c r="N1202" s="3"/>
      <c r="O1202" s="3"/>
      <c r="P1202" s="51"/>
      <c r="Q1202" s="5"/>
    </row>
    <row x14ac:dyDescent="0.25" r="1203" customHeight="1" ht="15.75">
      <c r="A1203" s="3"/>
      <c r="B1203" s="3"/>
      <c r="C1203" s="3"/>
      <c r="D1203" s="3"/>
      <c r="E1203" s="3"/>
      <c r="F1203" s="3"/>
      <c r="G1203" s="3"/>
      <c r="H1203" s="60"/>
      <c r="I1203" s="3"/>
      <c r="J1203" s="55"/>
      <c r="K1203" s="56"/>
      <c r="L1203" s="56"/>
      <c r="M1203" s="57"/>
      <c r="N1203" s="3"/>
      <c r="O1203" s="3"/>
      <c r="P1203" s="51"/>
      <c r="Q1203" s="5"/>
    </row>
    <row x14ac:dyDescent="0.25" r="1204" customHeight="1" ht="15.75">
      <c r="A1204" s="3"/>
      <c r="B1204" s="3"/>
      <c r="C1204" s="3"/>
      <c r="D1204" s="3"/>
      <c r="E1204" s="3"/>
      <c r="F1204" s="3"/>
      <c r="G1204" s="3"/>
      <c r="H1204" s="60"/>
      <c r="I1204" s="3"/>
      <c r="J1204" s="55"/>
      <c r="K1204" s="56"/>
      <c r="L1204" s="56"/>
      <c r="M1204" s="57"/>
      <c r="N1204" s="3"/>
      <c r="O1204" s="3"/>
      <c r="P1204" s="51"/>
      <c r="Q1204" s="5"/>
    </row>
    <row x14ac:dyDescent="0.25" r="1205" customHeight="1" ht="15.75">
      <c r="A1205" s="3"/>
      <c r="B1205" s="3"/>
      <c r="C1205" s="3"/>
      <c r="D1205" s="3"/>
      <c r="E1205" s="3"/>
      <c r="F1205" s="3"/>
      <c r="G1205" s="3"/>
      <c r="H1205" s="60"/>
      <c r="I1205" s="3"/>
      <c r="J1205" s="55"/>
      <c r="K1205" s="56"/>
      <c r="L1205" s="56"/>
      <c r="M1205" s="57"/>
      <c r="N1205" s="3"/>
      <c r="O1205" s="3"/>
      <c r="P1205" s="51"/>
      <c r="Q1205" s="5"/>
    </row>
    <row x14ac:dyDescent="0.25" r="1206" customHeight="1" ht="15.75">
      <c r="A1206" s="3"/>
      <c r="B1206" s="3"/>
      <c r="C1206" s="3"/>
      <c r="D1206" s="3"/>
      <c r="E1206" s="3"/>
      <c r="F1206" s="3"/>
      <c r="G1206" s="3"/>
      <c r="H1206" s="60"/>
      <c r="I1206" s="3"/>
      <c r="J1206" s="55"/>
      <c r="K1206" s="56"/>
      <c r="L1206" s="56"/>
      <c r="M1206" s="57"/>
      <c r="N1206" s="3"/>
      <c r="O1206" s="3"/>
      <c r="P1206" s="51"/>
      <c r="Q1206" s="5"/>
    </row>
    <row x14ac:dyDescent="0.25" r="1207" customHeight="1" ht="15.75">
      <c r="A1207" s="3"/>
      <c r="B1207" s="3"/>
      <c r="C1207" s="3"/>
      <c r="D1207" s="3"/>
      <c r="E1207" s="3"/>
      <c r="F1207" s="3"/>
      <c r="G1207" s="3"/>
      <c r="H1207" s="60"/>
      <c r="I1207" s="3"/>
      <c r="J1207" s="55"/>
      <c r="K1207" s="56"/>
      <c r="L1207" s="56"/>
      <c r="M1207" s="57"/>
      <c r="N1207" s="3"/>
      <c r="O1207" s="3"/>
      <c r="P1207" s="51"/>
      <c r="Q1207" s="5"/>
    </row>
    <row x14ac:dyDescent="0.25" r="1208" customHeight="1" ht="15.75">
      <c r="A1208" s="3"/>
      <c r="B1208" s="3"/>
      <c r="C1208" s="3"/>
      <c r="D1208" s="3"/>
      <c r="E1208" s="3"/>
      <c r="F1208" s="3"/>
      <c r="G1208" s="3"/>
      <c r="H1208" s="60"/>
      <c r="I1208" s="3"/>
      <c r="J1208" s="55"/>
      <c r="K1208" s="56"/>
      <c r="L1208" s="56"/>
      <c r="M1208" s="57"/>
      <c r="N1208" s="3"/>
      <c r="O1208" s="3"/>
      <c r="P1208" s="51"/>
      <c r="Q1208" s="5"/>
    </row>
    <row x14ac:dyDescent="0.25" r="1209" customHeight="1" ht="15.75">
      <c r="A1209" s="3"/>
      <c r="B1209" s="3"/>
      <c r="C1209" s="3"/>
      <c r="D1209" s="3"/>
      <c r="E1209" s="3"/>
      <c r="F1209" s="3"/>
      <c r="G1209" s="3"/>
      <c r="H1209" s="60"/>
      <c r="I1209" s="3"/>
      <c r="J1209" s="55"/>
      <c r="K1209" s="56"/>
      <c r="L1209" s="56"/>
      <c r="M1209" s="57"/>
      <c r="N1209" s="3"/>
      <c r="O1209" s="3"/>
      <c r="P1209" s="51"/>
      <c r="Q1209" s="5"/>
    </row>
    <row x14ac:dyDescent="0.25" r="1210" customHeight="1" ht="15.75">
      <c r="A1210" s="3"/>
      <c r="B1210" s="3"/>
      <c r="C1210" s="3"/>
      <c r="D1210" s="3"/>
      <c r="E1210" s="3"/>
      <c r="F1210" s="3"/>
      <c r="G1210" s="3"/>
      <c r="H1210" s="60"/>
      <c r="I1210" s="3"/>
      <c r="J1210" s="55"/>
      <c r="K1210" s="56"/>
      <c r="L1210" s="56"/>
      <c r="M1210" s="57"/>
      <c r="N1210" s="3"/>
      <c r="O1210" s="3"/>
      <c r="P1210" s="51"/>
      <c r="Q1210" s="5"/>
    </row>
    <row x14ac:dyDescent="0.25" r="1211" customHeight="1" ht="15.75">
      <c r="A1211" s="3"/>
      <c r="B1211" s="3"/>
      <c r="C1211" s="3"/>
      <c r="D1211" s="3"/>
      <c r="E1211" s="3"/>
      <c r="F1211" s="3"/>
      <c r="G1211" s="3"/>
      <c r="H1211" s="60"/>
      <c r="I1211" s="3"/>
      <c r="J1211" s="55"/>
      <c r="K1211" s="56"/>
      <c r="L1211" s="56"/>
      <c r="M1211" s="57"/>
      <c r="N1211" s="3"/>
      <c r="O1211" s="3"/>
      <c r="P1211" s="51"/>
      <c r="Q1211" s="5"/>
    </row>
    <row x14ac:dyDescent="0.25" r="1212" customHeight="1" ht="15.75">
      <c r="A1212" s="3"/>
      <c r="B1212" s="3"/>
      <c r="C1212" s="3"/>
      <c r="D1212" s="3"/>
      <c r="E1212" s="3"/>
      <c r="F1212" s="3"/>
      <c r="G1212" s="3"/>
      <c r="H1212" s="60"/>
      <c r="I1212" s="3"/>
      <c r="J1212" s="55"/>
      <c r="K1212" s="56"/>
      <c r="L1212" s="56"/>
      <c r="M1212" s="57"/>
      <c r="N1212" s="3"/>
      <c r="O1212" s="3"/>
      <c r="P1212" s="51"/>
      <c r="Q1212" s="5"/>
    </row>
    <row x14ac:dyDescent="0.25" r="1213" customHeight="1" ht="15.75">
      <c r="A1213" s="3"/>
      <c r="B1213" s="3"/>
      <c r="C1213" s="3"/>
      <c r="D1213" s="3"/>
      <c r="E1213" s="3"/>
      <c r="F1213" s="3"/>
      <c r="G1213" s="3"/>
      <c r="H1213" s="60"/>
      <c r="I1213" s="3"/>
      <c r="J1213" s="55"/>
      <c r="K1213" s="56"/>
      <c r="L1213" s="56"/>
      <c r="M1213" s="57"/>
      <c r="N1213" s="3"/>
      <c r="O1213" s="3"/>
      <c r="P1213" s="51"/>
      <c r="Q1213" s="5"/>
    </row>
    <row x14ac:dyDescent="0.25" r="1214" customHeight="1" ht="15.75">
      <c r="A1214" s="3"/>
      <c r="B1214" s="3"/>
      <c r="C1214" s="3"/>
      <c r="D1214" s="3"/>
      <c r="E1214" s="3"/>
      <c r="F1214" s="3"/>
      <c r="G1214" s="3"/>
      <c r="H1214" s="60"/>
      <c r="I1214" s="3"/>
      <c r="J1214" s="55"/>
      <c r="K1214" s="56"/>
      <c r="L1214" s="56"/>
      <c r="M1214" s="57"/>
      <c r="N1214" s="3"/>
      <c r="O1214" s="3"/>
      <c r="P1214" s="51"/>
      <c r="Q1214" s="5"/>
    </row>
    <row x14ac:dyDescent="0.25" r="1215" customHeight="1" ht="15.75">
      <c r="A1215" s="3"/>
      <c r="B1215" s="3"/>
      <c r="C1215" s="3"/>
      <c r="D1215" s="3"/>
      <c r="E1215" s="3"/>
      <c r="F1215" s="3"/>
      <c r="G1215" s="3"/>
      <c r="H1215" s="60"/>
      <c r="I1215" s="3"/>
      <c r="J1215" s="55"/>
      <c r="K1215" s="56"/>
      <c r="L1215" s="56"/>
      <c r="M1215" s="57"/>
      <c r="N1215" s="3"/>
      <c r="O1215" s="3"/>
      <c r="P1215" s="51"/>
      <c r="Q1215" s="5"/>
    </row>
    <row x14ac:dyDescent="0.25" r="1216" customHeight="1" ht="15.75">
      <c r="A1216" s="3"/>
      <c r="B1216" s="3"/>
      <c r="C1216" s="3"/>
      <c r="D1216" s="3"/>
      <c r="E1216" s="3"/>
      <c r="F1216" s="3"/>
      <c r="G1216" s="3"/>
      <c r="H1216" s="60"/>
      <c r="I1216" s="3"/>
      <c r="J1216" s="55"/>
      <c r="K1216" s="56"/>
      <c r="L1216" s="56"/>
      <c r="M1216" s="57"/>
      <c r="N1216" s="3"/>
      <c r="O1216" s="3"/>
      <c r="P1216" s="51"/>
      <c r="Q1216" s="5"/>
    </row>
    <row x14ac:dyDescent="0.25" r="1217" customHeight="1" ht="15.75">
      <c r="A1217" s="3"/>
      <c r="B1217" s="3"/>
      <c r="C1217" s="3"/>
      <c r="D1217" s="3"/>
      <c r="E1217" s="3"/>
      <c r="F1217" s="3"/>
      <c r="G1217" s="3"/>
      <c r="H1217" s="60"/>
      <c r="I1217" s="3"/>
      <c r="J1217" s="55"/>
      <c r="K1217" s="56"/>
      <c r="L1217" s="56"/>
      <c r="M1217" s="57"/>
      <c r="N1217" s="3"/>
      <c r="O1217" s="3"/>
      <c r="P1217" s="51"/>
      <c r="Q1217" s="5"/>
    </row>
    <row x14ac:dyDescent="0.25" r="1218" customHeight="1" ht="15.75">
      <c r="A1218" s="3"/>
      <c r="B1218" s="3"/>
      <c r="C1218" s="3"/>
      <c r="D1218" s="3"/>
      <c r="E1218" s="3"/>
      <c r="F1218" s="3"/>
      <c r="G1218" s="3"/>
      <c r="H1218" s="60"/>
      <c r="I1218" s="3"/>
      <c r="J1218" s="55"/>
      <c r="K1218" s="56"/>
      <c r="L1218" s="56"/>
      <c r="M1218" s="57"/>
      <c r="N1218" s="3"/>
      <c r="O1218" s="3"/>
      <c r="P1218" s="51"/>
      <c r="Q1218" s="5"/>
    </row>
    <row x14ac:dyDescent="0.25" r="1219" customHeight="1" ht="15.75">
      <c r="A1219" s="3"/>
      <c r="B1219" s="3"/>
      <c r="C1219" s="3"/>
      <c r="D1219" s="3"/>
      <c r="E1219" s="3"/>
      <c r="F1219" s="3"/>
      <c r="G1219" s="3"/>
      <c r="H1219" s="60"/>
      <c r="I1219" s="3"/>
      <c r="J1219" s="55"/>
      <c r="K1219" s="56"/>
      <c r="L1219" s="56"/>
      <c r="M1219" s="57"/>
      <c r="N1219" s="3"/>
      <c r="O1219" s="3"/>
      <c r="P1219" s="51"/>
      <c r="Q1219" s="5"/>
    </row>
    <row x14ac:dyDescent="0.25" r="1220" customHeight="1" ht="15.75">
      <c r="A1220" s="3"/>
      <c r="B1220" s="3"/>
      <c r="C1220" s="3"/>
      <c r="D1220" s="3"/>
      <c r="E1220" s="3"/>
      <c r="F1220" s="3"/>
      <c r="G1220" s="3"/>
      <c r="H1220" s="60"/>
      <c r="I1220" s="3"/>
      <c r="J1220" s="55"/>
      <c r="K1220" s="56"/>
      <c r="L1220" s="56"/>
      <c r="M1220" s="57"/>
      <c r="N1220" s="3"/>
      <c r="O1220" s="3"/>
      <c r="P1220" s="51"/>
      <c r="Q1220" s="5"/>
    </row>
    <row x14ac:dyDescent="0.25" r="1221" customHeight="1" ht="15.75">
      <c r="A1221" s="3"/>
      <c r="B1221" s="3"/>
      <c r="C1221" s="3"/>
      <c r="D1221" s="3"/>
      <c r="E1221" s="3"/>
      <c r="F1221" s="3"/>
      <c r="G1221" s="3"/>
      <c r="H1221" s="60"/>
      <c r="I1221" s="3"/>
      <c r="J1221" s="55"/>
      <c r="K1221" s="56"/>
      <c r="L1221" s="56"/>
      <c r="M1221" s="57"/>
      <c r="N1221" s="3"/>
      <c r="O1221" s="3"/>
      <c r="P1221" s="51"/>
      <c r="Q1221" s="5"/>
    </row>
    <row x14ac:dyDescent="0.25" r="1222" customHeight="1" ht="15.75">
      <c r="A1222" s="3"/>
      <c r="B1222" s="3"/>
      <c r="C1222" s="3"/>
      <c r="D1222" s="3"/>
      <c r="E1222" s="3"/>
      <c r="F1222" s="3"/>
      <c r="G1222" s="3"/>
      <c r="H1222" s="60"/>
      <c r="I1222" s="3"/>
      <c r="J1222" s="55"/>
      <c r="K1222" s="56"/>
      <c r="L1222" s="56"/>
      <c r="M1222" s="57"/>
      <c r="N1222" s="3"/>
      <c r="O1222" s="3"/>
      <c r="P1222" s="51"/>
      <c r="Q1222" s="5"/>
    </row>
    <row x14ac:dyDescent="0.25" r="1223" customHeight="1" ht="15.75">
      <c r="A1223" s="3"/>
      <c r="B1223" s="3"/>
      <c r="C1223" s="3"/>
      <c r="D1223" s="3"/>
      <c r="E1223" s="3"/>
      <c r="F1223" s="3"/>
      <c r="G1223" s="3"/>
      <c r="H1223" s="60"/>
      <c r="I1223" s="3"/>
      <c r="J1223" s="55"/>
      <c r="K1223" s="56"/>
      <c r="L1223" s="56"/>
      <c r="M1223" s="57"/>
      <c r="N1223" s="3"/>
      <c r="O1223" s="3"/>
      <c r="P1223" s="51"/>
      <c r="Q1223" s="5"/>
    </row>
    <row x14ac:dyDescent="0.25" r="1224" customHeight="1" ht="15.75">
      <c r="A1224" s="3"/>
      <c r="B1224" s="3"/>
      <c r="C1224" s="3"/>
      <c r="D1224" s="3"/>
      <c r="E1224" s="3"/>
      <c r="F1224" s="3"/>
      <c r="G1224" s="3"/>
      <c r="H1224" s="60"/>
      <c r="I1224" s="3"/>
      <c r="J1224" s="55"/>
      <c r="K1224" s="56"/>
      <c r="L1224" s="56"/>
      <c r="M1224" s="57"/>
      <c r="N1224" s="3"/>
      <c r="O1224" s="3"/>
      <c r="P1224" s="51"/>
      <c r="Q1224" s="5"/>
    </row>
    <row x14ac:dyDescent="0.25" r="1225" customHeight="1" ht="15.75">
      <c r="A1225" s="3"/>
      <c r="B1225" s="3"/>
      <c r="C1225" s="3"/>
      <c r="D1225" s="3"/>
      <c r="E1225" s="3"/>
      <c r="F1225" s="3"/>
      <c r="G1225" s="3"/>
      <c r="H1225" s="60"/>
      <c r="I1225" s="3"/>
      <c r="J1225" s="55"/>
      <c r="K1225" s="56"/>
      <c r="L1225" s="56"/>
      <c r="M1225" s="57"/>
      <c r="N1225" s="3"/>
      <c r="O1225" s="3"/>
      <c r="P1225" s="51"/>
      <c r="Q1225" s="5"/>
    </row>
    <row x14ac:dyDescent="0.25" r="1226" customHeight="1" ht="15.75">
      <c r="A1226" s="3"/>
      <c r="B1226" s="3"/>
      <c r="C1226" s="3"/>
      <c r="D1226" s="3"/>
      <c r="E1226" s="3"/>
      <c r="F1226" s="3"/>
      <c r="G1226" s="3"/>
      <c r="H1226" s="60"/>
      <c r="I1226" s="3"/>
      <c r="J1226" s="55"/>
      <c r="K1226" s="56"/>
      <c r="L1226" s="56"/>
      <c r="M1226" s="57"/>
      <c r="N1226" s="3"/>
      <c r="O1226" s="3"/>
      <c r="P1226" s="51"/>
      <c r="Q1226" s="5"/>
    </row>
    <row x14ac:dyDescent="0.25" r="1227" customHeight="1" ht="15.75">
      <c r="A1227" s="3"/>
      <c r="B1227" s="3"/>
      <c r="C1227" s="3"/>
      <c r="D1227" s="3"/>
      <c r="E1227" s="3"/>
      <c r="F1227" s="3"/>
      <c r="G1227" s="3"/>
      <c r="H1227" s="60"/>
      <c r="I1227" s="3"/>
      <c r="J1227" s="55"/>
      <c r="K1227" s="56"/>
      <c r="L1227" s="56"/>
      <c r="M1227" s="57"/>
      <c r="N1227" s="3"/>
      <c r="O1227" s="3"/>
      <c r="P1227" s="51"/>
      <c r="Q1227" s="5"/>
    </row>
    <row x14ac:dyDescent="0.25" r="1228" customHeight="1" ht="15.75">
      <c r="A1228" s="3"/>
      <c r="B1228" s="3"/>
      <c r="C1228" s="3"/>
      <c r="D1228" s="3"/>
      <c r="E1228" s="3"/>
      <c r="F1228" s="3"/>
      <c r="G1228" s="3"/>
      <c r="H1228" s="60"/>
      <c r="I1228" s="3"/>
      <c r="J1228" s="55"/>
      <c r="K1228" s="56"/>
      <c r="L1228" s="56"/>
      <c r="M1228" s="57"/>
      <c r="N1228" s="3"/>
      <c r="O1228" s="3"/>
      <c r="P1228" s="51"/>
      <c r="Q1228" s="5"/>
    </row>
    <row x14ac:dyDescent="0.25" r="1229" customHeight="1" ht="15.75">
      <c r="A1229" s="3"/>
      <c r="B1229" s="3"/>
      <c r="C1229" s="3"/>
      <c r="D1229" s="3"/>
      <c r="E1229" s="3"/>
      <c r="F1229" s="3"/>
      <c r="G1229" s="3"/>
      <c r="H1229" s="60"/>
      <c r="I1229" s="3"/>
      <c r="J1229" s="55"/>
      <c r="K1229" s="56"/>
      <c r="L1229" s="56"/>
      <c r="M1229" s="57"/>
      <c r="N1229" s="3"/>
      <c r="O1229" s="3"/>
      <c r="P1229" s="51"/>
      <c r="Q1229" s="5"/>
    </row>
    <row x14ac:dyDescent="0.25" r="1230" customHeight="1" ht="15.75">
      <c r="A1230" s="3"/>
      <c r="B1230" s="3"/>
      <c r="C1230" s="3"/>
      <c r="D1230" s="3"/>
      <c r="E1230" s="3"/>
      <c r="F1230" s="3"/>
      <c r="G1230" s="3"/>
      <c r="H1230" s="60"/>
      <c r="I1230" s="3"/>
      <c r="J1230" s="55"/>
      <c r="K1230" s="56"/>
      <c r="L1230" s="56"/>
      <c r="M1230" s="57"/>
      <c r="N1230" s="3"/>
      <c r="O1230" s="3"/>
      <c r="P1230" s="51"/>
      <c r="Q1230" s="5"/>
    </row>
    <row x14ac:dyDescent="0.25" r="1231" customHeight="1" ht="15.75">
      <c r="A1231" s="3"/>
      <c r="B1231" s="3"/>
      <c r="C1231" s="3"/>
      <c r="D1231" s="3"/>
      <c r="E1231" s="3"/>
      <c r="F1231" s="3"/>
      <c r="G1231" s="3"/>
      <c r="H1231" s="60"/>
      <c r="I1231" s="3"/>
      <c r="J1231" s="55"/>
      <c r="K1231" s="56"/>
      <c r="L1231" s="56"/>
      <c r="M1231" s="57"/>
      <c r="N1231" s="3"/>
      <c r="O1231" s="3"/>
      <c r="P1231" s="51"/>
      <c r="Q1231" s="5"/>
    </row>
    <row x14ac:dyDescent="0.25" r="1232" customHeight="1" ht="15.75">
      <c r="A1232" s="3"/>
      <c r="B1232" s="3"/>
      <c r="C1232" s="3"/>
      <c r="D1232" s="3"/>
      <c r="E1232" s="3"/>
      <c r="F1232" s="3"/>
      <c r="G1232" s="3"/>
      <c r="H1232" s="60"/>
      <c r="I1232" s="3"/>
      <c r="J1232" s="55"/>
      <c r="K1232" s="56"/>
      <c r="L1232" s="56"/>
      <c r="M1232" s="57"/>
      <c r="N1232" s="3"/>
      <c r="O1232" s="3"/>
      <c r="P1232" s="51"/>
      <c r="Q1232" s="5"/>
    </row>
    <row x14ac:dyDescent="0.25" r="1233" customHeight="1" ht="15.75">
      <c r="A1233" s="3"/>
      <c r="B1233" s="3"/>
      <c r="C1233" s="3"/>
      <c r="D1233" s="3"/>
      <c r="E1233" s="3"/>
      <c r="F1233" s="3"/>
      <c r="G1233" s="3"/>
      <c r="H1233" s="60"/>
      <c r="I1233" s="3"/>
      <c r="J1233" s="55"/>
      <c r="K1233" s="56"/>
      <c r="L1233" s="56"/>
      <c r="M1233" s="57"/>
      <c r="N1233" s="3"/>
      <c r="O1233" s="3"/>
      <c r="P1233" s="51"/>
      <c r="Q1233" s="5"/>
    </row>
    <row x14ac:dyDescent="0.25" r="1234" customHeight="1" ht="15.75">
      <c r="A1234" s="3"/>
      <c r="B1234" s="3"/>
      <c r="C1234" s="3"/>
      <c r="D1234" s="3"/>
      <c r="E1234" s="3"/>
      <c r="F1234" s="3"/>
      <c r="G1234" s="3"/>
      <c r="H1234" s="60"/>
      <c r="I1234" s="3"/>
      <c r="J1234" s="55"/>
      <c r="K1234" s="56"/>
      <c r="L1234" s="56"/>
      <c r="M1234" s="57"/>
      <c r="N1234" s="3"/>
      <c r="O1234" s="3"/>
      <c r="P1234" s="51"/>
      <c r="Q1234" s="5"/>
    </row>
    <row x14ac:dyDescent="0.25" r="1235" customHeight="1" ht="15.75">
      <c r="A1235" s="3"/>
      <c r="B1235" s="3"/>
      <c r="C1235" s="3"/>
      <c r="D1235" s="3"/>
      <c r="E1235" s="3"/>
      <c r="F1235" s="3"/>
      <c r="G1235" s="3"/>
      <c r="H1235" s="60"/>
      <c r="I1235" s="3"/>
      <c r="J1235" s="55"/>
      <c r="K1235" s="56"/>
      <c r="L1235" s="56"/>
      <c r="M1235" s="57"/>
      <c r="N1235" s="3"/>
      <c r="O1235" s="3"/>
      <c r="P1235" s="51"/>
      <c r="Q1235" s="5"/>
    </row>
    <row x14ac:dyDescent="0.25" r="1236" customHeight="1" ht="15.75">
      <c r="A1236" s="3"/>
      <c r="B1236" s="3"/>
      <c r="C1236" s="3"/>
      <c r="D1236" s="3"/>
      <c r="E1236" s="3"/>
      <c r="F1236" s="3"/>
      <c r="G1236" s="3"/>
      <c r="H1236" s="60"/>
      <c r="I1236" s="3"/>
      <c r="J1236" s="55"/>
      <c r="K1236" s="56"/>
      <c r="L1236" s="56"/>
      <c r="M1236" s="57"/>
      <c r="N1236" s="3"/>
      <c r="O1236" s="3"/>
      <c r="P1236" s="51"/>
      <c r="Q1236" s="5"/>
    </row>
    <row x14ac:dyDescent="0.25" r="1237" customHeight="1" ht="15.75">
      <c r="A1237" s="3"/>
      <c r="B1237" s="3"/>
      <c r="C1237" s="3"/>
      <c r="D1237" s="3"/>
      <c r="E1237" s="3"/>
      <c r="F1237" s="3"/>
      <c r="G1237" s="3"/>
      <c r="H1237" s="60"/>
      <c r="I1237" s="3"/>
      <c r="J1237" s="55"/>
      <c r="K1237" s="56"/>
      <c r="L1237" s="56"/>
      <c r="M1237" s="57"/>
      <c r="N1237" s="3"/>
      <c r="O1237" s="3"/>
      <c r="P1237" s="51"/>
      <c r="Q1237" s="5"/>
    </row>
    <row x14ac:dyDescent="0.25" r="1238" customHeight="1" ht="15.75">
      <c r="A1238" s="3"/>
      <c r="B1238" s="3"/>
      <c r="C1238" s="3"/>
      <c r="D1238" s="3"/>
      <c r="E1238" s="3"/>
      <c r="F1238" s="3"/>
      <c r="G1238" s="3"/>
      <c r="H1238" s="60"/>
      <c r="I1238" s="3"/>
      <c r="J1238" s="55"/>
      <c r="K1238" s="56"/>
      <c r="L1238" s="56"/>
      <c r="M1238" s="57"/>
      <c r="N1238" s="3"/>
      <c r="O1238" s="3"/>
      <c r="P1238" s="51"/>
      <c r="Q1238" s="5"/>
    </row>
    <row x14ac:dyDescent="0.25" r="1239" customHeight="1" ht="15.75">
      <c r="A1239" s="3"/>
      <c r="B1239" s="3"/>
      <c r="C1239" s="3"/>
      <c r="D1239" s="3"/>
      <c r="E1239" s="3"/>
      <c r="F1239" s="3"/>
      <c r="G1239" s="3"/>
      <c r="H1239" s="60"/>
      <c r="I1239" s="3"/>
      <c r="J1239" s="55"/>
      <c r="K1239" s="56"/>
      <c r="L1239" s="56"/>
      <c r="M1239" s="57"/>
      <c r="N1239" s="3"/>
      <c r="O1239" s="3"/>
      <c r="P1239" s="51"/>
      <c r="Q1239" s="5"/>
    </row>
    <row x14ac:dyDescent="0.25" r="1240" customHeight="1" ht="15.75">
      <c r="A1240" s="3"/>
      <c r="B1240" s="3"/>
      <c r="C1240" s="3"/>
      <c r="D1240" s="3"/>
      <c r="E1240" s="3"/>
      <c r="F1240" s="3"/>
      <c r="G1240" s="3"/>
      <c r="H1240" s="60"/>
      <c r="I1240" s="3"/>
      <c r="J1240" s="55"/>
      <c r="K1240" s="56"/>
      <c r="L1240" s="56"/>
      <c r="M1240" s="57"/>
      <c r="N1240" s="3"/>
      <c r="O1240" s="3"/>
      <c r="P1240" s="51"/>
      <c r="Q1240" s="5"/>
    </row>
    <row x14ac:dyDescent="0.25" r="1241" customHeight="1" ht="15.75">
      <c r="A1241" s="3"/>
      <c r="B1241" s="3"/>
      <c r="C1241" s="3"/>
      <c r="D1241" s="3"/>
      <c r="E1241" s="3"/>
      <c r="F1241" s="3"/>
      <c r="G1241" s="3"/>
      <c r="H1241" s="60"/>
      <c r="I1241" s="3"/>
      <c r="J1241" s="55"/>
      <c r="K1241" s="56"/>
      <c r="L1241" s="56"/>
      <c r="M1241" s="57"/>
      <c r="N1241" s="3"/>
      <c r="O1241" s="3"/>
      <c r="P1241" s="51"/>
      <c r="Q1241" s="5"/>
    </row>
    <row x14ac:dyDescent="0.25" r="1242" customHeight="1" ht="15.75">
      <c r="A1242" s="3"/>
      <c r="B1242" s="3"/>
      <c r="C1242" s="3"/>
      <c r="D1242" s="3"/>
      <c r="E1242" s="3"/>
      <c r="F1242" s="3"/>
      <c r="G1242" s="3"/>
      <c r="H1242" s="60"/>
      <c r="I1242" s="3"/>
      <c r="J1242" s="55"/>
      <c r="K1242" s="56"/>
      <c r="L1242" s="56"/>
      <c r="M1242" s="57"/>
      <c r="N1242" s="3"/>
      <c r="O1242" s="3"/>
      <c r="P1242" s="51"/>
      <c r="Q1242" s="5"/>
    </row>
    <row x14ac:dyDescent="0.25" r="1243" customHeight="1" ht="15.75">
      <c r="A1243" s="3"/>
      <c r="B1243" s="3"/>
      <c r="C1243" s="3"/>
      <c r="D1243" s="3"/>
      <c r="E1243" s="3"/>
      <c r="F1243" s="3"/>
      <c r="G1243" s="3"/>
      <c r="H1243" s="60"/>
      <c r="I1243" s="3"/>
      <c r="J1243" s="55"/>
      <c r="K1243" s="56"/>
      <c r="L1243" s="56"/>
      <c r="M1243" s="57"/>
      <c r="N1243" s="3"/>
      <c r="O1243" s="3"/>
      <c r="P1243" s="51"/>
      <c r="Q1243" s="5"/>
    </row>
    <row x14ac:dyDescent="0.25" r="1244" customHeight="1" ht="15.75">
      <c r="A1244" s="3"/>
      <c r="B1244" s="3"/>
      <c r="C1244" s="3"/>
      <c r="D1244" s="3"/>
      <c r="E1244" s="3"/>
      <c r="F1244" s="3"/>
      <c r="G1244" s="3"/>
      <c r="H1244" s="60"/>
      <c r="I1244" s="3"/>
      <c r="J1244" s="55"/>
      <c r="K1244" s="56"/>
      <c r="L1244" s="56"/>
      <c r="M1244" s="57"/>
      <c r="N1244" s="3"/>
      <c r="O1244" s="3"/>
      <c r="P1244" s="51"/>
      <c r="Q1244" s="5"/>
    </row>
    <row x14ac:dyDescent="0.25" r="1245" customHeight="1" ht="15.75">
      <c r="A1245" s="3"/>
      <c r="B1245" s="3"/>
      <c r="C1245" s="3"/>
      <c r="D1245" s="3"/>
      <c r="E1245" s="3"/>
      <c r="F1245" s="3"/>
      <c r="G1245" s="3"/>
      <c r="H1245" s="60"/>
      <c r="I1245" s="3"/>
      <c r="J1245" s="55"/>
      <c r="K1245" s="56"/>
      <c r="L1245" s="56"/>
      <c r="M1245" s="57"/>
      <c r="N1245" s="3"/>
      <c r="O1245" s="3"/>
      <c r="P1245" s="51"/>
      <c r="Q1245" s="5"/>
    </row>
    <row x14ac:dyDescent="0.25" r="1246" customHeight="1" ht="15.75">
      <c r="A1246" s="3"/>
      <c r="B1246" s="3"/>
      <c r="C1246" s="3"/>
      <c r="D1246" s="3"/>
      <c r="E1246" s="3"/>
      <c r="F1246" s="3"/>
      <c r="G1246" s="3"/>
      <c r="H1246" s="60"/>
      <c r="I1246" s="3"/>
      <c r="J1246" s="55"/>
      <c r="K1246" s="56"/>
      <c r="L1246" s="56"/>
      <c r="M1246" s="57"/>
      <c r="N1246" s="3"/>
      <c r="O1246" s="3"/>
      <c r="P1246" s="51"/>
      <c r="Q1246" s="5"/>
    </row>
    <row x14ac:dyDescent="0.25" r="1247" customHeight="1" ht="15.75">
      <c r="A1247" s="3"/>
      <c r="B1247" s="3"/>
      <c r="C1247" s="3"/>
      <c r="D1247" s="3"/>
      <c r="E1247" s="3"/>
      <c r="F1247" s="3"/>
      <c r="G1247" s="3"/>
      <c r="H1247" s="60"/>
      <c r="I1247" s="3"/>
      <c r="J1247" s="55"/>
      <c r="K1247" s="56"/>
      <c r="L1247" s="56"/>
      <c r="M1247" s="57"/>
      <c r="N1247" s="3"/>
      <c r="O1247" s="3"/>
      <c r="P1247" s="51"/>
      <c r="Q1247" s="5"/>
    </row>
    <row x14ac:dyDescent="0.25" r="1248" customHeight="1" ht="15.75">
      <c r="A1248" s="3"/>
      <c r="B1248" s="3"/>
      <c r="C1248" s="3"/>
      <c r="D1248" s="3"/>
      <c r="E1248" s="3"/>
      <c r="F1248" s="3"/>
      <c r="G1248" s="3"/>
      <c r="H1248" s="60"/>
      <c r="I1248" s="3"/>
      <c r="J1248" s="55"/>
      <c r="K1248" s="56"/>
      <c r="L1248" s="56"/>
      <c r="M1248" s="57"/>
      <c r="N1248" s="3"/>
      <c r="O1248" s="3"/>
      <c r="P1248" s="51"/>
      <c r="Q1248" s="5"/>
    </row>
    <row x14ac:dyDescent="0.25" r="1249" customHeight="1" ht="15.75">
      <c r="A1249" s="3"/>
      <c r="B1249" s="3"/>
      <c r="C1249" s="3"/>
      <c r="D1249" s="3"/>
      <c r="E1249" s="3"/>
      <c r="F1249" s="3"/>
      <c r="G1249" s="3"/>
      <c r="H1249" s="60"/>
      <c r="I1249" s="3"/>
      <c r="J1249" s="55"/>
      <c r="K1249" s="56"/>
      <c r="L1249" s="56"/>
      <c r="M1249" s="57"/>
      <c r="N1249" s="3"/>
      <c r="O1249" s="3"/>
      <c r="P1249" s="51"/>
      <c r="Q1249" s="5"/>
    </row>
    <row x14ac:dyDescent="0.25" r="1250" customHeight="1" ht="15.75">
      <c r="A1250" s="3"/>
      <c r="B1250" s="3"/>
      <c r="C1250" s="3"/>
      <c r="D1250" s="3"/>
      <c r="E1250" s="3"/>
      <c r="F1250" s="3"/>
      <c r="G1250" s="3"/>
      <c r="H1250" s="60"/>
      <c r="I1250" s="3"/>
      <c r="J1250" s="55"/>
      <c r="K1250" s="56"/>
      <c r="L1250" s="56"/>
      <c r="M1250" s="57"/>
      <c r="N1250" s="3"/>
      <c r="O1250" s="3"/>
      <c r="P1250" s="51"/>
      <c r="Q1250" s="5"/>
    </row>
    <row x14ac:dyDescent="0.25" r="1251" customHeight="1" ht="15.75">
      <c r="A1251" s="3"/>
      <c r="B1251" s="3"/>
      <c r="C1251" s="3"/>
      <c r="D1251" s="3"/>
      <c r="E1251" s="3"/>
      <c r="F1251" s="3"/>
      <c r="G1251" s="3"/>
      <c r="H1251" s="60"/>
      <c r="I1251" s="3"/>
      <c r="J1251" s="55"/>
      <c r="K1251" s="56"/>
      <c r="L1251" s="56"/>
      <c r="M1251" s="57"/>
      <c r="N1251" s="3"/>
      <c r="O1251" s="3"/>
      <c r="P1251" s="51"/>
      <c r="Q1251" s="5"/>
    </row>
    <row x14ac:dyDescent="0.25" r="1252" customHeight="1" ht="15.75">
      <c r="A1252" s="3"/>
      <c r="B1252" s="3"/>
      <c r="C1252" s="3"/>
      <c r="D1252" s="3"/>
      <c r="E1252" s="3"/>
      <c r="F1252" s="3"/>
      <c r="G1252" s="3"/>
      <c r="H1252" s="60"/>
      <c r="I1252" s="3"/>
      <c r="J1252" s="55"/>
      <c r="K1252" s="56"/>
      <c r="L1252" s="56"/>
      <c r="M1252" s="57"/>
      <c r="N1252" s="3"/>
      <c r="O1252" s="3"/>
      <c r="P1252" s="51"/>
      <c r="Q1252" s="5"/>
    </row>
    <row x14ac:dyDescent="0.25" r="1253" customHeight="1" ht="15.75">
      <c r="A1253" s="3"/>
      <c r="B1253" s="3"/>
      <c r="C1253" s="3"/>
      <c r="D1253" s="3"/>
      <c r="E1253" s="3"/>
      <c r="F1253" s="3"/>
      <c r="G1253" s="3"/>
      <c r="H1253" s="60"/>
      <c r="I1253" s="3"/>
      <c r="J1253" s="55"/>
      <c r="K1253" s="56"/>
      <c r="L1253" s="56"/>
      <c r="M1253" s="57"/>
      <c r="N1253" s="3"/>
      <c r="O1253" s="3"/>
      <c r="P1253" s="51"/>
      <c r="Q1253" s="5"/>
    </row>
    <row x14ac:dyDescent="0.25" r="1254" customHeight="1" ht="15.75">
      <c r="A1254" s="3"/>
      <c r="B1254" s="3"/>
      <c r="C1254" s="3"/>
      <c r="D1254" s="3"/>
      <c r="E1254" s="3"/>
      <c r="F1254" s="3"/>
      <c r="G1254" s="3"/>
      <c r="H1254" s="60"/>
      <c r="I1254" s="3"/>
      <c r="J1254" s="55"/>
      <c r="K1254" s="56"/>
      <c r="L1254" s="56"/>
      <c r="M1254" s="57"/>
      <c r="N1254" s="3"/>
      <c r="O1254" s="3"/>
      <c r="P1254" s="51"/>
      <c r="Q1254" s="5"/>
    </row>
    <row x14ac:dyDescent="0.25" r="1255" customHeight="1" ht="15.75">
      <c r="A1255" s="3"/>
      <c r="B1255" s="3"/>
      <c r="C1255" s="3"/>
      <c r="D1255" s="3"/>
      <c r="E1255" s="3"/>
      <c r="F1255" s="3"/>
      <c r="G1255" s="3"/>
      <c r="H1255" s="60"/>
      <c r="I1255" s="3"/>
      <c r="J1255" s="55"/>
      <c r="K1255" s="56"/>
      <c r="L1255" s="56"/>
      <c r="M1255" s="57"/>
      <c r="N1255" s="3"/>
      <c r="O1255" s="3"/>
      <c r="P1255" s="51"/>
      <c r="Q1255" s="5"/>
    </row>
    <row x14ac:dyDescent="0.25" r="1256" customHeight="1" ht="15.75">
      <c r="A1256" s="3"/>
      <c r="B1256" s="3"/>
      <c r="C1256" s="3"/>
      <c r="D1256" s="3"/>
      <c r="E1256" s="3"/>
      <c r="F1256" s="3"/>
      <c r="G1256" s="3"/>
      <c r="H1256" s="60"/>
      <c r="I1256" s="3"/>
      <c r="J1256" s="55"/>
      <c r="K1256" s="56"/>
      <c r="L1256" s="56"/>
      <c r="M1256" s="57"/>
      <c r="N1256" s="3"/>
      <c r="O1256" s="3"/>
      <c r="P1256" s="51"/>
      <c r="Q1256" s="5"/>
    </row>
    <row x14ac:dyDescent="0.25" r="1257" customHeight="1" ht="15.75">
      <c r="A1257" s="3"/>
      <c r="B1257" s="3"/>
      <c r="C1257" s="3"/>
      <c r="D1257" s="3"/>
      <c r="E1257" s="3"/>
      <c r="F1257" s="3"/>
      <c r="G1257" s="3"/>
      <c r="H1257" s="60"/>
      <c r="I1257" s="3"/>
      <c r="J1257" s="55"/>
      <c r="K1257" s="56"/>
      <c r="L1257" s="56"/>
      <c r="M1257" s="57"/>
      <c r="N1257" s="3"/>
      <c r="O1257" s="3"/>
      <c r="P1257" s="51"/>
      <c r="Q1257" s="5"/>
    </row>
    <row x14ac:dyDescent="0.25" r="1258" customHeight="1" ht="15.75">
      <c r="A1258" s="3"/>
      <c r="B1258" s="3"/>
      <c r="C1258" s="3"/>
      <c r="D1258" s="3"/>
      <c r="E1258" s="3"/>
      <c r="F1258" s="3"/>
      <c r="G1258" s="3"/>
      <c r="H1258" s="60"/>
      <c r="I1258" s="3"/>
      <c r="J1258" s="55"/>
      <c r="K1258" s="56"/>
      <c r="L1258" s="56"/>
      <c r="M1258" s="57"/>
      <c r="N1258" s="3"/>
      <c r="O1258" s="3"/>
      <c r="P1258" s="51"/>
      <c r="Q1258" s="5"/>
    </row>
    <row x14ac:dyDescent="0.25" r="1259" customHeight="1" ht="15.75">
      <c r="A1259" s="3"/>
      <c r="B1259" s="3"/>
      <c r="C1259" s="3"/>
      <c r="D1259" s="3"/>
      <c r="E1259" s="3"/>
      <c r="F1259" s="3"/>
      <c r="G1259" s="3"/>
      <c r="H1259" s="60"/>
      <c r="I1259" s="3"/>
      <c r="J1259" s="55"/>
      <c r="K1259" s="56"/>
      <c r="L1259" s="56"/>
      <c r="M1259" s="57"/>
      <c r="N1259" s="3"/>
      <c r="O1259" s="3"/>
      <c r="P1259" s="51"/>
      <c r="Q1259" s="5"/>
    </row>
    <row x14ac:dyDescent="0.25" r="1260" customHeight="1" ht="15.75">
      <c r="A1260" s="3"/>
      <c r="B1260" s="3"/>
      <c r="C1260" s="3"/>
      <c r="D1260" s="3"/>
      <c r="E1260" s="3"/>
      <c r="F1260" s="3"/>
      <c r="G1260" s="3"/>
      <c r="H1260" s="60"/>
      <c r="I1260" s="3"/>
      <c r="J1260" s="55"/>
      <c r="K1260" s="56"/>
      <c r="L1260" s="56"/>
      <c r="M1260" s="57"/>
      <c r="N1260" s="3"/>
      <c r="O1260" s="3"/>
      <c r="P1260" s="51"/>
      <c r="Q1260" s="5"/>
    </row>
    <row x14ac:dyDescent="0.25" r="1261" customHeight="1" ht="15.75">
      <c r="A1261" s="3"/>
      <c r="B1261" s="3"/>
      <c r="C1261" s="3"/>
      <c r="D1261" s="3"/>
      <c r="E1261" s="3"/>
      <c r="F1261" s="3"/>
      <c r="G1261" s="3"/>
      <c r="H1261" s="60"/>
      <c r="I1261" s="3"/>
      <c r="J1261" s="55"/>
      <c r="K1261" s="56"/>
      <c r="L1261" s="56"/>
      <c r="M1261" s="57"/>
      <c r="N1261" s="3"/>
      <c r="O1261" s="3"/>
      <c r="P1261" s="51"/>
      <c r="Q1261" s="5"/>
    </row>
    <row x14ac:dyDescent="0.25" r="1262" customHeight="1" ht="15.75">
      <c r="A1262" s="3"/>
      <c r="B1262" s="3"/>
      <c r="C1262" s="3"/>
      <c r="D1262" s="3"/>
      <c r="E1262" s="3"/>
      <c r="F1262" s="3"/>
      <c r="G1262" s="3"/>
      <c r="H1262" s="60"/>
      <c r="I1262" s="3"/>
      <c r="J1262" s="55"/>
      <c r="K1262" s="56"/>
      <c r="L1262" s="56"/>
      <c r="M1262" s="57"/>
      <c r="N1262" s="3"/>
      <c r="O1262" s="3"/>
      <c r="P1262" s="51"/>
      <c r="Q1262" s="5"/>
    </row>
    <row x14ac:dyDescent="0.25" r="1263" customHeight="1" ht="15.75">
      <c r="A1263" s="3"/>
      <c r="B1263" s="3"/>
      <c r="C1263" s="3"/>
      <c r="D1263" s="3"/>
      <c r="E1263" s="3"/>
      <c r="F1263" s="3"/>
      <c r="G1263" s="3"/>
      <c r="H1263" s="60"/>
      <c r="I1263" s="3"/>
      <c r="J1263" s="55"/>
      <c r="K1263" s="56"/>
      <c r="L1263" s="56"/>
      <c r="M1263" s="57"/>
      <c r="N1263" s="3"/>
      <c r="O1263" s="3"/>
      <c r="P1263" s="51"/>
      <c r="Q1263" s="5"/>
    </row>
    <row x14ac:dyDescent="0.25" r="1264" customHeight="1" ht="15.75">
      <c r="A1264" s="3"/>
      <c r="B1264" s="3"/>
      <c r="C1264" s="3"/>
      <c r="D1264" s="3"/>
      <c r="E1264" s="3"/>
      <c r="F1264" s="3"/>
      <c r="G1264" s="3"/>
      <c r="H1264" s="60"/>
      <c r="I1264" s="3"/>
      <c r="J1264" s="55"/>
      <c r="K1264" s="56"/>
      <c r="L1264" s="56"/>
      <c r="M1264" s="57"/>
      <c r="N1264" s="3"/>
      <c r="O1264" s="3"/>
      <c r="P1264" s="51"/>
      <c r="Q1264" s="5"/>
    </row>
    <row x14ac:dyDescent="0.25" r="1265" customHeight="1" ht="15.75">
      <c r="A1265" s="3"/>
      <c r="B1265" s="3"/>
      <c r="C1265" s="3"/>
      <c r="D1265" s="3"/>
      <c r="E1265" s="3"/>
      <c r="F1265" s="3"/>
      <c r="G1265" s="3"/>
      <c r="H1265" s="60"/>
      <c r="I1265" s="3"/>
      <c r="J1265" s="55"/>
      <c r="K1265" s="56"/>
      <c r="L1265" s="56"/>
      <c r="M1265" s="57"/>
      <c r="N1265" s="3"/>
      <c r="O1265" s="3"/>
      <c r="P1265" s="51"/>
      <c r="Q1265" s="5"/>
    </row>
    <row x14ac:dyDescent="0.25" r="1266" customHeight="1" ht="15.75">
      <c r="A1266" s="3"/>
      <c r="B1266" s="3"/>
      <c r="C1266" s="3"/>
      <c r="D1266" s="3"/>
      <c r="E1266" s="3"/>
      <c r="F1266" s="3"/>
      <c r="G1266" s="3"/>
      <c r="H1266" s="60"/>
      <c r="I1266" s="3"/>
      <c r="J1266" s="55"/>
      <c r="K1266" s="56"/>
      <c r="L1266" s="56"/>
      <c r="M1266" s="57"/>
      <c r="N1266" s="3"/>
      <c r="O1266" s="3"/>
      <c r="P1266" s="51"/>
      <c r="Q1266" s="5"/>
    </row>
    <row x14ac:dyDescent="0.25" r="1267" customHeight="1" ht="15.75">
      <c r="A1267" s="3"/>
      <c r="B1267" s="3"/>
      <c r="C1267" s="3"/>
      <c r="D1267" s="3"/>
      <c r="E1267" s="3"/>
      <c r="F1267" s="3"/>
      <c r="G1267" s="3"/>
      <c r="H1267" s="60"/>
      <c r="I1267" s="3"/>
      <c r="J1267" s="55"/>
      <c r="K1267" s="56"/>
      <c r="L1267" s="56"/>
      <c r="M1267" s="57"/>
      <c r="N1267" s="3"/>
      <c r="O1267" s="3"/>
      <c r="P1267" s="51"/>
      <c r="Q1267" s="5"/>
    </row>
    <row x14ac:dyDescent="0.25" r="1268" customHeight="1" ht="15.75">
      <c r="A1268" s="3"/>
      <c r="B1268" s="3"/>
      <c r="C1268" s="3"/>
      <c r="D1268" s="3"/>
      <c r="E1268" s="3"/>
      <c r="F1268" s="3"/>
      <c r="G1268" s="3"/>
      <c r="H1268" s="60"/>
      <c r="I1268" s="3"/>
      <c r="J1268" s="55"/>
      <c r="K1268" s="56"/>
      <c r="L1268" s="56"/>
      <c r="M1268" s="57"/>
      <c r="N1268" s="3"/>
      <c r="O1268" s="3"/>
      <c r="P1268" s="51"/>
      <c r="Q1268" s="5"/>
    </row>
    <row x14ac:dyDescent="0.25" r="1269" customHeight="1" ht="15.75">
      <c r="A1269" s="3"/>
      <c r="B1269" s="3"/>
      <c r="C1269" s="3"/>
      <c r="D1269" s="3"/>
      <c r="E1269" s="3"/>
      <c r="F1269" s="3"/>
      <c r="G1269" s="3"/>
      <c r="H1269" s="60"/>
      <c r="I1269" s="3"/>
      <c r="J1269" s="55"/>
      <c r="K1269" s="56"/>
      <c r="L1269" s="56"/>
      <c r="M1269" s="57"/>
      <c r="N1269" s="3"/>
      <c r="O1269" s="3"/>
      <c r="P1269" s="51"/>
      <c r="Q1269" s="5"/>
    </row>
    <row x14ac:dyDescent="0.25" r="1270" customHeight="1" ht="15.75">
      <c r="A1270" s="3"/>
      <c r="B1270" s="3"/>
      <c r="C1270" s="3"/>
      <c r="D1270" s="3"/>
      <c r="E1270" s="3"/>
      <c r="F1270" s="3"/>
      <c r="G1270" s="3"/>
      <c r="H1270" s="60"/>
      <c r="I1270" s="3"/>
      <c r="J1270" s="55"/>
      <c r="K1270" s="56"/>
      <c r="L1270" s="56"/>
      <c r="M1270" s="57"/>
      <c r="N1270" s="3"/>
      <c r="O1270" s="3"/>
      <c r="P1270" s="51"/>
      <c r="Q1270" s="5"/>
    </row>
    <row x14ac:dyDescent="0.25" r="1271" customHeight="1" ht="15.75">
      <c r="A1271" s="3"/>
      <c r="B1271" s="3"/>
      <c r="C1271" s="3"/>
      <c r="D1271" s="3"/>
      <c r="E1271" s="3"/>
      <c r="F1271" s="3"/>
      <c r="G1271" s="3"/>
      <c r="H1271" s="60"/>
      <c r="I1271" s="3"/>
      <c r="J1271" s="55"/>
      <c r="K1271" s="56"/>
      <c r="L1271" s="56"/>
      <c r="M1271" s="57"/>
      <c r="N1271" s="3"/>
      <c r="O1271" s="3"/>
      <c r="P1271" s="51"/>
      <c r="Q1271" s="5"/>
    </row>
    <row x14ac:dyDescent="0.25" r="1272" customHeight="1" ht="15.75">
      <c r="A1272" s="3"/>
      <c r="B1272" s="3"/>
      <c r="C1272" s="3"/>
      <c r="D1272" s="3"/>
      <c r="E1272" s="3"/>
      <c r="F1272" s="3"/>
      <c r="G1272" s="3"/>
      <c r="H1272" s="60"/>
      <c r="I1272" s="3"/>
      <c r="J1272" s="55"/>
      <c r="K1272" s="56"/>
      <c r="L1272" s="56"/>
      <c r="M1272" s="57"/>
      <c r="N1272" s="3"/>
      <c r="O1272" s="3"/>
      <c r="P1272" s="51"/>
      <c r="Q1272" s="5"/>
    </row>
    <row x14ac:dyDescent="0.25" r="1273" customHeight="1" ht="15.75">
      <c r="A1273" s="3"/>
      <c r="B1273" s="3"/>
      <c r="C1273" s="3"/>
      <c r="D1273" s="3"/>
      <c r="E1273" s="3"/>
      <c r="F1273" s="3"/>
      <c r="G1273" s="3"/>
      <c r="H1273" s="60"/>
      <c r="I1273" s="3"/>
      <c r="J1273" s="55"/>
      <c r="K1273" s="56"/>
      <c r="L1273" s="56"/>
      <c r="M1273" s="57"/>
      <c r="N1273" s="3"/>
      <c r="O1273" s="3"/>
      <c r="P1273" s="51"/>
      <c r="Q1273" s="5"/>
    </row>
    <row x14ac:dyDescent="0.25" r="1274" customHeight="1" ht="15.75">
      <c r="A1274" s="3"/>
      <c r="B1274" s="3"/>
      <c r="C1274" s="3"/>
      <c r="D1274" s="3"/>
      <c r="E1274" s="3"/>
      <c r="F1274" s="3"/>
      <c r="G1274" s="3"/>
      <c r="H1274" s="60"/>
      <c r="I1274" s="3"/>
      <c r="J1274" s="55"/>
      <c r="K1274" s="56"/>
      <c r="L1274" s="56"/>
      <c r="M1274" s="57"/>
      <c r="N1274" s="3"/>
      <c r="O1274" s="3"/>
      <c r="P1274" s="51"/>
      <c r="Q1274" s="5"/>
    </row>
    <row x14ac:dyDescent="0.25" r="1275" customHeight="1" ht="15.75">
      <c r="A1275" s="3"/>
      <c r="B1275" s="3"/>
      <c r="C1275" s="3"/>
      <c r="D1275" s="3"/>
      <c r="E1275" s="3"/>
      <c r="F1275" s="3"/>
      <c r="G1275" s="3"/>
      <c r="H1275" s="60"/>
      <c r="I1275" s="3"/>
      <c r="J1275" s="55"/>
      <c r="K1275" s="56"/>
      <c r="L1275" s="56"/>
      <c r="M1275" s="57"/>
      <c r="N1275" s="3"/>
      <c r="O1275" s="3"/>
      <c r="P1275" s="51"/>
      <c r="Q1275" s="5"/>
    </row>
    <row x14ac:dyDescent="0.25" r="1276" customHeight="1" ht="15.75">
      <c r="A1276" s="3"/>
      <c r="B1276" s="3"/>
      <c r="C1276" s="3"/>
      <c r="D1276" s="3"/>
      <c r="E1276" s="3"/>
      <c r="F1276" s="3"/>
      <c r="G1276" s="3"/>
      <c r="H1276" s="60"/>
      <c r="I1276" s="3"/>
      <c r="J1276" s="55"/>
      <c r="K1276" s="56"/>
      <c r="L1276" s="56"/>
      <c r="M1276" s="57"/>
      <c r="N1276" s="3"/>
      <c r="O1276" s="3"/>
      <c r="P1276" s="51"/>
      <c r="Q1276" s="5"/>
    </row>
    <row x14ac:dyDescent="0.25" r="1277" customHeight="1" ht="15.75">
      <c r="A1277" s="3"/>
      <c r="B1277" s="3"/>
      <c r="C1277" s="3"/>
      <c r="D1277" s="3"/>
      <c r="E1277" s="3"/>
      <c r="F1277" s="3"/>
      <c r="G1277" s="3"/>
      <c r="H1277" s="60"/>
      <c r="I1277" s="3"/>
      <c r="J1277" s="55"/>
      <c r="K1277" s="56"/>
      <c r="L1277" s="56"/>
      <c r="M1277" s="57"/>
      <c r="N1277" s="3"/>
      <c r="O1277" s="3"/>
      <c r="P1277" s="51"/>
      <c r="Q1277" s="5"/>
    </row>
    <row x14ac:dyDescent="0.25" r="1278" customHeight="1" ht="15.75">
      <c r="A1278" s="3"/>
      <c r="B1278" s="3"/>
      <c r="C1278" s="3"/>
      <c r="D1278" s="3"/>
      <c r="E1278" s="3"/>
      <c r="F1278" s="3"/>
      <c r="G1278" s="3"/>
      <c r="H1278" s="60"/>
      <c r="I1278" s="3"/>
      <c r="J1278" s="55"/>
      <c r="K1278" s="56"/>
      <c r="L1278" s="56"/>
      <c r="M1278" s="57"/>
      <c r="N1278" s="3"/>
      <c r="O1278" s="3"/>
      <c r="P1278" s="51"/>
      <c r="Q1278" s="5"/>
    </row>
    <row x14ac:dyDescent="0.25" r="1279" customHeight="1" ht="15.75">
      <c r="A1279" s="3"/>
      <c r="B1279" s="3"/>
      <c r="C1279" s="3"/>
      <c r="D1279" s="3"/>
      <c r="E1279" s="3"/>
      <c r="F1279" s="3"/>
      <c r="G1279" s="3"/>
      <c r="H1279" s="60"/>
      <c r="I1279" s="3"/>
      <c r="J1279" s="55"/>
      <c r="K1279" s="56"/>
      <c r="L1279" s="56"/>
      <c r="M1279" s="57"/>
      <c r="N1279" s="3"/>
      <c r="O1279" s="3"/>
      <c r="P1279" s="51"/>
      <c r="Q1279" s="5"/>
    </row>
    <row x14ac:dyDescent="0.25" r="1280" customHeight="1" ht="15.75">
      <c r="A1280" s="3"/>
      <c r="B1280" s="3"/>
      <c r="C1280" s="3"/>
      <c r="D1280" s="3"/>
      <c r="E1280" s="3"/>
      <c r="F1280" s="3"/>
      <c r="G1280" s="3"/>
      <c r="H1280" s="60"/>
      <c r="I1280" s="3"/>
      <c r="J1280" s="55"/>
      <c r="K1280" s="56"/>
      <c r="L1280" s="56"/>
      <c r="M1280" s="57"/>
      <c r="N1280" s="3"/>
      <c r="O1280" s="3"/>
      <c r="P1280" s="51"/>
      <c r="Q1280" s="5"/>
    </row>
    <row x14ac:dyDescent="0.25" r="1281" customHeight="1" ht="15.75">
      <c r="A1281" s="3"/>
      <c r="B1281" s="3"/>
      <c r="C1281" s="3"/>
      <c r="D1281" s="3"/>
      <c r="E1281" s="3"/>
      <c r="F1281" s="3"/>
      <c r="G1281" s="3"/>
      <c r="H1281" s="60"/>
      <c r="I1281" s="3"/>
      <c r="J1281" s="55"/>
      <c r="K1281" s="56"/>
      <c r="L1281" s="56"/>
      <c r="M1281" s="57"/>
      <c r="N1281" s="3"/>
      <c r="O1281" s="3"/>
      <c r="P1281" s="51"/>
      <c r="Q1281" s="5"/>
    </row>
    <row x14ac:dyDescent="0.25" r="1282" customHeight="1" ht="15.75">
      <c r="A1282" s="3"/>
      <c r="B1282" s="3"/>
      <c r="C1282" s="3"/>
      <c r="D1282" s="3"/>
      <c r="E1282" s="3"/>
      <c r="F1282" s="3"/>
      <c r="G1282" s="3"/>
      <c r="H1282" s="60"/>
      <c r="I1282" s="3"/>
      <c r="J1282" s="55"/>
      <c r="K1282" s="56"/>
      <c r="L1282" s="56"/>
      <c r="M1282" s="57"/>
      <c r="N1282" s="3"/>
      <c r="O1282" s="3"/>
      <c r="P1282" s="51"/>
      <c r="Q1282" s="5"/>
    </row>
    <row x14ac:dyDescent="0.25" r="1283" customHeight="1" ht="15.75">
      <c r="A1283" s="3"/>
      <c r="B1283" s="3"/>
      <c r="C1283" s="3"/>
      <c r="D1283" s="3"/>
      <c r="E1283" s="3"/>
      <c r="F1283" s="3"/>
      <c r="G1283" s="3"/>
      <c r="H1283" s="60"/>
      <c r="I1283" s="3"/>
      <c r="J1283" s="55"/>
      <c r="K1283" s="56"/>
      <c r="L1283" s="56"/>
      <c r="M1283" s="57"/>
      <c r="N1283" s="3"/>
      <c r="O1283" s="3"/>
      <c r="P1283" s="51"/>
      <c r="Q1283" s="5"/>
    </row>
    <row x14ac:dyDescent="0.25" r="1284" customHeight="1" ht="15.75">
      <c r="A1284" s="3"/>
      <c r="B1284" s="3"/>
      <c r="C1284" s="3"/>
      <c r="D1284" s="3"/>
      <c r="E1284" s="3"/>
      <c r="F1284" s="3"/>
      <c r="G1284" s="3"/>
      <c r="H1284" s="60"/>
      <c r="I1284" s="3"/>
      <c r="J1284" s="55"/>
      <c r="K1284" s="56"/>
      <c r="L1284" s="56"/>
      <c r="M1284" s="57"/>
      <c r="N1284" s="3"/>
      <c r="O1284" s="3"/>
      <c r="P1284" s="51"/>
      <c r="Q1284" s="5"/>
    </row>
    <row x14ac:dyDescent="0.25" r="1285" customHeight="1" ht="15.75">
      <c r="A1285" s="3"/>
      <c r="B1285" s="3"/>
      <c r="C1285" s="3"/>
      <c r="D1285" s="3"/>
      <c r="E1285" s="3"/>
      <c r="F1285" s="3"/>
      <c r="G1285" s="3"/>
      <c r="H1285" s="60"/>
      <c r="I1285" s="3"/>
      <c r="J1285" s="55"/>
      <c r="K1285" s="56"/>
      <c r="L1285" s="56"/>
      <c r="M1285" s="57"/>
      <c r="N1285" s="3"/>
      <c r="O1285" s="3"/>
      <c r="P1285" s="51"/>
      <c r="Q1285" s="5"/>
    </row>
    <row x14ac:dyDescent="0.25" r="1286" customHeight="1" ht="15.75">
      <c r="A1286" s="3"/>
      <c r="B1286" s="3"/>
      <c r="C1286" s="3"/>
      <c r="D1286" s="3"/>
      <c r="E1286" s="3"/>
      <c r="F1286" s="3"/>
      <c r="G1286" s="3"/>
      <c r="H1286" s="60"/>
      <c r="I1286" s="3"/>
      <c r="J1286" s="55"/>
      <c r="K1286" s="56"/>
      <c r="L1286" s="56"/>
      <c r="M1286" s="57"/>
      <c r="N1286" s="3"/>
      <c r="O1286" s="3"/>
      <c r="P1286" s="51"/>
      <c r="Q1286" s="5"/>
    </row>
    <row x14ac:dyDescent="0.25" r="1287" customHeight="1" ht="15.75">
      <c r="A1287" s="3"/>
      <c r="B1287" s="3"/>
      <c r="C1287" s="3"/>
      <c r="D1287" s="3"/>
      <c r="E1287" s="3"/>
      <c r="F1287" s="3"/>
      <c r="G1287" s="3"/>
      <c r="H1287" s="60"/>
      <c r="I1287" s="3"/>
      <c r="J1287" s="55"/>
      <c r="K1287" s="56"/>
      <c r="L1287" s="56"/>
      <c r="M1287" s="57"/>
      <c r="N1287" s="3"/>
      <c r="O1287" s="3"/>
      <c r="P1287" s="51"/>
      <c r="Q1287" s="5"/>
    </row>
    <row x14ac:dyDescent="0.25" r="1288" customHeight="1" ht="15.75">
      <c r="A1288" s="3"/>
      <c r="B1288" s="3"/>
      <c r="C1288" s="3"/>
      <c r="D1288" s="3"/>
      <c r="E1288" s="3"/>
      <c r="F1288" s="3"/>
      <c r="G1288" s="3"/>
      <c r="H1288" s="60"/>
      <c r="I1288" s="3"/>
      <c r="J1288" s="55"/>
      <c r="K1288" s="56"/>
      <c r="L1288" s="56"/>
      <c r="M1288" s="57"/>
      <c r="N1288" s="3"/>
      <c r="O1288" s="3"/>
      <c r="P1288" s="51"/>
      <c r="Q1288" s="5"/>
    </row>
    <row x14ac:dyDescent="0.25" r="1289" customHeight="1" ht="15.75">
      <c r="A1289" s="3"/>
      <c r="B1289" s="3"/>
      <c r="C1289" s="3"/>
      <c r="D1289" s="3"/>
      <c r="E1289" s="3"/>
      <c r="F1289" s="3"/>
      <c r="G1289" s="3"/>
      <c r="H1289" s="60"/>
      <c r="I1289" s="3"/>
      <c r="J1289" s="55"/>
      <c r="K1289" s="56"/>
      <c r="L1289" s="56"/>
      <c r="M1289" s="57"/>
      <c r="N1289" s="3"/>
      <c r="O1289" s="3"/>
      <c r="P1289" s="51"/>
      <c r="Q1289" s="5"/>
    </row>
    <row x14ac:dyDescent="0.25" r="1290" customHeight="1" ht="15.75">
      <c r="A1290" s="3"/>
      <c r="B1290" s="3"/>
      <c r="C1290" s="3"/>
      <c r="D1290" s="3"/>
      <c r="E1290" s="3"/>
      <c r="F1290" s="3"/>
      <c r="G1290" s="3"/>
      <c r="H1290" s="60"/>
      <c r="I1290" s="3"/>
      <c r="J1290" s="55"/>
      <c r="K1290" s="56"/>
      <c r="L1290" s="56"/>
      <c r="M1290" s="57"/>
      <c r="N1290" s="3"/>
      <c r="O1290" s="3"/>
      <c r="P1290" s="51"/>
      <c r="Q1290" s="5"/>
    </row>
    <row x14ac:dyDescent="0.25" r="1291" customHeight="1" ht="15.75">
      <c r="A1291" s="3"/>
      <c r="B1291" s="3"/>
      <c r="C1291" s="3"/>
      <c r="D1291" s="3"/>
      <c r="E1291" s="3"/>
      <c r="F1291" s="3"/>
      <c r="G1291" s="3"/>
      <c r="H1291" s="60"/>
      <c r="I1291" s="3"/>
      <c r="J1291" s="55"/>
      <c r="K1291" s="56"/>
      <c r="L1291" s="56"/>
      <c r="M1291" s="57"/>
      <c r="N1291" s="3"/>
      <c r="O1291" s="3"/>
      <c r="P1291" s="51"/>
      <c r="Q1291" s="5"/>
    </row>
    <row x14ac:dyDescent="0.25" r="1292" customHeight="1" ht="15.75">
      <c r="A1292" s="3"/>
      <c r="B1292" s="3"/>
      <c r="C1292" s="3"/>
      <c r="D1292" s="3"/>
      <c r="E1292" s="3"/>
      <c r="F1292" s="3"/>
      <c r="G1292" s="3"/>
      <c r="H1292" s="60"/>
      <c r="I1292" s="3"/>
      <c r="J1292" s="55"/>
      <c r="K1292" s="56"/>
      <c r="L1292" s="56"/>
      <c r="M1292" s="57"/>
      <c r="N1292" s="3"/>
      <c r="O1292" s="3"/>
      <c r="P1292" s="51"/>
      <c r="Q1292" s="5"/>
    </row>
    <row x14ac:dyDescent="0.25" r="1293" customHeight="1" ht="15.75">
      <c r="A1293" s="3"/>
      <c r="B1293" s="3"/>
      <c r="C1293" s="3"/>
      <c r="D1293" s="3"/>
      <c r="E1293" s="3"/>
      <c r="F1293" s="3"/>
      <c r="G1293" s="3"/>
      <c r="H1293" s="60"/>
      <c r="I1293" s="3"/>
      <c r="J1293" s="55"/>
      <c r="K1293" s="56"/>
      <c r="L1293" s="56"/>
      <c r="M1293" s="57"/>
      <c r="N1293" s="3"/>
      <c r="O1293" s="3"/>
      <c r="P1293" s="51"/>
      <c r="Q1293" s="5"/>
    </row>
    <row x14ac:dyDescent="0.25" r="1294" customHeight="1" ht="15.75">
      <c r="A1294" s="3"/>
      <c r="B1294" s="3"/>
      <c r="C1294" s="3"/>
      <c r="D1294" s="3"/>
      <c r="E1294" s="3"/>
      <c r="F1294" s="3"/>
      <c r="G1294" s="3"/>
      <c r="H1294" s="60"/>
      <c r="I1294" s="3"/>
      <c r="J1294" s="55"/>
      <c r="K1294" s="56"/>
      <c r="L1294" s="56"/>
      <c r="M1294" s="57"/>
      <c r="N1294" s="3"/>
      <c r="O1294" s="3"/>
      <c r="P1294" s="51"/>
      <c r="Q1294" s="5"/>
    </row>
    <row x14ac:dyDescent="0.25" r="1295" customHeight="1" ht="15.75">
      <c r="A1295" s="3"/>
      <c r="B1295" s="3"/>
      <c r="C1295" s="3"/>
      <c r="D1295" s="3"/>
      <c r="E1295" s="3"/>
      <c r="F1295" s="3"/>
      <c r="G1295" s="3"/>
      <c r="H1295" s="60"/>
      <c r="I1295" s="3"/>
      <c r="J1295" s="55"/>
      <c r="K1295" s="56"/>
      <c r="L1295" s="56"/>
      <c r="M1295" s="57"/>
      <c r="N1295" s="3"/>
      <c r="O1295" s="3"/>
      <c r="P1295" s="51"/>
      <c r="Q1295" s="5"/>
    </row>
    <row x14ac:dyDescent="0.25" r="1296" customHeight="1" ht="15.75">
      <c r="A1296" s="3"/>
      <c r="B1296" s="3"/>
      <c r="C1296" s="3"/>
      <c r="D1296" s="3"/>
      <c r="E1296" s="3"/>
      <c r="F1296" s="3"/>
      <c r="G1296" s="3"/>
      <c r="H1296" s="60"/>
      <c r="I1296" s="3"/>
      <c r="J1296" s="55"/>
      <c r="K1296" s="56"/>
      <c r="L1296" s="56"/>
      <c r="M1296" s="57"/>
      <c r="N1296" s="3"/>
      <c r="O1296" s="3"/>
      <c r="P1296" s="51"/>
      <c r="Q1296" s="5"/>
    </row>
    <row x14ac:dyDescent="0.25" r="1297" customHeight="1" ht="15.75">
      <c r="A1297" s="3"/>
      <c r="B1297" s="3"/>
      <c r="C1297" s="3"/>
      <c r="D1297" s="3"/>
      <c r="E1297" s="3"/>
      <c r="F1297" s="3"/>
      <c r="G1297" s="3"/>
      <c r="H1297" s="60"/>
      <c r="I1297" s="3"/>
      <c r="J1297" s="55"/>
      <c r="K1297" s="56"/>
      <c r="L1297" s="56"/>
      <c r="M1297" s="57"/>
      <c r="N1297" s="3"/>
      <c r="O1297" s="3"/>
      <c r="P1297" s="51"/>
      <c r="Q1297" s="5"/>
    </row>
    <row x14ac:dyDescent="0.25" r="1298" customHeight="1" ht="15.75">
      <c r="A1298" s="3"/>
      <c r="B1298" s="3"/>
      <c r="C1298" s="3"/>
      <c r="D1298" s="3"/>
      <c r="E1298" s="3"/>
      <c r="F1298" s="3"/>
      <c r="G1298" s="3"/>
      <c r="H1298" s="60"/>
      <c r="I1298" s="3"/>
      <c r="J1298" s="55"/>
      <c r="K1298" s="56"/>
      <c r="L1298" s="56"/>
      <c r="M1298" s="57"/>
      <c r="N1298" s="3"/>
      <c r="O1298" s="3"/>
      <c r="P1298" s="51"/>
      <c r="Q1298" s="5"/>
    </row>
    <row x14ac:dyDescent="0.25" r="1299" customHeight="1" ht="15.75">
      <c r="A1299" s="3"/>
      <c r="B1299" s="3"/>
      <c r="C1299" s="3"/>
      <c r="D1299" s="3"/>
      <c r="E1299" s="3"/>
      <c r="F1299" s="3"/>
      <c r="G1299" s="3"/>
      <c r="H1299" s="60"/>
      <c r="I1299" s="3"/>
      <c r="J1299" s="55"/>
      <c r="K1299" s="56"/>
      <c r="L1299" s="56"/>
      <c r="M1299" s="57"/>
      <c r="N1299" s="3"/>
      <c r="O1299" s="3"/>
      <c r="P1299" s="51"/>
      <c r="Q1299" s="5"/>
    </row>
    <row x14ac:dyDescent="0.25" r="1300" customHeight="1" ht="15.75">
      <c r="A1300" s="3"/>
      <c r="B1300" s="3"/>
      <c r="C1300" s="3"/>
      <c r="D1300" s="3"/>
      <c r="E1300" s="3"/>
      <c r="F1300" s="3"/>
      <c r="G1300" s="3"/>
      <c r="H1300" s="60"/>
      <c r="I1300" s="3"/>
      <c r="J1300" s="55"/>
      <c r="K1300" s="56"/>
      <c r="L1300" s="56"/>
      <c r="M1300" s="57"/>
      <c r="N1300" s="3"/>
      <c r="O1300" s="3"/>
      <c r="P1300" s="51"/>
      <c r="Q1300" s="5"/>
    </row>
    <row x14ac:dyDescent="0.25" r="1301" customHeight="1" ht="15.75">
      <c r="A1301" s="3"/>
      <c r="B1301" s="3"/>
      <c r="C1301" s="3"/>
      <c r="D1301" s="3"/>
      <c r="E1301" s="3"/>
      <c r="F1301" s="3"/>
      <c r="G1301" s="3"/>
      <c r="H1301" s="60"/>
      <c r="I1301" s="3"/>
      <c r="J1301" s="55"/>
      <c r="K1301" s="56"/>
      <c r="L1301" s="56"/>
      <c r="M1301" s="57"/>
      <c r="N1301" s="3"/>
      <c r="O1301" s="3"/>
      <c r="P1301" s="51"/>
      <c r="Q1301" s="5"/>
    </row>
    <row x14ac:dyDescent="0.25" r="1302" customHeight="1" ht="15.75">
      <c r="A1302" s="3"/>
      <c r="B1302" s="3"/>
      <c r="C1302" s="3"/>
      <c r="D1302" s="3"/>
      <c r="E1302" s="3"/>
      <c r="F1302" s="3"/>
      <c r="G1302" s="3"/>
      <c r="H1302" s="60"/>
      <c r="I1302" s="3"/>
      <c r="J1302" s="55"/>
      <c r="K1302" s="56"/>
      <c r="L1302" s="56"/>
      <c r="M1302" s="57"/>
      <c r="N1302" s="3"/>
      <c r="O1302" s="3"/>
      <c r="P1302" s="51"/>
      <c r="Q1302" s="5"/>
    </row>
    <row x14ac:dyDescent="0.25" r="1303" customHeight="1" ht="15.75">
      <c r="A1303" s="3"/>
      <c r="B1303" s="3"/>
      <c r="C1303" s="3"/>
      <c r="D1303" s="3"/>
      <c r="E1303" s="3"/>
      <c r="F1303" s="3"/>
      <c r="G1303" s="3"/>
      <c r="H1303" s="60"/>
      <c r="I1303" s="3"/>
      <c r="J1303" s="55"/>
      <c r="K1303" s="56"/>
      <c r="L1303" s="56"/>
      <c r="M1303" s="57"/>
      <c r="N1303" s="3"/>
      <c r="O1303" s="3"/>
      <c r="P1303" s="51"/>
      <c r="Q1303" s="5"/>
    </row>
    <row x14ac:dyDescent="0.25" r="1304" customHeight="1" ht="15.75">
      <c r="A1304" s="3"/>
      <c r="B1304" s="3"/>
      <c r="C1304" s="3"/>
      <c r="D1304" s="3"/>
      <c r="E1304" s="3"/>
      <c r="F1304" s="3"/>
      <c r="G1304" s="3"/>
      <c r="H1304" s="60"/>
      <c r="I1304" s="3"/>
      <c r="J1304" s="55"/>
      <c r="K1304" s="56"/>
      <c r="L1304" s="56"/>
      <c r="M1304" s="57"/>
      <c r="N1304" s="3"/>
      <c r="O1304" s="3"/>
      <c r="P1304" s="51"/>
      <c r="Q1304" s="5"/>
    </row>
    <row x14ac:dyDescent="0.25" r="1305" customHeight="1" ht="15.75">
      <c r="A1305" s="3"/>
      <c r="B1305" s="3"/>
      <c r="C1305" s="3"/>
      <c r="D1305" s="3"/>
      <c r="E1305" s="3"/>
      <c r="F1305" s="3"/>
      <c r="G1305" s="3"/>
      <c r="H1305" s="60"/>
      <c r="I1305" s="3"/>
      <c r="J1305" s="55"/>
      <c r="K1305" s="56"/>
      <c r="L1305" s="56"/>
      <c r="M1305" s="57"/>
      <c r="N1305" s="3"/>
      <c r="O1305" s="3"/>
      <c r="P1305" s="51"/>
      <c r="Q1305" s="5"/>
    </row>
    <row x14ac:dyDescent="0.25" r="1306" customHeight="1" ht="15.75">
      <c r="A1306" s="3"/>
      <c r="B1306" s="3"/>
      <c r="C1306" s="3"/>
      <c r="D1306" s="3"/>
      <c r="E1306" s="3"/>
      <c r="F1306" s="3"/>
      <c r="G1306" s="3"/>
      <c r="H1306" s="60"/>
      <c r="I1306" s="3"/>
      <c r="J1306" s="55"/>
      <c r="K1306" s="56"/>
      <c r="L1306" s="56"/>
      <c r="M1306" s="57"/>
      <c r="N1306" s="3"/>
      <c r="O1306" s="3"/>
      <c r="P1306" s="51"/>
      <c r="Q1306" s="5"/>
    </row>
    <row x14ac:dyDescent="0.25" r="1307" customHeight="1" ht="15.75">
      <c r="A1307" s="3"/>
      <c r="B1307" s="3"/>
      <c r="C1307" s="3"/>
      <c r="D1307" s="3"/>
      <c r="E1307" s="3"/>
      <c r="F1307" s="3"/>
      <c r="G1307" s="3"/>
      <c r="H1307" s="60"/>
      <c r="I1307" s="3"/>
      <c r="J1307" s="55"/>
      <c r="K1307" s="56"/>
      <c r="L1307" s="56"/>
      <c r="M1307" s="57"/>
      <c r="N1307" s="3"/>
      <c r="O1307" s="3"/>
      <c r="P1307" s="51"/>
      <c r="Q1307" s="5"/>
    </row>
    <row x14ac:dyDescent="0.25" r="1308" customHeight="1" ht="15.75">
      <c r="A1308" s="3"/>
      <c r="B1308" s="3"/>
      <c r="C1308" s="3"/>
      <c r="D1308" s="3"/>
      <c r="E1308" s="3"/>
      <c r="F1308" s="3"/>
      <c r="G1308" s="3"/>
      <c r="H1308" s="60"/>
      <c r="I1308" s="3"/>
      <c r="J1308" s="55"/>
      <c r="K1308" s="56"/>
      <c r="L1308" s="56"/>
      <c r="M1308" s="57"/>
      <c r="N1308" s="3"/>
      <c r="O1308" s="3"/>
      <c r="P1308" s="51"/>
      <c r="Q1308" s="5"/>
    </row>
    <row x14ac:dyDescent="0.25" r="1309" customHeight="1" ht="15.75">
      <c r="A1309" s="3"/>
      <c r="B1309" s="3"/>
      <c r="C1309" s="3"/>
      <c r="D1309" s="3"/>
      <c r="E1309" s="3"/>
      <c r="F1309" s="3"/>
      <c r="G1309" s="3"/>
      <c r="H1309" s="60"/>
      <c r="I1309" s="3"/>
      <c r="J1309" s="55"/>
      <c r="K1309" s="56"/>
      <c r="L1309" s="56"/>
      <c r="M1309" s="57"/>
      <c r="N1309" s="3"/>
      <c r="O1309" s="3"/>
      <c r="P1309" s="51"/>
      <c r="Q1309" s="5"/>
    </row>
    <row x14ac:dyDescent="0.25" r="1310" customHeight="1" ht="15.75">
      <c r="A1310" s="3"/>
      <c r="B1310" s="3"/>
      <c r="C1310" s="3"/>
      <c r="D1310" s="3"/>
      <c r="E1310" s="3"/>
      <c r="F1310" s="3"/>
      <c r="G1310" s="3"/>
      <c r="H1310" s="60"/>
      <c r="I1310" s="3"/>
      <c r="J1310" s="55"/>
      <c r="K1310" s="56"/>
      <c r="L1310" s="56"/>
      <c r="M1310" s="57"/>
      <c r="N1310" s="3"/>
      <c r="O1310" s="3"/>
      <c r="P1310" s="51"/>
      <c r="Q1310" s="5"/>
    </row>
    <row x14ac:dyDescent="0.25" r="1311" customHeight="1" ht="15.75">
      <c r="A1311" s="3"/>
      <c r="B1311" s="3"/>
      <c r="C1311" s="3"/>
      <c r="D1311" s="3"/>
      <c r="E1311" s="3"/>
      <c r="F1311" s="3"/>
      <c r="G1311" s="3"/>
      <c r="H1311" s="60"/>
      <c r="I1311" s="3"/>
      <c r="J1311" s="55"/>
      <c r="K1311" s="56"/>
      <c r="L1311" s="56"/>
      <c r="M1311" s="57"/>
      <c r="N1311" s="3"/>
      <c r="O1311" s="3"/>
      <c r="P1311" s="51"/>
      <c r="Q1311" s="5"/>
    </row>
    <row x14ac:dyDescent="0.25" r="1312" customHeight="1" ht="15.75">
      <c r="A1312" s="3"/>
      <c r="B1312" s="3"/>
      <c r="C1312" s="3"/>
      <c r="D1312" s="3"/>
      <c r="E1312" s="3"/>
      <c r="F1312" s="3"/>
      <c r="G1312" s="3"/>
      <c r="H1312" s="60"/>
      <c r="I1312" s="3"/>
      <c r="J1312" s="55"/>
      <c r="K1312" s="56"/>
      <c r="L1312" s="56"/>
      <c r="M1312" s="57"/>
      <c r="N1312" s="3"/>
      <c r="O1312" s="3"/>
      <c r="P1312" s="51"/>
      <c r="Q1312" s="5"/>
    </row>
    <row x14ac:dyDescent="0.25" r="1313" customHeight="1" ht="15.75">
      <c r="A1313" s="3"/>
      <c r="B1313" s="3"/>
      <c r="C1313" s="3"/>
      <c r="D1313" s="3"/>
      <c r="E1313" s="3"/>
      <c r="F1313" s="3"/>
      <c r="G1313" s="3"/>
      <c r="H1313" s="60"/>
      <c r="I1313" s="3"/>
      <c r="J1313" s="55"/>
      <c r="K1313" s="56"/>
      <c r="L1313" s="56"/>
      <c r="M1313" s="57"/>
      <c r="N1313" s="3"/>
      <c r="O1313" s="3"/>
      <c r="P1313" s="51"/>
      <c r="Q1313" s="5"/>
    </row>
    <row x14ac:dyDescent="0.25" r="1314" customHeight="1" ht="15.75">
      <c r="A1314" s="3"/>
      <c r="B1314" s="3"/>
      <c r="C1314" s="3"/>
      <c r="D1314" s="3"/>
      <c r="E1314" s="3"/>
      <c r="F1314" s="3"/>
      <c r="G1314" s="3"/>
      <c r="H1314" s="60"/>
      <c r="I1314" s="3"/>
      <c r="J1314" s="55"/>
      <c r="K1314" s="56"/>
      <c r="L1314" s="56"/>
      <c r="M1314" s="57"/>
      <c r="N1314" s="3"/>
      <c r="O1314" s="3"/>
      <c r="P1314" s="51"/>
      <c r="Q1314" s="5"/>
    </row>
    <row x14ac:dyDescent="0.25" r="1315" customHeight="1" ht="15.75">
      <c r="A1315" s="3"/>
      <c r="B1315" s="3"/>
      <c r="C1315" s="3"/>
      <c r="D1315" s="3"/>
      <c r="E1315" s="3"/>
      <c r="F1315" s="3"/>
      <c r="G1315" s="3"/>
      <c r="H1315" s="60"/>
      <c r="I1315" s="3"/>
      <c r="J1315" s="55"/>
      <c r="K1315" s="56"/>
      <c r="L1315" s="56"/>
      <c r="M1315" s="57"/>
      <c r="N1315" s="3"/>
      <c r="O1315" s="3"/>
      <c r="P1315" s="51"/>
      <c r="Q1315" s="5"/>
    </row>
    <row x14ac:dyDescent="0.25" r="1316" customHeight="1" ht="15.75">
      <c r="A1316" s="3"/>
      <c r="B1316" s="3"/>
      <c r="C1316" s="3"/>
      <c r="D1316" s="3"/>
      <c r="E1316" s="3"/>
      <c r="F1316" s="3"/>
      <c r="G1316" s="3"/>
      <c r="H1316" s="60"/>
      <c r="I1316" s="3"/>
      <c r="J1316" s="55"/>
      <c r="K1316" s="56"/>
      <c r="L1316" s="56"/>
      <c r="M1316" s="57"/>
      <c r="N1316" s="3"/>
      <c r="O1316" s="3"/>
      <c r="P1316" s="51"/>
      <c r="Q1316" s="5"/>
    </row>
    <row x14ac:dyDescent="0.25" r="1317" customHeight="1" ht="15.75">
      <c r="A1317" s="3"/>
      <c r="B1317" s="3"/>
      <c r="C1317" s="3"/>
      <c r="D1317" s="3"/>
      <c r="E1317" s="3"/>
      <c r="F1317" s="3"/>
      <c r="G1317" s="3"/>
      <c r="H1317" s="60"/>
      <c r="I1317" s="3"/>
      <c r="J1317" s="55"/>
      <c r="K1317" s="56"/>
      <c r="L1317" s="56"/>
      <c r="M1317" s="57"/>
      <c r="N1317" s="3"/>
      <c r="O1317" s="3"/>
      <c r="P1317" s="51"/>
      <c r="Q1317" s="5"/>
    </row>
    <row x14ac:dyDescent="0.25" r="1318" customHeight="1" ht="15.75">
      <c r="A1318" s="3"/>
      <c r="B1318" s="3"/>
      <c r="C1318" s="3"/>
      <c r="D1318" s="3"/>
      <c r="E1318" s="3"/>
      <c r="F1318" s="3"/>
      <c r="G1318" s="3"/>
      <c r="H1318" s="60"/>
      <c r="I1318" s="3"/>
      <c r="J1318" s="55"/>
      <c r="K1318" s="56"/>
      <c r="L1318" s="56"/>
      <c r="M1318" s="57"/>
      <c r="N1318" s="3"/>
      <c r="O1318" s="3"/>
      <c r="P1318" s="51"/>
      <c r="Q1318" s="5"/>
    </row>
    <row x14ac:dyDescent="0.25" r="1319" customHeight="1" ht="15.75">
      <c r="A1319" s="3"/>
      <c r="B1319" s="3"/>
      <c r="C1319" s="3"/>
      <c r="D1319" s="3"/>
      <c r="E1319" s="3"/>
      <c r="F1319" s="3"/>
      <c r="G1319" s="3"/>
      <c r="H1319" s="60"/>
      <c r="I1319" s="3"/>
      <c r="J1319" s="55"/>
      <c r="K1319" s="56"/>
      <c r="L1319" s="56"/>
      <c r="M1319" s="57"/>
      <c r="N1319" s="3"/>
      <c r="O1319" s="3"/>
      <c r="P1319" s="51"/>
      <c r="Q1319" s="5"/>
    </row>
    <row x14ac:dyDescent="0.25" r="1320" customHeight="1" ht="15.75">
      <c r="A1320" s="3"/>
      <c r="B1320" s="3"/>
      <c r="C1320" s="3"/>
      <c r="D1320" s="3"/>
      <c r="E1320" s="3"/>
      <c r="F1320" s="3"/>
      <c r="G1320" s="3"/>
      <c r="H1320" s="60"/>
      <c r="I1320" s="3"/>
      <c r="J1320" s="55"/>
      <c r="K1320" s="56"/>
      <c r="L1320" s="56"/>
      <c r="M1320" s="57"/>
      <c r="N1320" s="3"/>
      <c r="O1320" s="3"/>
      <c r="P1320" s="51"/>
      <c r="Q1320" s="5"/>
    </row>
    <row x14ac:dyDescent="0.25" r="1321" customHeight="1" ht="15.75">
      <c r="A1321" s="3"/>
      <c r="B1321" s="3"/>
      <c r="C1321" s="3"/>
      <c r="D1321" s="3"/>
      <c r="E1321" s="3"/>
      <c r="F1321" s="3"/>
      <c r="G1321" s="3"/>
      <c r="H1321" s="60"/>
      <c r="I1321" s="3"/>
      <c r="J1321" s="55"/>
      <c r="K1321" s="56"/>
      <c r="L1321" s="56"/>
      <c r="M1321" s="57"/>
      <c r="N1321" s="3"/>
      <c r="O1321" s="3"/>
      <c r="P1321" s="51"/>
      <c r="Q1321" s="5"/>
    </row>
    <row x14ac:dyDescent="0.25" r="1322" customHeight="1" ht="15.75">
      <c r="A1322" s="3"/>
      <c r="B1322" s="3"/>
      <c r="C1322" s="3"/>
      <c r="D1322" s="3"/>
      <c r="E1322" s="3"/>
      <c r="F1322" s="3"/>
      <c r="G1322" s="3"/>
      <c r="H1322" s="60"/>
      <c r="I1322" s="3"/>
      <c r="J1322" s="55"/>
      <c r="K1322" s="56"/>
      <c r="L1322" s="56"/>
      <c r="M1322" s="57"/>
      <c r="N1322" s="3"/>
      <c r="O1322" s="3"/>
      <c r="P1322" s="51"/>
      <c r="Q1322" s="5"/>
    </row>
    <row x14ac:dyDescent="0.25" r="1323" customHeight="1" ht="15.75">
      <c r="A1323" s="3"/>
      <c r="B1323" s="3"/>
      <c r="C1323" s="3"/>
      <c r="D1323" s="3"/>
      <c r="E1323" s="3"/>
      <c r="F1323" s="3"/>
      <c r="G1323" s="3"/>
      <c r="H1323" s="60"/>
      <c r="I1323" s="3"/>
      <c r="J1323" s="55"/>
      <c r="K1323" s="56"/>
      <c r="L1323" s="56"/>
      <c r="M1323" s="57"/>
      <c r="N1323" s="3"/>
      <c r="O1323" s="3"/>
      <c r="P1323" s="51"/>
      <c r="Q1323" s="5"/>
    </row>
    <row x14ac:dyDescent="0.25" r="1324" customHeight="1" ht="15.75">
      <c r="A1324" s="3"/>
      <c r="B1324" s="3"/>
      <c r="C1324" s="3"/>
      <c r="D1324" s="3"/>
      <c r="E1324" s="3"/>
      <c r="F1324" s="3"/>
      <c r="G1324" s="3"/>
      <c r="H1324" s="60"/>
      <c r="I1324" s="3"/>
      <c r="J1324" s="55"/>
      <c r="K1324" s="56"/>
      <c r="L1324" s="56"/>
      <c r="M1324" s="57"/>
      <c r="N1324" s="3"/>
      <c r="O1324" s="3"/>
      <c r="P1324" s="51"/>
      <c r="Q1324" s="5"/>
    </row>
    <row x14ac:dyDescent="0.25" r="1325" customHeight="1" ht="15.75">
      <c r="A1325" s="3"/>
      <c r="B1325" s="3"/>
      <c r="C1325" s="3"/>
      <c r="D1325" s="3"/>
      <c r="E1325" s="3"/>
      <c r="F1325" s="3"/>
      <c r="G1325" s="3"/>
      <c r="H1325" s="60"/>
      <c r="I1325" s="3"/>
      <c r="J1325" s="55"/>
      <c r="K1325" s="56"/>
      <c r="L1325" s="56"/>
      <c r="M1325" s="57"/>
      <c r="N1325" s="3"/>
      <c r="O1325" s="3"/>
      <c r="P1325" s="51"/>
      <c r="Q1325" s="5"/>
    </row>
    <row x14ac:dyDescent="0.25" r="1326" customHeight="1" ht="15.75">
      <c r="A1326" s="3"/>
      <c r="B1326" s="3"/>
      <c r="C1326" s="3"/>
      <c r="D1326" s="3"/>
      <c r="E1326" s="3"/>
      <c r="F1326" s="3"/>
      <c r="G1326" s="3"/>
      <c r="H1326" s="60"/>
      <c r="I1326" s="3"/>
      <c r="J1326" s="55"/>
      <c r="K1326" s="56"/>
      <c r="L1326" s="56"/>
      <c r="M1326" s="57"/>
      <c r="N1326" s="3"/>
      <c r="O1326" s="3"/>
      <c r="P1326" s="51"/>
      <c r="Q1326" s="5"/>
    </row>
    <row x14ac:dyDescent="0.25" r="1327" customHeight="1" ht="15.75">
      <c r="A1327" s="3"/>
      <c r="B1327" s="3"/>
      <c r="C1327" s="3"/>
      <c r="D1327" s="3"/>
      <c r="E1327" s="3"/>
      <c r="F1327" s="3"/>
      <c r="G1327" s="3"/>
      <c r="H1327" s="60"/>
      <c r="I1327" s="3"/>
      <c r="J1327" s="55"/>
      <c r="K1327" s="56"/>
      <c r="L1327" s="56"/>
      <c r="M1327" s="57"/>
      <c r="N1327" s="3"/>
      <c r="O1327" s="3"/>
      <c r="P1327" s="51"/>
      <c r="Q1327" s="5"/>
    </row>
    <row x14ac:dyDescent="0.25" r="1328" customHeight="1" ht="15.75">
      <c r="A1328" s="3"/>
      <c r="B1328" s="3"/>
      <c r="C1328" s="3"/>
      <c r="D1328" s="3"/>
      <c r="E1328" s="3"/>
      <c r="F1328" s="3"/>
      <c r="G1328" s="3"/>
      <c r="H1328" s="60"/>
      <c r="I1328" s="3"/>
      <c r="J1328" s="55"/>
      <c r="K1328" s="56"/>
      <c r="L1328" s="56"/>
      <c r="M1328" s="57"/>
      <c r="N1328" s="3"/>
      <c r="O1328" s="3"/>
      <c r="P1328" s="51"/>
      <c r="Q1328" s="5"/>
    </row>
    <row x14ac:dyDescent="0.25" r="1329" customHeight="1" ht="15.75">
      <c r="A1329" s="3"/>
      <c r="B1329" s="3"/>
      <c r="C1329" s="3"/>
      <c r="D1329" s="3"/>
      <c r="E1329" s="3"/>
      <c r="F1329" s="3"/>
      <c r="G1329" s="3"/>
      <c r="H1329" s="60"/>
      <c r="I1329" s="3"/>
      <c r="J1329" s="55"/>
      <c r="K1329" s="56"/>
      <c r="L1329" s="56"/>
      <c r="M1329" s="57"/>
      <c r="N1329" s="3"/>
      <c r="O1329" s="3"/>
      <c r="P1329" s="51"/>
      <c r="Q1329" s="5"/>
    </row>
    <row x14ac:dyDescent="0.25" r="1330" customHeight="1" ht="15.75">
      <c r="A1330" s="3"/>
      <c r="B1330" s="3"/>
      <c r="C1330" s="3"/>
      <c r="D1330" s="3"/>
      <c r="E1330" s="3"/>
      <c r="F1330" s="3"/>
      <c r="G1330" s="3"/>
      <c r="H1330" s="60"/>
      <c r="I1330" s="3"/>
      <c r="J1330" s="55"/>
      <c r="K1330" s="56"/>
      <c r="L1330" s="56"/>
      <c r="M1330" s="57"/>
      <c r="N1330" s="3"/>
      <c r="O1330" s="3"/>
      <c r="P1330" s="51"/>
      <c r="Q1330" s="5"/>
    </row>
    <row x14ac:dyDescent="0.25" r="1331" customHeight="1" ht="15.75">
      <c r="A1331" s="3"/>
      <c r="B1331" s="3"/>
      <c r="C1331" s="3"/>
      <c r="D1331" s="3"/>
      <c r="E1331" s="3"/>
      <c r="F1331" s="3"/>
      <c r="G1331" s="3"/>
      <c r="H1331" s="60"/>
      <c r="I1331" s="3"/>
      <c r="J1331" s="55"/>
      <c r="K1331" s="56"/>
      <c r="L1331" s="56"/>
      <c r="M1331" s="57"/>
      <c r="N1331" s="3"/>
      <c r="O1331" s="3"/>
      <c r="P1331" s="51"/>
      <c r="Q1331" s="5"/>
    </row>
    <row x14ac:dyDescent="0.25" r="1332" customHeight="1" ht="15.75">
      <c r="A1332" s="3"/>
      <c r="B1332" s="3"/>
      <c r="C1332" s="3"/>
      <c r="D1332" s="3"/>
      <c r="E1332" s="3"/>
      <c r="F1332" s="3"/>
      <c r="G1332" s="3"/>
      <c r="H1332" s="60"/>
      <c r="I1332" s="3"/>
      <c r="J1332" s="55"/>
      <c r="K1332" s="56"/>
      <c r="L1332" s="56"/>
      <c r="M1332" s="57"/>
      <c r="N1332" s="3"/>
      <c r="O1332" s="3"/>
      <c r="P1332" s="51"/>
      <c r="Q1332" s="5"/>
    </row>
    <row x14ac:dyDescent="0.25" r="1333" customHeight="1" ht="15.75">
      <c r="A1333" s="3"/>
      <c r="B1333" s="3"/>
      <c r="C1333" s="3"/>
      <c r="D1333" s="3"/>
      <c r="E1333" s="3"/>
      <c r="F1333" s="3"/>
      <c r="G1333" s="3"/>
      <c r="H1333" s="60"/>
      <c r="I1333" s="3"/>
      <c r="J1333" s="55"/>
      <c r="K1333" s="56"/>
      <c r="L1333" s="56"/>
      <c r="M1333" s="57"/>
      <c r="N1333" s="3"/>
      <c r="O1333" s="3"/>
      <c r="P1333" s="51"/>
      <c r="Q1333" s="5"/>
    </row>
    <row x14ac:dyDescent="0.25" r="1334" customHeight="1" ht="15.75">
      <c r="A1334" s="3"/>
      <c r="B1334" s="3"/>
      <c r="C1334" s="3"/>
      <c r="D1334" s="3"/>
      <c r="E1334" s="3"/>
      <c r="F1334" s="3"/>
      <c r="G1334" s="3"/>
      <c r="H1334" s="60"/>
      <c r="I1334" s="3"/>
      <c r="J1334" s="55"/>
      <c r="K1334" s="56"/>
      <c r="L1334" s="56"/>
      <c r="M1334" s="57"/>
      <c r="N1334" s="3"/>
      <c r="O1334" s="3"/>
      <c r="P1334" s="51"/>
      <c r="Q1334" s="5"/>
    </row>
    <row x14ac:dyDescent="0.25" r="1335" customHeight="1" ht="15.75">
      <c r="A1335" s="3"/>
      <c r="B1335" s="3"/>
      <c r="C1335" s="3"/>
      <c r="D1335" s="3"/>
      <c r="E1335" s="3"/>
      <c r="F1335" s="3"/>
      <c r="G1335" s="3"/>
      <c r="H1335" s="60"/>
      <c r="I1335" s="3"/>
      <c r="J1335" s="55"/>
      <c r="K1335" s="56"/>
      <c r="L1335" s="56"/>
      <c r="M1335" s="57"/>
      <c r="N1335" s="3"/>
      <c r="O1335" s="3"/>
      <c r="P1335" s="51"/>
      <c r="Q1335" s="5"/>
    </row>
    <row x14ac:dyDescent="0.25" r="1336" customHeight="1" ht="15.75">
      <c r="A1336" s="3"/>
      <c r="B1336" s="3"/>
      <c r="C1336" s="3"/>
      <c r="D1336" s="3"/>
      <c r="E1336" s="3"/>
      <c r="F1336" s="3"/>
      <c r="G1336" s="3"/>
      <c r="H1336" s="60"/>
      <c r="I1336" s="3"/>
      <c r="J1336" s="55"/>
      <c r="K1336" s="56"/>
      <c r="L1336" s="56"/>
      <c r="M1336" s="57"/>
      <c r="N1336" s="3"/>
      <c r="O1336" s="3"/>
      <c r="P1336" s="51"/>
      <c r="Q1336" s="5"/>
    </row>
    <row x14ac:dyDescent="0.25" r="1337" customHeight="1" ht="15.75">
      <c r="A1337" s="3"/>
      <c r="B1337" s="3"/>
      <c r="C1337" s="3"/>
      <c r="D1337" s="3"/>
      <c r="E1337" s="3"/>
      <c r="F1337" s="3"/>
      <c r="G1337" s="3"/>
      <c r="H1337" s="60"/>
      <c r="I1337" s="3"/>
      <c r="J1337" s="55"/>
      <c r="K1337" s="56"/>
      <c r="L1337" s="56"/>
      <c r="M1337" s="57"/>
      <c r="N1337" s="3"/>
      <c r="O1337" s="3"/>
      <c r="P1337" s="51"/>
      <c r="Q1337" s="5"/>
    </row>
    <row x14ac:dyDescent="0.25" r="1338" customHeight="1" ht="15.75">
      <c r="A1338" s="3"/>
      <c r="B1338" s="3"/>
      <c r="C1338" s="3"/>
      <c r="D1338" s="3"/>
      <c r="E1338" s="3"/>
      <c r="F1338" s="3"/>
      <c r="G1338" s="3"/>
      <c r="H1338" s="60"/>
      <c r="I1338" s="3"/>
      <c r="J1338" s="55"/>
      <c r="K1338" s="56"/>
      <c r="L1338" s="56"/>
      <c r="M1338" s="57"/>
      <c r="N1338" s="3"/>
      <c r="O1338" s="3"/>
      <c r="P1338" s="51"/>
      <c r="Q1338" s="5"/>
    </row>
    <row x14ac:dyDescent="0.25" r="1339" customHeight="1" ht="15.75">
      <c r="A1339" s="3"/>
      <c r="B1339" s="3"/>
      <c r="C1339" s="3"/>
      <c r="D1339" s="3"/>
      <c r="E1339" s="3"/>
      <c r="F1339" s="3"/>
      <c r="G1339" s="3"/>
      <c r="H1339" s="60"/>
      <c r="I1339" s="3"/>
      <c r="J1339" s="55"/>
      <c r="K1339" s="56"/>
      <c r="L1339" s="56"/>
      <c r="M1339" s="57"/>
      <c r="N1339" s="3"/>
      <c r="O1339" s="3"/>
      <c r="P1339" s="51"/>
      <c r="Q1339" s="5"/>
    </row>
    <row x14ac:dyDescent="0.25" r="1340" customHeight="1" ht="15.75">
      <c r="A1340" s="3"/>
      <c r="B1340" s="3"/>
      <c r="C1340" s="3"/>
      <c r="D1340" s="3"/>
      <c r="E1340" s="3"/>
      <c r="F1340" s="3"/>
      <c r="G1340" s="3"/>
      <c r="H1340" s="60"/>
      <c r="I1340" s="3"/>
      <c r="J1340" s="55"/>
      <c r="K1340" s="56"/>
      <c r="L1340" s="56"/>
      <c r="M1340" s="57"/>
      <c r="N1340" s="3"/>
      <c r="O1340" s="3"/>
      <c r="P1340" s="51"/>
      <c r="Q1340" s="5"/>
    </row>
    <row x14ac:dyDescent="0.25" r="1341" customHeight="1" ht="15.75">
      <c r="A1341" s="3"/>
      <c r="B1341" s="3"/>
      <c r="C1341" s="3"/>
      <c r="D1341" s="3"/>
      <c r="E1341" s="3"/>
      <c r="F1341" s="3"/>
      <c r="G1341" s="3"/>
      <c r="H1341" s="60"/>
      <c r="I1341" s="3"/>
      <c r="J1341" s="55"/>
      <c r="K1341" s="56"/>
      <c r="L1341" s="56"/>
      <c r="M1341" s="57"/>
      <c r="N1341" s="3"/>
      <c r="O1341" s="3"/>
      <c r="P1341" s="51"/>
      <c r="Q1341" s="5"/>
    </row>
    <row x14ac:dyDescent="0.25" r="1342" customHeight="1" ht="15.75">
      <c r="A1342" s="3"/>
      <c r="B1342" s="3"/>
      <c r="C1342" s="3"/>
      <c r="D1342" s="3"/>
      <c r="E1342" s="3"/>
      <c r="F1342" s="3"/>
      <c r="G1342" s="3"/>
      <c r="H1342" s="60"/>
      <c r="I1342" s="3"/>
      <c r="J1342" s="55"/>
      <c r="K1342" s="56"/>
      <c r="L1342" s="56"/>
      <c r="M1342" s="57"/>
      <c r="N1342" s="3"/>
      <c r="O1342" s="3"/>
      <c r="P1342" s="51"/>
      <c r="Q1342" s="5"/>
    </row>
    <row x14ac:dyDescent="0.25" r="1343" customHeight="1" ht="15.75">
      <c r="A1343" s="3"/>
      <c r="B1343" s="3"/>
      <c r="C1343" s="3"/>
      <c r="D1343" s="3"/>
      <c r="E1343" s="3"/>
      <c r="F1343" s="3"/>
      <c r="G1343" s="3"/>
      <c r="H1343" s="60"/>
      <c r="I1343" s="3"/>
      <c r="J1343" s="55"/>
      <c r="K1343" s="56"/>
      <c r="L1343" s="56"/>
      <c r="M1343" s="57"/>
      <c r="N1343" s="3"/>
      <c r="O1343" s="3"/>
      <c r="P1343" s="51"/>
      <c r="Q1343" s="5"/>
    </row>
    <row x14ac:dyDescent="0.25" r="1344" customHeight="1" ht="15.75">
      <c r="A1344" s="3"/>
      <c r="B1344" s="3"/>
      <c r="C1344" s="3"/>
      <c r="D1344" s="3"/>
      <c r="E1344" s="3"/>
      <c r="F1344" s="3"/>
      <c r="G1344" s="3"/>
      <c r="H1344" s="60"/>
      <c r="I1344" s="3"/>
      <c r="J1344" s="55"/>
      <c r="K1344" s="56"/>
      <c r="L1344" s="56"/>
      <c r="M1344" s="57"/>
      <c r="N1344" s="3"/>
      <c r="O1344" s="3"/>
      <c r="P1344" s="51"/>
      <c r="Q1344" s="5"/>
    </row>
    <row x14ac:dyDescent="0.25" r="1345" customHeight="1" ht="15.75">
      <c r="A1345" s="3"/>
      <c r="B1345" s="3"/>
      <c r="C1345" s="3"/>
      <c r="D1345" s="3"/>
      <c r="E1345" s="3"/>
      <c r="F1345" s="3"/>
      <c r="G1345" s="3"/>
      <c r="H1345" s="60"/>
      <c r="I1345" s="3"/>
      <c r="J1345" s="55"/>
      <c r="K1345" s="56"/>
      <c r="L1345" s="56"/>
      <c r="M1345" s="57"/>
      <c r="N1345" s="3"/>
      <c r="O1345" s="3"/>
      <c r="P1345" s="51"/>
      <c r="Q1345" s="5"/>
    </row>
    <row x14ac:dyDescent="0.25" r="1346" customHeight="1" ht="15.75">
      <c r="A1346" s="3"/>
      <c r="B1346" s="3"/>
      <c r="C1346" s="3"/>
      <c r="D1346" s="3"/>
      <c r="E1346" s="3"/>
      <c r="F1346" s="3"/>
      <c r="G1346" s="3"/>
      <c r="H1346" s="60"/>
      <c r="I1346" s="3"/>
      <c r="J1346" s="55"/>
      <c r="K1346" s="56"/>
      <c r="L1346" s="56"/>
      <c r="M1346" s="57"/>
      <c r="N1346" s="3"/>
      <c r="O1346" s="3"/>
      <c r="P1346" s="51"/>
      <c r="Q1346" s="5"/>
    </row>
    <row x14ac:dyDescent="0.25" r="1347" customHeight="1" ht="15.75">
      <c r="A1347" s="3"/>
      <c r="B1347" s="3"/>
      <c r="C1347" s="3"/>
      <c r="D1347" s="3"/>
      <c r="E1347" s="3"/>
      <c r="F1347" s="3"/>
      <c r="G1347" s="3"/>
      <c r="H1347" s="60"/>
      <c r="I1347" s="3"/>
      <c r="J1347" s="55"/>
      <c r="K1347" s="56"/>
      <c r="L1347" s="56"/>
      <c r="M1347" s="57"/>
      <c r="N1347" s="3"/>
      <c r="O1347" s="3"/>
      <c r="P1347" s="51"/>
      <c r="Q1347" s="5"/>
    </row>
    <row x14ac:dyDescent="0.25" r="1348" customHeight="1" ht="15.75">
      <c r="A1348" s="3"/>
      <c r="B1348" s="3"/>
      <c r="C1348" s="3"/>
      <c r="D1348" s="3"/>
      <c r="E1348" s="3"/>
      <c r="F1348" s="3"/>
      <c r="G1348" s="3"/>
      <c r="H1348" s="60"/>
      <c r="I1348" s="3"/>
      <c r="J1348" s="55"/>
      <c r="K1348" s="56"/>
      <c r="L1348" s="56"/>
      <c r="M1348" s="57"/>
      <c r="N1348" s="3"/>
      <c r="O1348" s="3"/>
      <c r="P1348" s="51"/>
      <c r="Q1348" s="5"/>
    </row>
    <row x14ac:dyDescent="0.25" r="1349" customHeight="1" ht="15.75">
      <c r="A1349" s="3"/>
      <c r="B1349" s="3"/>
      <c r="C1349" s="3"/>
      <c r="D1349" s="3"/>
      <c r="E1349" s="3"/>
      <c r="F1349" s="3"/>
      <c r="G1349" s="3"/>
      <c r="H1349" s="60"/>
      <c r="I1349" s="3"/>
      <c r="J1349" s="55"/>
      <c r="K1349" s="56"/>
      <c r="L1349" s="56"/>
      <c r="M1349" s="57"/>
      <c r="N1349" s="3"/>
      <c r="O1349" s="3"/>
      <c r="P1349" s="51"/>
      <c r="Q1349" s="5"/>
    </row>
    <row x14ac:dyDescent="0.25" r="1350" customHeight="1" ht="15.75">
      <c r="A1350" s="3"/>
      <c r="B1350" s="3"/>
      <c r="C1350" s="3"/>
      <c r="D1350" s="3"/>
      <c r="E1350" s="3"/>
      <c r="F1350" s="3"/>
      <c r="G1350" s="3"/>
      <c r="H1350" s="60"/>
      <c r="I1350" s="3"/>
      <c r="J1350" s="55"/>
      <c r="K1350" s="56"/>
      <c r="L1350" s="56"/>
      <c r="M1350" s="57"/>
      <c r="N1350" s="3"/>
      <c r="O1350" s="3"/>
      <c r="P1350" s="51"/>
      <c r="Q1350" s="5"/>
    </row>
    <row x14ac:dyDescent="0.25" r="1351" customHeight="1" ht="15.75">
      <c r="A1351" s="3"/>
      <c r="B1351" s="3"/>
      <c r="C1351" s="3"/>
      <c r="D1351" s="3"/>
      <c r="E1351" s="3"/>
      <c r="F1351" s="3"/>
      <c r="G1351" s="3"/>
      <c r="H1351" s="60"/>
      <c r="I1351" s="3"/>
      <c r="J1351" s="55"/>
      <c r="K1351" s="56"/>
      <c r="L1351" s="56"/>
      <c r="M1351" s="57"/>
      <c r="N1351" s="3"/>
      <c r="O1351" s="3"/>
      <c r="P1351" s="51"/>
      <c r="Q1351" s="5"/>
    </row>
    <row x14ac:dyDescent="0.25" r="1352" customHeight="1" ht="15.75">
      <c r="A1352" s="3"/>
      <c r="B1352" s="3"/>
      <c r="C1352" s="3"/>
      <c r="D1352" s="3"/>
      <c r="E1352" s="3"/>
      <c r="F1352" s="3"/>
      <c r="G1352" s="3"/>
      <c r="H1352" s="60"/>
      <c r="I1352" s="3"/>
      <c r="J1352" s="55"/>
      <c r="K1352" s="56"/>
      <c r="L1352" s="56"/>
      <c r="M1352" s="57"/>
      <c r="N1352" s="3"/>
      <c r="O1352" s="3"/>
      <c r="P1352" s="51"/>
      <c r="Q1352" s="5"/>
    </row>
    <row x14ac:dyDescent="0.25" r="1353" customHeight="1" ht="15.75">
      <c r="A1353" s="3"/>
      <c r="B1353" s="3"/>
      <c r="C1353" s="3"/>
      <c r="D1353" s="3"/>
      <c r="E1353" s="3"/>
      <c r="F1353" s="3"/>
      <c r="G1353" s="3"/>
      <c r="H1353" s="60"/>
      <c r="I1353" s="3"/>
      <c r="J1353" s="55"/>
      <c r="K1353" s="56"/>
      <c r="L1353" s="56"/>
      <c r="M1353" s="57"/>
      <c r="N1353" s="3"/>
      <c r="O1353" s="3"/>
      <c r="P1353" s="51"/>
      <c r="Q1353" s="5"/>
    </row>
    <row x14ac:dyDescent="0.25" r="1354" customHeight="1" ht="15.75">
      <c r="A1354" s="3"/>
      <c r="B1354" s="3"/>
      <c r="C1354" s="3"/>
      <c r="D1354" s="3"/>
      <c r="E1354" s="3"/>
      <c r="F1354" s="3"/>
      <c r="G1354" s="3"/>
      <c r="H1354" s="60"/>
      <c r="I1354" s="3"/>
      <c r="J1354" s="55"/>
      <c r="K1354" s="56"/>
      <c r="L1354" s="56"/>
      <c r="M1354" s="57"/>
      <c r="N1354" s="3"/>
      <c r="O1354" s="3"/>
      <c r="P1354" s="51"/>
      <c r="Q1354" s="5"/>
    </row>
    <row x14ac:dyDescent="0.25" r="1355" customHeight="1" ht="15.75">
      <c r="A1355" s="3"/>
      <c r="B1355" s="3"/>
      <c r="C1355" s="3"/>
      <c r="D1355" s="3"/>
      <c r="E1355" s="3"/>
      <c r="F1355" s="3"/>
      <c r="G1355" s="3"/>
      <c r="H1355" s="60"/>
      <c r="I1355" s="3"/>
      <c r="J1355" s="55"/>
      <c r="K1355" s="56"/>
      <c r="L1355" s="56"/>
      <c r="M1355" s="57"/>
      <c r="N1355" s="3"/>
      <c r="O1355" s="3"/>
      <c r="P1355" s="51"/>
      <c r="Q1355" s="5"/>
    </row>
    <row x14ac:dyDescent="0.25" r="1356" customHeight="1" ht="15.75">
      <c r="A1356" s="3"/>
      <c r="B1356" s="3"/>
      <c r="C1356" s="3"/>
      <c r="D1356" s="3"/>
      <c r="E1356" s="3"/>
      <c r="F1356" s="3"/>
      <c r="G1356" s="3"/>
      <c r="H1356" s="60"/>
      <c r="I1356" s="3"/>
      <c r="J1356" s="55"/>
      <c r="K1356" s="56"/>
      <c r="L1356" s="56"/>
      <c r="M1356" s="57"/>
      <c r="N1356" s="3"/>
      <c r="O1356" s="3"/>
      <c r="P1356" s="51"/>
      <c r="Q1356" s="5"/>
    </row>
    <row x14ac:dyDescent="0.25" r="1357" customHeight="1" ht="15.75">
      <c r="A1357" s="3"/>
      <c r="B1357" s="3"/>
      <c r="C1357" s="3"/>
      <c r="D1357" s="3"/>
      <c r="E1357" s="3"/>
      <c r="F1357" s="3"/>
      <c r="G1357" s="3"/>
      <c r="H1357" s="60"/>
      <c r="I1357" s="3"/>
      <c r="J1357" s="55"/>
      <c r="K1357" s="56"/>
      <c r="L1357" s="56"/>
      <c r="M1357" s="57"/>
      <c r="N1357" s="3"/>
      <c r="O1357" s="3"/>
      <c r="P1357" s="51"/>
      <c r="Q1357" s="5"/>
    </row>
    <row x14ac:dyDescent="0.25" r="1358" customHeight="1" ht="15.75">
      <c r="A1358" s="3"/>
      <c r="B1358" s="3"/>
      <c r="C1358" s="3"/>
      <c r="D1358" s="3"/>
      <c r="E1358" s="3"/>
      <c r="F1358" s="3"/>
      <c r="G1358" s="3"/>
      <c r="H1358" s="60"/>
      <c r="I1358" s="3"/>
      <c r="J1358" s="55"/>
      <c r="K1358" s="56"/>
      <c r="L1358" s="56"/>
      <c r="M1358" s="57"/>
      <c r="N1358" s="3"/>
      <c r="O1358" s="3"/>
      <c r="P1358" s="51"/>
      <c r="Q1358" s="5"/>
    </row>
    <row x14ac:dyDescent="0.25" r="1359" customHeight="1" ht="15.75">
      <c r="A1359" s="3"/>
      <c r="B1359" s="3"/>
      <c r="C1359" s="3"/>
      <c r="D1359" s="3"/>
      <c r="E1359" s="3"/>
      <c r="F1359" s="3"/>
      <c r="G1359" s="3"/>
      <c r="H1359" s="60"/>
      <c r="I1359" s="3"/>
      <c r="J1359" s="55"/>
      <c r="K1359" s="56"/>
      <c r="L1359" s="56"/>
      <c r="M1359" s="57"/>
      <c r="N1359" s="3"/>
      <c r="O1359" s="3"/>
      <c r="P1359" s="51"/>
      <c r="Q1359" s="5"/>
    </row>
    <row x14ac:dyDescent="0.25" r="1360" customHeight="1" ht="15.75">
      <c r="A1360" s="3"/>
      <c r="B1360" s="3"/>
      <c r="C1360" s="3"/>
      <c r="D1360" s="3"/>
      <c r="E1360" s="3"/>
      <c r="F1360" s="3"/>
      <c r="G1360" s="3"/>
      <c r="H1360" s="60"/>
      <c r="I1360" s="3"/>
      <c r="J1360" s="55"/>
      <c r="K1360" s="56"/>
      <c r="L1360" s="56"/>
      <c r="M1360" s="57"/>
      <c r="N1360" s="3"/>
      <c r="O1360" s="3"/>
      <c r="P1360" s="51"/>
      <c r="Q1360" s="5"/>
    </row>
    <row x14ac:dyDescent="0.25" r="1361" customHeight="1" ht="15.75">
      <c r="A1361" s="3"/>
      <c r="B1361" s="3"/>
      <c r="C1361" s="3"/>
      <c r="D1361" s="3"/>
      <c r="E1361" s="3"/>
      <c r="F1361" s="3"/>
      <c r="G1361" s="3"/>
      <c r="H1361" s="60"/>
      <c r="I1361" s="3"/>
      <c r="J1361" s="55"/>
      <c r="K1361" s="56"/>
      <c r="L1361" s="56"/>
      <c r="M1361" s="57"/>
      <c r="N1361" s="3"/>
      <c r="O1361" s="3"/>
      <c r="P1361" s="51"/>
      <c r="Q1361" s="5"/>
    </row>
    <row x14ac:dyDescent="0.25" r="1362" customHeight="1" ht="15.75">
      <c r="A1362" s="3"/>
      <c r="B1362" s="3"/>
      <c r="C1362" s="3"/>
      <c r="D1362" s="3"/>
      <c r="E1362" s="3"/>
      <c r="F1362" s="3"/>
      <c r="G1362" s="3"/>
      <c r="H1362" s="60"/>
      <c r="I1362" s="3"/>
      <c r="J1362" s="55"/>
      <c r="K1362" s="56"/>
      <c r="L1362" s="56"/>
      <c r="M1362" s="57"/>
      <c r="N1362" s="3"/>
      <c r="O1362" s="3"/>
      <c r="P1362" s="51"/>
      <c r="Q1362" s="5"/>
    </row>
    <row x14ac:dyDescent="0.25" r="1363" customHeight="1" ht="15.75">
      <c r="A1363" s="3"/>
      <c r="B1363" s="3"/>
      <c r="C1363" s="3"/>
      <c r="D1363" s="3"/>
      <c r="E1363" s="3"/>
      <c r="F1363" s="3"/>
      <c r="G1363" s="3"/>
      <c r="H1363" s="60"/>
      <c r="I1363" s="3"/>
      <c r="J1363" s="55"/>
      <c r="K1363" s="56"/>
      <c r="L1363" s="56"/>
      <c r="M1363" s="57"/>
      <c r="N1363" s="3"/>
      <c r="O1363" s="3"/>
      <c r="P1363" s="51"/>
      <c r="Q1363" s="5"/>
    </row>
    <row x14ac:dyDescent="0.25" r="1364" customHeight="1" ht="15.75">
      <c r="A1364" s="3"/>
      <c r="B1364" s="3"/>
      <c r="C1364" s="3"/>
      <c r="D1364" s="3"/>
      <c r="E1364" s="3"/>
      <c r="F1364" s="3"/>
      <c r="G1364" s="3"/>
      <c r="H1364" s="60"/>
      <c r="I1364" s="3"/>
      <c r="J1364" s="55"/>
      <c r="K1364" s="56"/>
      <c r="L1364" s="56"/>
      <c r="M1364" s="57"/>
      <c r="N1364" s="3"/>
      <c r="O1364" s="3"/>
      <c r="P1364" s="51"/>
      <c r="Q1364" s="5"/>
    </row>
    <row x14ac:dyDescent="0.25" r="1365" customHeight="1" ht="15.75">
      <c r="A1365" s="3"/>
      <c r="B1365" s="3"/>
      <c r="C1365" s="3"/>
      <c r="D1365" s="3"/>
      <c r="E1365" s="3"/>
      <c r="F1365" s="3"/>
      <c r="G1365" s="3"/>
      <c r="H1365" s="60"/>
      <c r="I1365" s="3"/>
      <c r="J1365" s="55"/>
      <c r="K1365" s="56"/>
      <c r="L1365" s="56"/>
      <c r="M1365" s="57"/>
      <c r="N1365" s="3"/>
      <c r="O1365" s="3"/>
      <c r="P1365" s="51"/>
      <c r="Q1365" s="5"/>
    </row>
    <row x14ac:dyDescent="0.25" r="1366" customHeight="1" ht="15.75">
      <c r="A1366" s="3"/>
      <c r="B1366" s="3"/>
      <c r="C1366" s="3"/>
      <c r="D1366" s="3"/>
      <c r="E1366" s="3"/>
      <c r="F1366" s="3"/>
      <c r="G1366" s="3"/>
      <c r="H1366" s="60"/>
      <c r="I1366" s="3"/>
      <c r="J1366" s="55"/>
      <c r="K1366" s="56"/>
      <c r="L1366" s="56"/>
      <c r="M1366" s="57"/>
      <c r="N1366" s="3"/>
      <c r="O1366" s="3"/>
      <c r="P1366" s="51"/>
      <c r="Q1366" s="5"/>
    </row>
    <row x14ac:dyDescent="0.25" r="1367" customHeight="1" ht="15.75">
      <c r="A1367" s="3"/>
      <c r="B1367" s="3"/>
      <c r="C1367" s="3"/>
      <c r="D1367" s="3"/>
      <c r="E1367" s="3"/>
      <c r="F1367" s="3"/>
      <c r="G1367" s="3"/>
      <c r="H1367" s="60"/>
      <c r="I1367" s="3"/>
      <c r="J1367" s="55"/>
      <c r="K1367" s="56"/>
      <c r="L1367" s="56"/>
      <c r="M1367" s="57"/>
      <c r="N1367" s="3"/>
      <c r="O1367" s="3"/>
      <c r="P1367" s="51"/>
      <c r="Q1367" s="5"/>
    </row>
    <row x14ac:dyDescent="0.25" r="1368" customHeight="1" ht="15.75">
      <c r="A1368" s="3"/>
      <c r="B1368" s="3"/>
      <c r="C1368" s="3"/>
      <c r="D1368" s="3"/>
      <c r="E1368" s="3"/>
      <c r="F1368" s="3"/>
      <c r="G1368" s="3"/>
      <c r="H1368" s="60"/>
      <c r="I1368" s="3"/>
      <c r="J1368" s="55"/>
      <c r="K1368" s="56"/>
      <c r="L1368" s="56"/>
      <c r="M1368" s="57"/>
      <c r="N1368" s="3"/>
      <c r="O1368" s="3"/>
      <c r="P1368" s="51"/>
      <c r="Q1368" s="5"/>
    </row>
    <row x14ac:dyDescent="0.25" r="1369" customHeight="1" ht="15.75">
      <c r="A1369" s="3"/>
      <c r="B1369" s="3"/>
      <c r="C1369" s="3"/>
      <c r="D1369" s="3"/>
      <c r="E1369" s="3"/>
      <c r="F1369" s="3"/>
      <c r="G1369" s="3"/>
      <c r="H1369" s="60"/>
      <c r="I1369" s="3"/>
      <c r="J1369" s="55"/>
      <c r="K1369" s="56"/>
      <c r="L1369" s="56"/>
      <c r="M1369" s="57"/>
      <c r="N1369" s="3"/>
      <c r="O1369" s="3"/>
      <c r="P1369" s="51"/>
      <c r="Q1369" s="5"/>
    </row>
    <row x14ac:dyDescent="0.25" r="1370" customHeight="1" ht="15.75">
      <c r="A1370" s="3"/>
      <c r="B1370" s="3"/>
      <c r="C1370" s="3"/>
      <c r="D1370" s="3"/>
      <c r="E1370" s="3"/>
      <c r="F1370" s="3"/>
      <c r="G1370" s="3"/>
      <c r="H1370" s="60"/>
      <c r="I1370" s="3"/>
      <c r="J1370" s="55"/>
      <c r="K1370" s="56"/>
      <c r="L1370" s="56"/>
      <c r="M1370" s="57"/>
      <c r="N1370" s="3"/>
      <c r="O1370" s="3"/>
      <c r="P1370" s="51"/>
      <c r="Q1370" s="5"/>
    </row>
    <row x14ac:dyDescent="0.25" r="1371" customHeight="1" ht="15.75">
      <c r="A1371" s="3"/>
      <c r="B1371" s="3"/>
      <c r="C1371" s="3"/>
      <c r="D1371" s="3"/>
      <c r="E1371" s="3"/>
      <c r="F1371" s="3"/>
      <c r="G1371" s="3"/>
      <c r="H1371" s="60"/>
      <c r="I1371" s="3"/>
      <c r="J1371" s="55"/>
      <c r="K1371" s="56"/>
      <c r="L1371" s="56"/>
      <c r="M1371" s="57"/>
      <c r="N1371" s="3"/>
      <c r="O1371" s="3"/>
      <c r="P1371" s="51"/>
      <c r="Q1371" s="5"/>
    </row>
    <row x14ac:dyDescent="0.25" r="1372" customHeight="1" ht="15.75">
      <c r="A1372" s="3"/>
      <c r="B1372" s="3"/>
      <c r="C1372" s="3"/>
      <c r="D1372" s="3"/>
      <c r="E1372" s="3"/>
      <c r="F1372" s="3"/>
      <c r="G1372" s="3"/>
      <c r="H1372" s="60"/>
      <c r="I1372" s="3"/>
      <c r="J1372" s="55"/>
      <c r="K1372" s="56"/>
      <c r="L1372" s="56"/>
      <c r="M1372" s="57"/>
      <c r="N1372" s="3"/>
      <c r="O1372" s="3"/>
      <c r="P1372" s="51"/>
      <c r="Q1372" s="5"/>
    </row>
    <row x14ac:dyDescent="0.25" r="1373" customHeight="1" ht="15.75">
      <c r="A1373" s="3"/>
      <c r="B1373" s="3"/>
      <c r="C1373" s="3"/>
      <c r="D1373" s="3"/>
      <c r="E1373" s="3"/>
      <c r="F1373" s="3"/>
      <c r="G1373" s="3"/>
      <c r="H1373" s="60"/>
      <c r="I1373" s="3"/>
      <c r="J1373" s="55"/>
      <c r="K1373" s="56"/>
      <c r="L1373" s="56"/>
      <c r="M1373" s="57"/>
      <c r="N1373" s="3"/>
      <c r="O1373" s="3"/>
      <c r="P1373" s="51"/>
      <c r="Q1373" s="5"/>
    </row>
    <row x14ac:dyDescent="0.25" r="1374" customHeight="1" ht="15.75">
      <c r="A1374" s="3"/>
      <c r="B1374" s="3"/>
      <c r="C1374" s="3"/>
      <c r="D1374" s="3"/>
      <c r="E1374" s="3"/>
      <c r="F1374" s="3"/>
      <c r="G1374" s="3"/>
      <c r="H1374" s="60"/>
      <c r="I1374" s="3"/>
      <c r="J1374" s="55"/>
      <c r="K1374" s="56"/>
      <c r="L1374" s="56"/>
      <c r="M1374" s="57"/>
      <c r="N1374" s="3"/>
      <c r="O1374" s="3"/>
      <c r="P1374" s="51"/>
      <c r="Q1374" s="5"/>
    </row>
    <row x14ac:dyDescent="0.25" r="1375" customHeight="1" ht="15.75">
      <c r="A1375" s="3"/>
      <c r="B1375" s="3"/>
      <c r="C1375" s="3"/>
      <c r="D1375" s="3"/>
      <c r="E1375" s="3"/>
      <c r="F1375" s="3"/>
      <c r="G1375" s="3"/>
      <c r="H1375" s="60"/>
      <c r="I1375" s="3"/>
      <c r="J1375" s="55"/>
      <c r="K1375" s="56"/>
      <c r="L1375" s="56"/>
      <c r="M1375" s="57"/>
      <c r="N1375" s="3"/>
      <c r="O1375" s="3"/>
      <c r="P1375" s="51"/>
      <c r="Q1375" s="5"/>
    </row>
    <row x14ac:dyDescent="0.25" r="1376" customHeight="1" ht="15.75">
      <c r="A1376" s="3"/>
      <c r="B1376" s="3"/>
      <c r="C1376" s="3"/>
      <c r="D1376" s="3"/>
      <c r="E1376" s="3"/>
      <c r="F1376" s="3"/>
      <c r="G1376" s="3"/>
      <c r="H1376" s="60"/>
      <c r="I1376" s="3"/>
      <c r="J1376" s="55"/>
      <c r="K1376" s="56"/>
      <c r="L1376" s="56"/>
      <c r="M1376" s="57"/>
      <c r="N1376" s="3"/>
      <c r="O1376" s="3"/>
      <c r="P1376" s="51"/>
      <c r="Q1376" s="5"/>
    </row>
    <row x14ac:dyDescent="0.25" r="1377" customHeight="1" ht="15.75">
      <c r="A1377" s="3"/>
      <c r="B1377" s="3"/>
      <c r="C1377" s="3"/>
      <c r="D1377" s="3"/>
      <c r="E1377" s="3"/>
      <c r="F1377" s="3"/>
      <c r="G1377" s="3"/>
      <c r="H1377" s="60"/>
      <c r="I1377" s="3"/>
      <c r="J1377" s="55"/>
      <c r="K1377" s="56"/>
      <c r="L1377" s="56"/>
      <c r="M1377" s="57"/>
      <c r="N1377" s="3"/>
      <c r="O1377" s="3"/>
      <c r="P1377" s="51"/>
      <c r="Q1377" s="5"/>
    </row>
    <row x14ac:dyDescent="0.25" r="1378" customHeight="1" ht="15.75">
      <c r="A1378" s="3"/>
      <c r="B1378" s="3"/>
      <c r="C1378" s="3"/>
      <c r="D1378" s="3"/>
      <c r="E1378" s="3"/>
      <c r="F1378" s="3"/>
      <c r="G1378" s="3"/>
      <c r="H1378" s="60"/>
      <c r="I1378" s="3"/>
      <c r="J1378" s="55"/>
      <c r="K1378" s="56"/>
      <c r="L1378" s="56"/>
      <c r="M1378" s="57"/>
      <c r="N1378" s="3"/>
      <c r="O1378" s="3"/>
      <c r="P1378" s="51"/>
      <c r="Q1378" s="5"/>
    </row>
    <row x14ac:dyDescent="0.25" r="1379" customHeight="1" ht="15.75">
      <c r="A1379" s="3"/>
      <c r="B1379" s="3"/>
      <c r="C1379" s="3"/>
      <c r="D1379" s="3"/>
      <c r="E1379" s="3"/>
      <c r="F1379" s="3"/>
      <c r="G1379" s="3"/>
      <c r="H1379" s="60"/>
      <c r="I1379" s="3"/>
      <c r="J1379" s="55"/>
      <c r="K1379" s="56"/>
      <c r="L1379" s="56"/>
      <c r="M1379" s="57"/>
      <c r="N1379" s="3"/>
      <c r="O1379" s="3"/>
      <c r="P1379" s="51"/>
      <c r="Q1379" s="5"/>
    </row>
    <row x14ac:dyDescent="0.25" r="1380" customHeight="1" ht="15.75">
      <c r="A1380" s="3"/>
      <c r="B1380" s="3"/>
      <c r="C1380" s="3"/>
      <c r="D1380" s="3"/>
      <c r="E1380" s="3"/>
      <c r="F1380" s="3"/>
      <c r="G1380" s="3"/>
      <c r="H1380" s="60"/>
      <c r="I1380" s="3"/>
      <c r="J1380" s="55"/>
      <c r="K1380" s="56"/>
      <c r="L1380" s="56"/>
      <c r="M1380" s="57"/>
      <c r="N1380" s="3"/>
      <c r="O1380" s="3"/>
      <c r="P1380" s="51"/>
      <c r="Q1380" s="5"/>
    </row>
    <row x14ac:dyDescent="0.25" r="1381" customHeight="1" ht="15.75">
      <c r="A1381" s="3"/>
      <c r="B1381" s="3"/>
      <c r="C1381" s="3"/>
      <c r="D1381" s="3"/>
      <c r="E1381" s="3"/>
      <c r="F1381" s="3"/>
      <c r="G1381" s="3"/>
      <c r="H1381" s="60"/>
      <c r="I1381" s="3"/>
      <c r="J1381" s="55"/>
      <c r="K1381" s="56"/>
      <c r="L1381" s="56"/>
      <c r="M1381" s="57"/>
      <c r="N1381" s="3"/>
      <c r="O1381" s="3"/>
      <c r="P1381" s="51"/>
      <c r="Q1381" s="5"/>
    </row>
    <row x14ac:dyDescent="0.25" r="1382" customHeight="1" ht="15.75">
      <c r="A1382" s="3"/>
      <c r="B1382" s="3"/>
      <c r="C1382" s="3"/>
      <c r="D1382" s="3"/>
      <c r="E1382" s="3"/>
      <c r="F1382" s="3"/>
      <c r="G1382" s="3"/>
      <c r="H1382" s="60"/>
      <c r="I1382" s="3"/>
      <c r="J1382" s="55"/>
      <c r="K1382" s="56"/>
      <c r="L1382" s="56"/>
      <c r="M1382" s="57"/>
      <c r="N1382" s="3"/>
      <c r="O1382" s="3"/>
      <c r="P1382" s="51"/>
      <c r="Q1382" s="5"/>
    </row>
    <row x14ac:dyDescent="0.25" r="1383" customHeight="1" ht="15.75">
      <c r="A1383" s="3"/>
      <c r="B1383" s="3"/>
      <c r="C1383" s="3"/>
      <c r="D1383" s="3"/>
      <c r="E1383" s="3"/>
      <c r="F1383" s="3"/>
      <c r="G1383" s="3"/>
      <c r="H1383" s="60"/>
      <c r="I1383" s="3"/>
      <c r="J1383" s="55"/>
      <c r="K1383" s="56"/>
      <c r="L1383" s="56"/>
      <c r="M1383" s="57"/>
      <c r="N1383" s="3"/>
      <c r="O1383" s="3"/>
      <c r="P1383" s="51"/>
      <c r="Q1383" s="5"/>
    </row>
    <row x14ac:dyDescent="0.25" r="1384" customHeight="1" ht="15.75">
      <c r="A1384" s="3"/>
      <c r="B1384" s="3"/>
      <c r="C1384" s="3"/>
      <c r="D1384" s="3"/>
      <c r="E1384" s="3"/>
      <c r="F1384" s="3"/>
      <c r="G1384" s="3"/>
      <c r="H1384" s="60"/>
      <c r="I1384" s="3"/>
      <c r="J1384" s="55"/>
      <c r="K1384" s="56"/>
      <c r="L1384" s="56"/>
      <c r="M1384" s="57"/>
      <c r="N1384" s="3"/>
      <c r="O1384" s="3"/>
      <c r="P1384" s="51"/>
      <c r="Q1384" s="5"/>
    </row>
    <row x14ac:dyDescent="0.25" r="1385" customHeight="1" ht="15.75">
      <c r="A1385" s="3"/>
      <c r="B1385" s="3"/>
      <c r="C1385" s="3"/>
      <c r="D1385" s="3"/>
      <c r="E1385" s="3"/>
      <c r="F1385" s="3"/>
      <c r="G1385" s="3"/>
      <c r="H1385" s="60"/>
      <c r="I1385" s="3"/>
      <c r="J1385" s="55"/>
      <c r="K1385" s="56"/>
      <c r="L1385" s="56"/>
      <c r="M1385" s="57"/>
      <c r="N1385" s="3"/>
      <c r="O1385" s="3"/>
      <c r="P1385" s="51"/>
      <c r="Q1385" s="5"/>
    </row>
    <row x14ac:dyDescent="0.25" r="1386" customHeight="1" ht="15.75">
      <c r="A1386" s="3"/>
      <c r="B1386" s="3"/>
      <c r="C1386" s="3"/>
      <c r="D1386" s="3"/>
      <c r="E1386" s="3"/>
      <c r="F1386" s="3"/>
      <c r="G1386" s="3"/>
      <c r="H1386" s="60"/>
      <c r="I1386" s="3"/>
      <c r="J1386" s="55"/>
      <c r="K1386" s="56"/>
      <c r="L1386" s="56"/>
      <c r="M1386" s="57"/>
      <c r="N1386" s="3"/>
      <c r="O1386" s="3"/>
      <c r="P1386" s="51"/>
      <c r="Q1386" s="5"/>
    </row>
    <row x14ac:dyDescent="0.25" r="1387" customHeight="1" ht="15.75">
      <c r="A1387" s="3"/>
      <c r="B1387" s="3"/>
      <c r="C1387" s="3"/>
      <c r="D1387" s="3"/>
      <c r="E1387" s="3"/>
      <c r="F1387" s="3"/>
      <c r="G1387" s="3"/>
      <c r="H1387" s="60"/>
      <c r="I1387" s="3"/>
      <c r="J1387" s="55"/>
      <c r="K1387" s="56"/>
      <c r="L1387" s="56"/>
      <c r="M1387" s="57"/>
      <c r="N1387" s="3"/>
      <c r="O1387" s="3"/>
      <c r="P1387" s="51"/>
      <c r="Q1387" s="5"/>
    </row>
    <row x14ac:dyDescent="0.25" r="1388" customHeight="1" ht="15.75">
      <c r="A1388" s="3"/>
      <c r="B1388" s="3"/>
      <c r="C1388" s="3"/>
      <c r="D1388" s="3"/>
      <c r="E1388" s="3"/>
      <c r="F1388" s="3"/>
      <c r="G1388" s="3"/>
      <c r="H1388" s="60"/>
      <c r="I1388" s="3"/>
      <c r="J1388" s="55"/>
      <c r="K1388" s="56"/>
      <c r="L1388" s="56"/>
      <c r="M1388" s="57"/>
      <c r="N1388" s="3"/>
      <c r="O1388" s="3"/>
      <c r="P1388" s="51"/>
      <c r="Q1388" s="5"/>
    </row>
    <row x14ac:dyDescent="0.25" r="1389" customHeight="1" ht="15.75">
      <c r="A1389" s="3"/>
      <c r="B1389" s="3"/>
      <c r="C1389" s="3"/>
      <c r="D1389" s="3"/>
      <c r="E1389" s="3"/>
      <c r="F1389" s="3"/>
      <c r="G1389" s="3"/>
      <c r="H1389" s="60"/>
      <c r="I1389" s="3"/>
      <c r="J1389" s="55"/>
      <c r="K1389" s="56"/>
      <c r="L1389" s="56"/>
      <c r="M1389" s="57"/>
      <c r="N1389" s="3"/>
      <c r="O1389" s="3"/>
      <c r="P1389" s="51"/>
      <c r="Q1389" s="5"/>
    </row>
    <row x14ac:dyDescent="0.25" r="1390" customHeight="1" ht="15.75">
      <c r="A1390" s="3"/>
      <c r="B1390" s="3"/>
      <c r="C1390" s="3"/>
      <c r="D1390" s="3"/>
      <c r="E1390" s="3"/>
      <c r="F1390" s="3"/>
      <c r="G1390" s="3"/>
      <c r="H1390" s="60"/>
      <c r="I1390" s="3"/>
      <c r="J1390" s="55"/>
      <c r="K1390" s="56"/>
      <c r="L1390" s="56"/>
      <c r="M1390" s="57"/>
      <c r="N1390" s="3"/>
      <c r="O1390" s="3"/>
      <c r="P1390" s="51"/>
      <c r="Q1390" s="5"/>
    </row>
    <row x14ac:dyDescent="0.25" r="1391" customHeight="1" ht="15.75">
      <c r="A1391" s="3"/>
      <c r="B1391" s="3"/>
      <c r="C1391" s="3"/>
      <c r="D1391" s="3"/>
      <c r="E1391" s="3"/>
      <c r="F1391" s="3"/>
      <c r="G1391" s="3"/>
      <c r="H1391" s="60"/>
      <c r="I1391" s="3"/>
      <c r="J1391" s="55"/>
      <c r="K1391" s="56"/>
      <c r="L1391" s="56"/>
      <c r="M1391" s="57"/>
      <c r="N1391" s="3"/>
      <c r="O1391" s="3"/>
      <c r="P1391" s="51"/>
      <c r="Q1391" s="5"/>
    </row>
    <row x14ac:dyDescent="0.25" r="1392" customHeight="1" ht="15.75">
      <c r="A1392" s="3"/>
      <c r="B1392" s="3"/>
      <c r="C1392" s="3"/>
      <c r="D1392" s="3"/>
      <c r="E1392" s="3"/>
      <c r="F1392" s="3"/>
      <c r="G1392" s="3"/>
      <c r="H1392" s="60"/>
      <c r="I1392" s="3"/>
      <c r="J1392" s="55"/>
      <c r="K1392" s="56"/>
      <c r="L1392" s="56"/>
      <c r="M1392" s="57"/>
      <c r="N1392" s="3"/>
      <c r="O1392" s="3"/>
      <c r="P1392" s="51"/>
      <c r="Q1392" s="5"/>
    </row>
    <row x14ac:dyDescent="0.25" r="1393" customHeight="1" ht="15.75">
      <c r="A1393" s="3"/>
      <c r="B1393" s="3"/>
      <c r="C1393" s="3"/>
      <c r="D1393" s="3"/>
      <c r="E1393" s="3"/>
      <c r="F1393" s="3"/>
      <c r="G1393" s="3"/>
      <c r="H1393" s="60"/>
      <c r="I1393" s="3"/>
      <c r="J1393" s="55"/>
      <c r="K1393" s="56"/>
      <c r="L1393" s="56"/>
      <c r="M1393" s="57"/>
      <c r="N1393" s="3"/>
      <c r="O1393" s="3"/>
      <c r="P1393" s="51"/>
      <c r="Q1393" s="5"/>
    </row>
    <row x14ac:dyDescent="0.25" r="1394" customHeight="1" ht="15.75">
      <c r="A1394" s="3"/>
      <c r="B1394" s="3"/>
      <c r="C1394" s="3"/>
      <c r="D1394" s="3"/>
      <c r="E1394" s="3"/>
      <c r="F1394" s="3"/>
      <c r="G1394" s="3"/>
      <c r="H1394" s="60"/>
      <c r="I1394" s="3"/>
      <c r="J1394" s="55"/>
      <c r="K1394" s="56"/>
      <c r="L1394" s="56"/>
      <c r="M1394" s="57"/>
      <c r="N1394" s="3"/>
      <c r="O1394" s="3"/>
      <c r="P1394" s="51"/>
      <c r="Q1394" s="5"/>
    </row>
    <row x14ac:dyDescent="0.25" r="1395" customHeight="1" ht="15.75">
      <c r="A1395" s="3"/>
      <c r="B1395" s="3"/>
      <c r="C1395" s="3"/>
      <c r="D1395" s="3"/>
      <c r="E1395" s="3"/>
      <c r="F1395" s="3"/>
      <c r="G1395" s="3"/>
      <c r="H1395" s="60"/>
      <c r="I1395" s="3"/>
      <c r="J1395" s="55"/>
      <c r="K1395" s="56"/>
      <c r="L1395" s="56"/>
      <c r="M1395" s="57"/>
      <c r="N1395" s="3"/>
      <c r="O1395" s="3"/>
      <c r="P1395" s="51"/>
      <c r="Q1395" s="5"/>
    </row>
    <row x14ac:dyDescent="0.25" r="1396" customHeight="1" ht="15.75">
      <c r="A1396" s="3"/>
      <c r="B1396" s="3"/>
      <c r="C1396" s="3"/>
      <c r="D1396" s="3"/>
      <c r="E1396" s="3"/>
      <c r="F1396" s="3"/>
      <c r="G1396" s="3"/>
      <c r="H1396" s="60"/>
      <c r="I1396" s="3"/>
      <c r="J1396" s="55"/>
      <c r="K1396" s="56"/>
      <c r="L1396" s="56"/>
      <c r="M1396" s="57"/>
      <c r="N1396" s="3"/>
      <c r="O1396" s="3"/>
      <c r="P1396" s="51"/>
      <c r="Q1396" s="5"/>
    </row>
    <row x14ac:dyDescent="0.25" r="1397" customHeight="1" ht="15.75">
      <c r="A1397" s="3"/>
      <c r="B1397" s="3"/>
      <c r="C1397" s="3"/>
      <c r="D1397" s="3"/>
      <c r="E1397" s="3"/>
      <c r="F1397" s="3"/>
      <c r="G1397" s="3"/>
      <c r="H1397" s="60"/>
      <c r="I1397" s="3"/>
      <c r="J1397" s="55"/>
      <c r="K1397" s="56"/>
      <c r="L1397" s="56"/>
      <c r="M1397" s="57"/>
      <c r="N1397" s="3"/>
      <c r="O1397" s="3"/>
      <c r="P1397" s="51"/>
      <c r="Q1397" s="5"/>
    </row>
    <row x14ac:dyDescent="0.25" r="1398" customHeight="1" ht="15.75">
      <c r="A1398" s="3"/>
      <c r="B1398" s="3"/>
      <c r="C1398" s="3"/>
      <c r="D1398" s="3"/>
      <c r="E1398" s="3"/>
      <c r="F1398" s="3"/>
      <c r="G1398" s="3"/>
      <c r="H1398" s="60"/>
      <c r="I1398" s="3"/>
      <c r="J1398" s="55"/>
      <c r="K1398" s="56"/>
      <c r="L1398" s="56"/>
      <c r="M1398" s="57"/>
      <c r="N1398" s="3"/>
      <c r="O1398" s="3"/>
      <c r="P1398" s="51"/>
      <c r="Q1398" s="5"/>
    </row>
    <row x14ac:dyDescent="0.25" r="1399" customHeight="1" ht="15.75">
      <c r="A1399" s="3"/>
      <c r="B1399" s="3"/>
      <c r="C1399" s="3"/>
      <c r="D1399" s="3"/>
      <c r="E1399" s="3"/>
      <c r="F1399" s="3"/>
      <c r="G1399" s="3"/>
      <c r="H1399" s="60"/>
      <c r="I1399" s="3"/>
      <c r="J1399" s="55"/>
      <c r="K1399" s="56"/>
      <c r="L1399" s="56"/>
      <c r="M1399" s="57"/>
      <c r="N1399" s="3"/>
      <c r="O1399" s="3"/>
      <c r="P1399" s="51"/>
      <c r="Q1399" s="5"/>
    </row>
    <row x14ac:dyDescent="0.25" r="1400" customHeight="1" ht="15.75">
      <c r="A1400" s="3"/>
      <c r="B1400" s="3"/>
      <c r="C1400" s="3"/>
      <c r="D1400" s="3"/>
      <c r="E1400" s="3"/>
      <c r="F1400" s="3"/>
      <c r="G1400" s="3"/>
      <c r="H1400" s="60"/>
      <c r="I1400" s="3"/>
      <c r="J1400" s="55"/>
      <c r="K1400" s="56"/>
      <c r="L1400" s="56"/>
      <c r="M1400" s="57"/>
      <c r="N1400" s="3"/>
      <c r="O1400" s="3"/>
      <c r="P1400" s="51"/>
      <c r="Q1400" s="5"/>
    </row>
    <row x14ac:dyDescent="0.25" r="1401" customHeight="1" ht="15.75">
      <c r="A1401" s="3"/>
      <c r="B1401" s="3"/>
      <c r="C1401" s="3"/>
      <c r="D1401" s="3"/>
      <c r="E1401" s="3"/>
      <c r="F1401" s="3"/>
      <c r="G1401" s="3"/>
      <c r="H1401" s="60"/>
      <c r="I1401" s="3"/>
      <c r="J1401" s="55"/>
      <c r="K1401" s="56"/>
      <c r="L1401" s="56"/>
      <c r="M1401" s="57"/>
      <c r="N1401" s="3"/>
      <c r="O1401" s="3"/>
      <c r="P1401" s="51"/>
      <c r="Q1401" s="5"/>
    </row>
    <row x14ac:dyDescent="0.25" r="1402" customHeight="1" ht="15.75">
      <c r="A1402" s="3"/>
      <c r="B1402" s="3"/>
      <c r="C1402" s="3"/>
      <c r="D1402" s="3"/>
      <c r="E1402" s="3"/>
      <c r="F1402" s="3"/>
      <c r="G1402" s="3"/>
      <c r="H1402" s="60"/>
      <c r="I1402" s="3"/>
      <c r="J1402" s="55"/>
      <c r="K1402" s="56"/>
      <c r="L1402" s="56"/>
      <c r="M1402" s="57"/>
      <c r="N1402" s="3"/>
      <c r="O1402" s="3"/>
      <c r="P1402" s="51"/>
      <c r="Q1402" s="5"/>
    </row>
    <row x14ac:dyDescent="0.25" r="1403" customHeight="1" ht="15.75">
      <c r="A1403" s="3"/>
      <c r="B1403" s="3"/>
      <c r="C1403" s="3"/>
      <c r="D1403" s="3"/>
      <c r="E1403" s="3"/>
      <c r="F1403" s="3"/>
      <c r="G1403" s="3"/>
      <c r="H1403" s="60"/>
      <c r="I1403" s="3"/>
      <c r="J1403" s="55"/>
      <c r="K1403" s="56"/>
      <c r="L1403" s="56"/>
      <c r="M1403" s="57"/>
      <c r="N1403" s="3"/>
      <c r="O1403" s="3"/>
      <c r="P1403" s="51"/>
      <c r="Q1403" s="5"/>
    </row>
    <row x14ac:dyDescent="0.25" r="1404" customHeight="1" ht="15.75">
      <c r="A1404" s="3"/>
      <c r="B1404" s="3"/>
      <c r="C1404" s="3"/>
      <c r="D1404" s="3"/>
      <c r="E1404" s="3"/>
      <c r="F1404" s="3"/>
      <c r="G1404" s="3"/>
      <c r="H1404" s="60"/>
      <c r="I1404" s="3"/>
      <c r="J1404" s="55"/>
      <c r="K1404" s="56"/>
      <c r="L1404" s="56"/>
      <c r="M1404" s="57"/>
      <c r="N1404" s="3"/>
      <c r="O1404" s="3"/>
      <c r="P1404" s="51"/>
      <c r="Q1404" s="5"/>
    </row>
    <row x14ac:dyDescent="0.25" r="1405" customHeight="1" ht="15.75">
      <c r="A1405" s="3"/>
      <c r="B1405" s="3"/>
      <c r="C1405" s="3"/>
      <c r="D1405" s="3"/>
      <c r="E1405" s="3"/>
      <c r="F1405" s="3"/>
      <c r="G1405" s="3"/>
      <c r="H1405" s="60"/>
      <c r="I1405" s="3"/>
      <c r="J1405" s="55"/>
      <c r="K1405" s="56"/>
      <c r="L1405" s="56"/>
      <c r="M1405" s="57"/>
      <c r="N1405" s="3"/>
      <c r="O1405" s="3"/>
      <c r="P1405" s="51"/>
      <c r="Q1405" s="5"/>
    </row>
    <row x14ac:dyDescent="0.25" r="1406" customHeight="1" ht="15.75">
      <c r="A1406" s="3"/>
      <c r="B1406" s="3"/>
      <c r="C1406" s="3"/>
      <c r="D1406" s="3"/>
      <c r="E1406" s="3"/>
      <c r="F1406" s="3"/>
      <c r="G1406" s="3"/>
      <c r="H1406" s="60"/>
      <c r="I1406" s="3"/>
      <c r="J1406" s="55"/>
      <c r="K1406" s="56"/>
      <c r="L1406" s="56"/>
      <c r="M1406" s="57"/>
      <c r="N1406" s="3"/>
      <c r="O1406" s="3"/>
      <c r="P1406" s="51"/>
      <c r="Q1406" s="5"/>
    </row>
    <row x14ac:dyDescent="0.25" r="1407" customHeight="1" ht="15.75">
      <c r="A1407" s="3"/>
      <c r="B1407" s="3"/>
      <c r="C1407" s="3"/>
      <c r="D1407" s="3"/>
      <c r="E1407" s="3"/>
      <c r="F1407" s="3"/>
      <c r="G1407" s="3"/>
      <c r="H1407" s="60"/>
      <c r="I1407" s="3"/>
      <c r="J1407" s="55"/>
      <c r="K1407" s="56"/>
      <c r="L1407" s="56"/>
      <c r="M1407" s="57"/>
      <c r="N1407" s="3"/>
      <c r="O1407" s="3"/>
      <c r="P1407" s="51"/>
      <c r="Q1407" s="5"/>
    </row>
    <row x14ac:dyDescent="0.25" r="1408" customHeight="1" ht="15.75">
      <c r="A1408" s="3"/>
      <c r="B1408" s="3"/>
      <c r="C1408" s="3"/>
      <c r="D1408" s="3"/>
      <c r="E1408" s="3"/>
      <c r="F1408" s="3"/>
      <c r="G1408" s="3"/>
      <c r="H1408" s="60"/>
      <c r="I1408" s="3"/>
      <c r="J1408" s="55"/>
      <c r="K1408" s="56"/>
      <c r="L1408" s="56"/>
      <c r="M1408" s="57"/>
      <c r="N1408" s="3"/>
      <c r="O1408" s="3"/>
      <c r="P1408" s="51"/>
      <c r="Q1408" s="5"/>
    </row>
    <row x14ac:dyDescent="0.25" r="1409" customHeight="1" ht="15.75">
      <c r="A1409" s="3"/>
      <c r="B1409" s="3"/>
      <c r="C1409" s="3"/>
      <c r="D1409" s="3"/>
      <c r="E1409" s="3"/>
      <c r="F1409" s="3"/>
      <c r="G1409" s="3"/>
      <c r="H1409" s="60"/>
      <c r="I1409" s="3"/>
      <c r="J1409" s="55"/>
      <c r="K1409" s="56"/>
      <c r="L1409" s="56"/>
      <c r="M1409" s="57"/>
      <c r="N1409" s="3"/>
      <c r="O1409" s="3"/>
      <c r="P1409" s="51"/>
      <c r="Q1409" s="5"/>
    </row>
    <row x14ac:dyDescent="0.25" r="1410" customHeight="1" ht="15.75">
      <c r="A1410" s="3"/>
      <c r="B1410" s="3"/>
      <c r="C1410" s="3"/>
      <c r="D1410" s="3"/>
      <c r="E1410" s="3"/>
      <c r="F1410" s="3"/>
      <c r="G1410" s="3"/>
      <c r="H1410" s="60"/>
      <c r="I1410" s="3"/>
      <c r="J1410" s="55"/>
      <c r="K1410" s="56"/>
      <c r="L1410" s="56"/>
      <c r="M1410" s="57"/>
      <c r="N1410" s="3"/>
      <c r="O1410" s="3"/>
      <c r="P1410" s="51"/>
      <c r="Q1410" s="5"/>
    </row>
    <row x14ac:dyDescent="0.25" r="1411" customHeight="1" ht="15.75">
      <c r="A1411" s="3"/>
      <c r="B1411" s="3"/>
      <c r="C1411" s="3"/>
      <c r="D1411" s="3"/>
      <c r="E1411" s="3"/>
      <c r="F1411" s="3"/>
      <c r="G1411" s="3"/>
      <c r="H1411" s="60"/>
      <c r="I1411" s="3"/>
      <c r="J1411" s="55"/>
      <c r="K1411" s="56"/>
      <c r="L1411" s="56"/>
      <c r="M1411" s="57"/>
      <c r="N1411" s="3"/>
      <c r="O1411" s="3"/>
      <c r="P1411" s="51"/>
      <c r="Q1411" s="5"/>
    </row>
    <row x14ac:dyDescent="0.25" r="1412" customHeight="1" ht="15.75">
      <c r="A1412" s="3"/>
      <c r="B1412" s="3"/>
      <c r="C1412" s="3"/>
      <c r="D1412" s="3"/>
      <c r="E1412" s="3"/>
      <c r="F1412" s="3"/>
      <c r="G1412" s="3"/>
      <c r="H1412" s="60"/>
      <c r="I1412" s="3"/>
      <c r="J1412" s="55"/>
      <c r="K1412" s="56"/>
      <c r="L1412" s="56"/>
      <c r="M1412" s="57"/>
      <c r="N1412" s="3"/>
      <c r="O1412" s="3"/>
      <c r="P1412" s="51"/>
      <c r="Q1412" s="5"/>
    </row>
    <row x14ac:dyDescent="0.25" r="1413" customHeight="1" ht="15.75">
      <c r="A1413" s="3"/>
      <c r="B1413" s="3"/>
      <c r="C1413" s="3"/>
      <c r="D1413" s="3"/>
      <c r="E1413" s="3"/>
      <c r="F1413" s="3"/>
      <c r="G1413" s="3"/>
      <c r="H1413" s="60"/>
      <c r="I1413" s="3"/>
      <c r="J1413" s="55"/>
      <c r="K1413" s="56"/>
      <c r="L1413" s="56"/>
      <c r="M1413" s="57"/>
      <c r="N1413" s="3"/>
      <c r="O1413" s="3"/>
      <c r="P1413" s="51"/>
      <c r="Q1413" s="5"/>
    </row>
    <row x14ac:dyDescent="0.25" r="1414" customHeight="1" ht="15.75">
      <c r="A1414" s="3"/>
      <c r="B1414" s="3"/>
      <c r="C1414" s="3"/>
      <c r="D1414" s="3"/>
      <c r="E1414" s="3"/>
      <c r="F1414" s="3"/>
      <c r="G1414" s="3"/>
      <c r="H1414" s="60"/>
      <c r="I1414" s="3"/>
      <c r="J1414" s="55"/>
      <c r="K1414" s="56"/>
      <c r="L1414" s="56"/>
      <c r="M1414" s="57"/>
      <c r="N1414" s="3"/>
      <c r="O1414" s="3"/>
      <c r="P1414" s="51"/>
      <c r="Q1414" s="5"/>
    </row>
    <row x14ac:dyDescent="0.25" r="1415" customHeight="1" ht="15.75">
      <c r="A1415" s="3"/>
      <c r="B1415" s="3"/>
      <c r="C1415" s="3"/>
      <c r="D1415" s="3"/>
      <c r="E1415" s="3"/>
      <c r="F1415" s="3"/>
      <c r="G1415" s="3"/>
      <c r="H1415" s="60"/>
      <c r="I1415" s="3"/>
      <c r="J1415" s="55"/>
      <c r="K1415" s="56"/>
      <c r="L1415" s="56"/>
      <c r="M1415" s="57"/>
      <c r="N1415" s="3"/>
      <c r="O1415" s="3"/>
      <c r="P1415" s="51"/>
      <c r="Q1415" s="5"/>
    </row>
    <row x14ac:dyDescent="0.25" r="1416" customHeight="1" ht="15.75">
      <c r="A1416" s="3"/>
      <c r="B1416" s="3"/>
      <c r="C1416" s="3"/>
      <c r="D1416" s="3"/>
      <c r="E1416" s="3"/>
      <c r="F1416" s="3"/>
      <c r="G1416" s="3"/>
      <c r="H1416" s="60"/>
      <c r="I1416" s="3"/>
      <c r="J1416" s="55"/>
      <c r="K1416" s="56"/>
      <c r="L1416" s="56"/>
      <c r="M1416" s="57"/>
      <c r="N1416" s="3"/>
      <c r="O1416" s="3"/>
      <c r="P1416" s="51"/>
      <c r="Q1416" s="5"/>
    </row>
    <row x14ac:dyDescent="0.25" r="1417" customHeight="1" ht="15.75">
      <c r="A1417" s="3"/>
      <c r="B1417" s="3"/>
      <c r="C1417" s="3"/>
      <c r="D1417" s="3"/>
      <c r="E1417" s="3"/>
      <c r="F1417" s="3"/>
      <c r="G1417" s="3"/>
      <c r="H1417" s="60"/>
      <c r="I1417" s="3"/>
      <c r="J1417" s="55"/>
      <c r="K1417" s="56"/>
      <c r="L1417" s="56"/>
      <c r="M1417" s="57"/>
      <c r="N1417" s="3"/>
      <c r="O1417" s="3"/>
      <c r="P1417" s="51"/>
      <c r="Q1417" s="5"/>
    </row>
    <row x14ac:dyDescent="0.25" r="1418" customHeight="1" ht="15.75">
      <c r="A1418" s="3"/>
      <c r="B1418" s="3"/>
      <c r="C1418" s="3"/>
      <c r="D1418" s="3"/>
      <c r="E1418" s="3"/>
      <c r="F1418" s="3"/>
      <c r="G1418" s="3"/>
      <c r="H1418" s="60"/>
      <c r="I1418" s="3"/>
      <c r="J1418" s="55"/>
      <c r="K1418" s="56"/>
      <c r="L1418" s="56"/>
      <c r="M1418" s="57"/>
      <c r="N1418" s="3"/>
      <c r="O1418" s="3"/>
      <c r="P1418" s="51"/>
      <c r="Q1418" s="5"/>
    </row>
    <row x14ac:dyDescent="0.25" r="1419" customHeight="1" ht="15.75">
      <c r="A1419" s="3"/>
      <c r="B1419" s="3"/>
      <c r="C1419" s="3"/>
      <c r="D1419" s="3"/>
      <c r="E1419" s="3"/>
      <c r="F1419" s="3"/>
      <c r="G1419" s="3"/>
      <c r="H1419" s="60"/>
      <c r="I1419" s="3"/>
      <c r="J1419" s="55"/>
      <c r="K1419" s="56"/>
      <c r="L1419" s="56"/>
      <c r="M1419" s="57"/>
      <c r="N1419" s="3"/>
      <c r="O1419" s="3"/>
      <c r="P1419" s="51"/>
      <c r="Q1419" s="5"/>
    </row>
    <row x14ac:dyDescent="0.25" r="1420" customHeight="1" ht="15.75">
      <c r="A1420" s="3"/>
      <c r="B1420" s="3"/>
      <c r="C1420" s="3"/>
      <c r="D1420" s="3"/>
      <c r="E1420" s="3"/>
      <c r="F1420" s="3"/>
      <c r="G1420" s="3"/>
      <c r="H1420" s="60"/>
      <c r="I1420" s="3"/>
      <c r="J1420" s="55"/>
      <c r="K1420" s="56"/>
      <c r="L1420" s="56"/>
      <c r="M1420" s="57"/>
      <c r="N1420" s="3"/>
      <c r="O1420" s="3"/>
      <c r="P1420" s="51"/>
      <c r="Q1420" s="5"/>
    </row>
    <row x14ac:dyDescent="0.25" r="1421" customHeight="1" ht="15.75">
      <c r="A1421" s="3"/>
      <c r="B1421" s="3"/>
      <c r="C1421" s="3"/>
      <c r="D1421" s="3"/>
      <c r="E1421" s="3"/>
      <c r="F1421" s="3"/>
      <c r="G1421" s="3"/>
      <c r="H1421" s="60"/>
      <c r="I1421" s="3"/>
      <c r="J1421" s="55"/>
      <c r="K1421" s="56"/>
      <c r="L1421" s="56"/>
      <c r="M1421" s="57"/>
      <c r="N1421" s="3"/>
      <c r="O1421" s="3"/>
      <c r="P1421" s="51"/>
      <c r="Q1421" s="5"/>
    </row>
    <row x14ac:dyDescent="0.25" r="1422" customHeight="1" ht="15.75">
      <c r="A1422" s="3"/>
      <c r="B1422" s="3"/>
      <c r="C1422" s="3"/>
      <c r="D1422" s="3"/>
      <c r="E1422" s="3"/>
      <c r="F1422" s="3"/>
      <c r="G1422" s="3"/>
      <c r="H1422" s="60"/>
      <c r="I1422" s="3"/>
      <c r="J1422" s="55"/>
      <c r="K1422" s="56"/>
      <c r="L1422" s="56"/>
      <c r="M1422" s="57"/>
      <c r="N1422" s="3"/>
      <c r="O1422" s="3"/>
      <c r="P1422" s="51"/>
      <c r="Q1422" s="5"/>
    </row>
    <row x14ac:dyDescent="0.25" r="1423" customHeight="1" ht="15.75">
      <c r="A1423" s="3"/>
      <c r="B1423" s="3"/>
      <c r="C1423" s="3"/>
      <c r="D1423" s="3"/>
      <c r="E1423" s="3"/>
      <c r="F1423" s="3"/>
      <c r="G1423" s="3"/>
      <c r="H1423" s="60"/>
      <c r="I1423" s="3"/>
      <c r="J1423" s="55"/>
      <c r="K1423" s="56"/>
      <c r="L1423" s="56"/>
      <c r="M1423" s="57"/>
      <c r="N1423" s="3"/>
      <c r="O1423" s="3"/>
      <c r="P1423" s="51"/>
      <c r="Q1423" s="5"/>
    </row>
    <row x14ac:dyDescent="0.25" r="1424" customHeight="1" ht="15.75">
      <c r="A1424" s="3"/>
      <c r="B1424" s="3"/>
      <c r="C1424" s="3"/>
      <c r="D1424" s="3"/>
      <c r="E1424" s="3"/>
      <c r="F1424" s="3"/>
      <c r="G1424" s="3"/>
      <c r="H1424" s="60"/>
      <c r="I1424" s="3"/>
      <c r="J1424" s="55"/>
      <c r="K1424" s="56"/>
      <c r="L1424" s="56"/>
      <c r="M1424" s="57"/>
      <c r="N1424" s="3"/>
      <c r="O1424" s="3"/>
      <c r="P1424" s="51"/>
      <c r="Q1424" s="5"/>
    </row>
    <row x14ac:dyDescent="0.25" r="1425" customHeight="1" ht="15.75">
      <c r="A1425" s="3"/>
      <c r="B1425" s="3"/>
      <c r="C1425" s="3"/>
      <c r="D1425" s="3"/>
      <c r="E1425" s="3"/>
      <c r="F1425" s="3"/>
      <c r="G1425" s="3"/>
      <c r="H1425" s="60"/>
      <c r="I1425" s="3"/>
      <c r="J1425" s="55"/>
      <c r="K1425" s="56"/>
      <c r="L1425" s="56"/>
      <c r="M1425" s="57"/>
      <c r="N1425" s="3"/>
      <c r="O1425" s="3"/>
      <c r="P1425" s="51"/>
      <c r="Q1425" s="5"/>
    </row>
    <row x14ac:dyDescent="0.25" r="1426" customHeight="1" ht="15.75">
      <c r="A1426" s="3"/>
      <c r="B1426" s="3"/>
      <c r="C1426" s="3"/>
      <c r="D1426" s="3"/>
      <c r="E1426" s="3"/>
      <c r="F1426" s="3"/>
      <c r="G1426" s="3"/>
      <c r="H1426" s="60"/>
      <c r="I1426" s="3"/>
      <c r="J1426" s="55"/>
      <c r="K1426" s="56"/>
      <c r="L1426" s="56"/>
      <c r="M1426" s="57"/>
      <c r="N1426" s="3"/>
      <c r="O1426" s="3"/>
      <c r="P1426" s="51"/>
      <c r="Q1426" s="5"/>
    </row>
    <row x14ac:dyDescent="0.25" r="1427" customHeight="1" ht="15.75">
      <c r="A1427" s="3"/>
      <c r="B1427" s="3"/>
      <c r="C1427" s="3"/>
      <c r="D1427" s="3"/>
      <c r="E1427" s="3"/>
      <c r="F1427" s="3"/>
      <c r="G1427" s="3"/>
      <c r="H1427" s="60"/>
      <c r="I1427" s="3"/>
      <c r="J1427" s="55"/>
      <c r="K1427" s="56"/>
      <c r="L1427" s="56"/>
      <c r="M1427" s="57"/>
      <c r="N1427" s="3"/>
      <c r="O1427" s="3"/>
      <c r="P1427" s="51"/>
      <c r="Q1427" s="5"/>
    </row>
    <row x14ac:dyDescent="0.25" r="1428" customHeight="1" ht="15.75">
      <c r="A1428" s="3"/>
      <c r="B1428" s="3"/>
      <c r="C1428" s="3"/>
      <c r="D1428" s="3"/>
      <c r="E1428" s="3"/>
      <c r="F1428" s="3"/>
      <c r="G1428" s="3"/>
      <c r="H1428" s="60"/>
      <c r="I1428" s="3"/>
      <c r="J1428" s="55"/>
      <c r="K1428" s="56"/>
      <c r="L1428" s="56"/>
      <c r="M1428" s="57"/>
      <c r="N1428" s="3"/>
      <c r="O1428" s="3"/>
      <c r="P1428" s="51"/>
      <c r="Q1428" s="5"/>
    </row>
    <row x14ac:dyDescent="0.25" r="1429" customHeight="1" ht="15.75">
      <c r="A1429" s="3"/>
      <c r="B1429" s="3"/>
      <c r="C1429" s="3"/>
      <c r="D1429" s="3"/>
      <c r="E1429" s="3"/>
      <c r="F1429" s="3"/>
      <c r="G1429" s="3"/>
      <c r="H1429" s="60"/>
      <c r="I1429" s="3"/>
      <c r="J1429" s="55"/>
      <c r="K1429" s="56"/>
      <c r="L1429" s="56"/>
      <c r="M1429" s="57"/>
      <c r="N1429" s="3"/>
      <c r="O1429" s="3"/>
      <c r="P1429" s="51"/>
      <c r="Q1429" s="5"/>
    </row>
    <row x14ac:dyDescent="0.25" r="1430" customHeight="1" ht="15.75">
      <c r="A1430" s="3"/>
      <c r="B1430" s="3"/>
      <c r="C1430" s="3"/>
      <c r="D1430" s="3"/>
      <c r="E1430" s="3"/>
      <c r="F1430" s="3"/>
      <c r="G1430" s="3"/>
      <c r="H1430" s="60"/>
      <c r="I1430" s="3"/>
      <c r="J1430" s="55"/>
      <c r="K1430" s="56"/>
      <c r="L1430" s="56"/>
      <c r="M1430" s="57"/>
      <c r="N1430" s="3"/>
      <c r="O1430" s="3"/>
      <c r="P1430" s="51"/>
      <c r="Q1430" s="5"/>
    </row>
    <row x14ac:dyDescent="0.25" r="1431" customHeight="1" ht="15.75">
      <c r="A1431" s="3"/>
      <c r="B1431" s="3"/>
      <c r="C1431" s="3"/>
      <c r="D1431" s="3"/>
      <c r="E1431" s="3"/>
      <c r="F1431" s="3"/>
      <c r="G1431" s="3"/>
      <c r="H1431" s="60"/>
      <c r="I1431" s="3"/>
      <c r="J1431" s="55"/>
      <c r="K1431" s="56"/>
      <c r="L1431" s="56"/>
      <c r="M1431" s="57"/>
      <c r="N1431" s="3"/>
      <c r="O1431" s="3"/>
      <c r="P1431" s="51"/>
      <c r="Q1431" s="5"/>
    </row>
    <row x14ac:dyDescent="0.25" r="1432" customHeight="1" ht="15.75">
      <c r="A1432" s="3"/>
      <c r="B1432" s="3"/>
      <c r="C1432" s="3"/>
      <c r="D1432" s="3"/>
      <c r="E1432" s="3"/>
      <c r="F1432" s="3"/>
      <c r="G1432" s="3"/>
      <c r="H1432" s="60"/>
      <c r="I1432" s="3"/>
      <c r="J1432" s="55"/>
      <c r="K1432" s="56"/>
      <c r="L1432" s="56"/>
      <c r="M1432" s="57"/>
      <c r="N1432" s="3"/>
      <c r="O1432" s="3"/>
      <c r="P1432" s="51"/>
      <c r="Q1432" s="5"/>
    </row>
    <row x14ac:dyDescent="0.25" r="1433" customHeight="1" ht="15.75">
      <c r="A1433" s="3"/>
      <c r="B1433" s="3"/>
      <c r="C1433" s="3"/>
      <c r="D1433" s="3"/>
      <c r="E1433" s="3"/>
      <c r="F1433" s="3"/>
      <c r="G1433" s="3"/>
      <c r="H1433" s="60"/>
      <c r="I1433" s="3"/>
      <c r="J1433" s="55"/>
      <c r="K1433" s="56"/>
      <c r="L1433" s="56"/>
      <c r="M1433" s="57"/>
      <c r="N1433" s="3"/>
      <c r="O1433" s="3"/>
      <c r="P1433" s="51"/>
      <c r="Q1433" s="5"/>
    </row>
    <row x14ac:dyDescent="0.25" r="1434" customHeight="1" ht="15.75">
      <c r="A1434" s="3"/>
      <c r="B1434" s="3"/>
      <c r="C1434" s="3"/>
      <c r="D1434" s="3"/>
      <c r="E1434" s="3"/>
      <c r="F1434" s="3"/>
      <c r="G1434" s="3"/>
      <c r="H1434" s="60"/>
      <c r="I1434" s="3"/>
      <c r="J1434" s="55"/>
      <c r="K1434" s="56"/>
      <c r="L1434" s="56"/>
      <c r="M1434" s="57"/>
      <c r="N1434" s="3"/>
      <c r="O1434" s="3"/>
      <c r="P1434" s="51"/>
      <c r="Q1434" s="5"/>
    </row>
    <row x14ac:dyDescent="0.25" r="1435" customHeight="1" ht="15.75">
      <c r="A1435" s="3"/>
      <c r="B1435" s="3"/>
      <c r="C1435" s="3"/>
      <c r="D1435" s="3"/>
      <c r="E1435" s="3"/>
      <c r="F1435" s="3"/>
      <c r="G1435" s="3"/>
      <c r="H1435" s="60"/>
      <c r="I1435" s="3"/>
      <c r="J1435" s="55"/>
      <c r="K1435" s="56"/>
      <c r="L1435" s="56"/>
      <c r="M1435" s="57"/>
      <c r="N1435" s="3"/>
      <c r="O1435" s="3"/>
      <c r="P1435" s="51"/>
      <c r="Q1435" s="5"/>
    </row>
    <row x14ac:dyDescent="0.25" r="1436" customHeight="1" ht="15.75">
      <c r="A1436" s="3"/>
      <c r="B1436" s="3"/>
      <c r="C1436" s="3"/>
      <c r="D1436" s="3"/>
      <c r="E1436" s="3"/>
      <c r="F1436" s="3"/>
      <c r="G1436" s="3"/>
      <c r="H1436" s="60"/>
      <c r="I1436" s="3"/>
      <c r="J1436" s="55"/>
      <c r="K1436" s="56"/>
      <c r="L1436" s="56"/>
      <c r="M1436" s="57"/>
      <c r="N1436" s="3"/>
      <c r="O1436" s="3"/>
      <c r="P1436" s="51"/>
      <c r="Q1436" s="5"/>
    </row>
    <row x14ac:dyDescent="0.25" r="1437" customHeight="1" ht="15.75">
      <c r="A1437" s="3"/>
      <c r="B1437" s="3"/>
      <c r="C1437" s="3"/>
      <c r="D1437" s="3"/>
      <c r="E1437" s="3"/>
      <c r="F1437" s="3"/>
      <c r="G1437" s="3"/>
      <c r="H1437" s="60"/>
      <c r="I1437" s="3"/>
      <c r="J1437" s="55"/>
      <c r="K1437" s="56"/>
      <c r="L1437" s="56"/>
      <c r="M1437" s="57"/>
      <c r="N1437" s="3"/>
      <c r="O1437" s="3"/>
      <c r="P1437" s="51"/>
      <c r="Q1437" s="5"/>
    </row>
    <row x14ac:dyDescent="0.25" r="1438" customHeight="1" ht="15.75">
      <c r="A1438" s="3"/>
      <c r="B1438" s="3"/>
      <c r="C1438" s="3"/>
      <c r="D1438" s="3"/>
      <c r="E1438" s="3"/>
      <c r="F1438" s="3"/>
      <c r="G1438" s="3"/>
      <c r="H1438" s="60"/>
      <c r="I1438" s="3"/>
      <c r="J1438" s="55"/>
      <c r="K1438" s="56"/>
      <c r="L1438" s="56"/>
      <c r="M1438" s="57"/>
      <c r="N1438" s="3"/>
      <c r="O1438" s="3"/>
      <c r="P1438" s="51"/>
      <c r="Q1438" s="5"/>
    </row>
    <row x14ac:dyDescent="0.25" r="1439" customHeight="1" ht="15.75">
      <c r="A1439" s="3"/>
      <c r="B1439" s="3"/>
      <c r="C1439" s="3"/>
      <c r="D1439" s="3"/>
      <c r="E1439" s="3"/>
      <c r="F1439" s="3"/>
      <c r="G1439" s="3"/>
      <c r="H1439" s="60"/>
      <c r="I1439" s="3"/>
      <c r="J1439" s="55"/>
      <c r="K1439" s="56"/>
      <c r="L1439" s="56"/>
      <c r="M1439" s="57"/>
      <c r="N1439" s="3"/>
      <c r="O1439" s="3"/>
      <c r="P1439" s="51"/>
      <c r="Q1439" s="5"/>
    </row>
    <row x14ac:dyDescent="0.25" r="1440" customHeight="1" ht="15.75">
      <c r="A1440" s="3"/>
      <c r="B1440" s="3"/>
      <c r="C1440" s="3"/>
      <c r="D1440" s="3"/>
      <c r="E1440" s="3"/>
      <c r="F1440" s="3"/>
      <c r="G1440" s="3"/>
      <c r="H1440" s="60"/>
      <c r="I1440" s="3"/>
      <c r="J1440" s="55"/>
      <c r="K1440" s="56"/>
      <c r="L1440" s="56"/>
      <c r="M1440" s="57"/>
      <c r="N1440" s="3"/>
      <c r="O1440" s="3"/>
      <c r="P1440" s="51"/>
      <c r="Q1440" s="5"/>
    </row>
    <row x14ac:dyDescent="0.25" r="1441" customHeight="1" ht="15.75">
      <c r="A1441" s="3"/>
      <c r="B1441" s="3"/>
      <c r="C1441" s="3"/>
      <c r="D1441" s="3"/>
      <c r="E1441" s="3"/>
      <c r="F1441" s="3"/>
      <c r="G1441" s="3"/>
      <c r="H1441" s="60"/>
      <c r="I1441" s="3"/>
      <c r="J1441" s="55"/>
      <c r="K1441" s="56"/>
      <c r="L1441" s="56"/>
      <c r="M1441" s="57"/>
      <c r="N1441" s="3"/>
      <c r="O1441" s="3"/>
      <c r="P1441" s="51"/>
      <c r="Q1441" s="5"/>
    </row>
    <row x14ac:dyDescent="0.25" r="1442" customHeight="1" ht="15.75">
      <c r="A1442" s="3"/>
      <c r="B1442" s="3"/>
      <c r="C1442" s="3"/>
      <c r="D1442" s="3"/>
      <c r="E1442" s="3"/>
      <c r="F1442" s="3"/>
      <c r="G1442" s="3"/>
      <c r="H1442" s="60"/>
      <c r="I1442" s="3"/>
      <c r="J1442" s="55"/>
      <c r="K1442" s="56"/>
      <c r="L1442" s="56"/>
      <c r="M1442" s="57"/>
      <c r="N1442" s="3"/>
      <c r="O1442" s="3"/>
      <c r="P1442" s="51"/>
      <c r="Q1442" s="5"/>
    </row>
    <row x14ac:dyDescent="0.25" r="1443" customHeight="1" ht="15.75">
      <c r="A1443" s="3"/>
      <c r="B1443" s="3"/>
      <c r="C1443" s="3"/>
      <c r="D1443" s="3"/>
      <c r="E1443" s="3"/>
      <c r="F1443" s="3"/>
      <c r="G1443" s="3"/>
      <c r="H1443" s="60"/>
      <c r="I1443" s="3"/>
      <c r="J1443" s="55"/>
      <c r="K1443" s="56"/>
      <c r="L1443" s="56"/>
      <c r="M1443" s="57"/>
      <c r="N1443" s="3"/>
      <c r="O1443" s="3"/>
      <c r="P1443" s="51"/>
      <c r="Q1443" s="5"/>
    </row>
    <row x14ac:dyDescent="0.25" r="1444" customHeight="1" ht="15.75">
      <c r="A1444" s="3"/>
      <c r="B1444" s="3"/>
      <c r="C1444" s="3"/>
      <c r="D1444" s="3"/>
      <c r="E1444" s="3"/>
      <c r="F1444" s="3"/>
      <c r="G1444" s="3"/>
      <c r="H1444" s="60"/>
      <c r="I1444" s="3"/>
      <c r="J1444" s="55"/>
      <c r="K1444" s="56"/>
      <c r="L1444" s="56"/>
      <c r="M1444" s="57"/>
      <c r="N1444" s="3"/>
      <c r="O1444" s="3"/>
      <c r="P1444" s="51"/>
      <c r="Q1444" s="5"/>
    </row>
    <row x14ac:dyDescent="0.25" r="1445" customHeight="1" ht="15.75">
      <c r="A1445" s="3"/>
      <c r="B1445" s="3"/>
      <c r="C1445" s="3"/>
      <c r="D1445" s="3"/>
      <c r="E1445" s="3"/>
      <c r="F1445" s="3"/>
      <c r="G1445" s="3"/>
      <c r="H1445" s="60"/>
      <c r="I1445" s="3"/>
      <c r="J1445" s="55"/>
      <c r="K1445" s="56"/>
      <c r="L1445" s="56"/>
      <c r="M1445" s="57"/>
      <c r="N1445" s="3"/>
      <c r="O1445" s="3"/>
      <c r="P1445" s="51"/>
      <c r="Q1445" s="5"/>
    </row>
    <row x14ac:dyDescent="0.25" r="1446" customHeight="1" ht="15.75">
      <c r="A1446" s="3"/>
      <c r="B1446" s="3"/>
      <c r="C1446" s="3"/>
      <c r="D1446" s="3"/>
      <c r="E1446" s="3"/>
      <c r="F1446" s="3"/>
      <c r="G1446" s="3"/>
      <c r="H1446" s="60"/>
      <c r="I1446" s="3"/>
      <c r="J1446" s="55"/>
      <c r="K1446" s="56"/>
      <c r="L1446" s="56"/>
      <c r="M1446" s="57"/>
      <c r="N1446" s="3"/>
      <c r="O1446" s="3"/>
      <c r="P1446" s="51"/>
      <c r="Q1446" s="5"/>
    </row>
    <row x14ac:dyDescent="0.25" r="1447" customHeight="1" ht="15.75">
      <c r="A1447" s="3"/>
      <c r="B1447" s="3"/>
      <c r="C1447" s="3"/>
      <c r="D1447" s="3"/>
      <c r="E1447" s="3"/>
      <c r="F1447" s="3"/>
      <c r="G1447" s="3"/>
      <c r="H1447" s="60"/>
      <c r="I1447" s="3"/>
      <c r="J1447" s="55"/>
      <c r="K1447" s="56"/>
      <c r="L1447" s="56"/>
      <c r="M1447" s="57"/>
      <c r="N1447" s="3"/>
      <c r="O1447" s="3"/>
      <c r="P1447" s="51"/>
      <c r="Q1447" s="5"/>
    </row>
    <row x14ac:dyDescent="0.25" r="1448" customHeight="1" ht="15.75">
      <c r="A1448" s="3"/>
      <c r="B1448" s="3"/>
      <c r="C1448" s="3"/>
      <c r="D1448" s="3"/>
      <c r="E1448" s="3"/>
      <c r="F1448" s="3"/>
      <c r="G1448" s="3"/>
      <c r="H1448" s="60"/>
      <c r="I1448" s="3"/>
      <c r="J1448" s="55"/>
      <c r="K1448" s="56"/>
      <c r="L1448" s="56"/>
      <c r="M1448" s="57"/>
      <c r="N1448" s="3"/>
      <c r="O1448" s="3"/>
      <c r="P1448" s="51"/>
      <c r="Q1448" s="5"/>
    </row>
    <row x14ac:dyDescent="0.25" r="1449" customHeight="1" ht="15.75">
      <c r="A1449" s="3"/>
      <c r="B1449" s="3"/>
      <c r="C1449" s="3"/>
      <c r="D1449" s="3"/>
      <c r="E1449" s="3"/>
      <c r="F1449" s="3"/>
      <c r="G1449" s="3"/>
      <c r="H1449" s="60"/>
      <c r="I1449" s="3"/>
      <c r="J1449" s="55"/>
      <c r="K1449" s="56"/>
      <c r="L1449" s="56"/>
      <c r="M1449" s="57"/>
      <c r="N1449" s="3"/>
      <c r="O1449" s="3"/>
      <c r="P1449" s="51"/>
      <c r="Q1449" s="5"/>
    </row>
    <row x14ac:dyDescent="0.25" r="1450" customHeight="1" ht="15.75">
      <c r="A1450" s="3"/>
      <c r="B1450" s="3"/>
      <c r="C1450" s="3"/>
      <c r="D1450" s="3"/>
      <c r="E1450" s="3"/>
      <c r="F1450" s="3"/>
      <c r="G1450" s="3"/>
      <c r="H1450" s="60"/>
      <c r="I1450" s="3"/>
      <c r="J1450" s="55"/>
      <c r="K1450" s="56"/>
      <c r="L1450" s="56"/>
      <c r="M1450" s="57"/>
      <c r="N1450" s="3"/>
      <c r="O1450" s="3"/>
      <c r="P1450" s="51"/>
      <c r="Q1450" s="5"/>
    </row>
    <row x14ac:dyDescent="0.25" r="1451" customHeight="1" ht="15.75">
      <c r="A1451" s="3"/>
      <c r="B1451" s="3"/>
      <c r="C1451" s="3"/>
      <c r="D1451" s="3"/>
      <c r="E1451" s="3"/>
      <c r="F1451" s="3"/>
      <c r="G1451" s="3"/>
      <c r="H1451" s="60"/>
      <c r="I1451" s="3"/>
      <c r="J1451" s="55"/>
      <c r="K1451" s="56"/>
      <c r="L1451" s="56"/>
      <c r="M1451" s="57"/>
      <c r="N1451" s="3"/>
      <c r="O1451" s="3"/>
      <c r="P1451" s="51"/>
      <c r="Q1451" s="5"/>
    </row>
    <row x14ac:dyDescent="0.25" r="1452" customHeight="1" ht="15.75">
      <c r="A1452" s="3"/>
      <c r="B1452" s="3"/>
      <c r="C1452" s="3"/>
      <c r="D1452" s="3"/>
      <c r="E1452" s="3"/>
      <c r="F1452" s="3"/>
      <c r="G1452" s="3"/>
      <c r="H1452" s="60"/>
      <c r="I1452" s="3"/>
      <c r="J1452" s="55"/>
      <c r="K1452" s="56"/>
      <c r="L1452" s="56"/>
      <c r="M1452" s="57"/>
      <c r="N1452" s="3"/>
      <c r="O1452" s="3"/>
      <c r="P1452" s="51"/>
      <c r="Q1452" s="5"/>
    </row>
    <row x14ac:dyDescent="0.25" r="1453" customHeight="1" ht="15.75">
      <c r="A1453" s="3"/>
      <c r="B1453" s="3"/>
      <c r="C1453" s="3"/>
      <c r="D1453" s="3"/>
      <c r="E1453" s="3"/>
      <c r="F1453" s="3"/>
      <c r="G1453" s="3"/>
      <c r="H1453" s="60"/>
      <c r="I1453" s="3"/>
      <c r="J1453" s="55"/>
      <c r="K1453" s="56"/>
      <c r="L1453" s="56"/>
      <c r="M1453" s="57"/>
      <c r="N1453" s="3"/>
      <c r="O1453" s="3"/>
      <c r="P1453" s="51"/>
      <c r="Q1453" s="5"/>
    </row>
    <row x14ac:dyDescent="0.25" r="1454" customHeight="1" ht="15.75">
      <c r="A1454" s="3"/>
      <c r="B1454" s="3"/>
      <c r="C1454" s="3"/>
      <c r="D1454" s="3"/>
      <c r="E1454" s="3"/>
      <c r="F1454" s="3"/>
      <c r="G1454" s="3"/>
      <c r="H1454" s="60"/>
      <c r="I1454" s="3"/>
      <c r="J1454" s="55"/>
      <c r="K1454" s="56"/>
      <c r="L1454" s="56"/>
      <c r="M1454" s="57"/>
      <c r="N1454" s="3"/>
      <c r="O1454" s="3"/>
      <c r="P1454" s="51"/>
      <c r="Q1454" s="5"/>
    </row>
    <row x14ac:dyDescent="0.25" r="1455" customHeight="1" ht="15.75">
      <c r="A1455" s="3"/>
      <c r="B1455" s="3"/>
      <c r="C1455" s="3"/>
      <c r="D1455" s="3"/>
      <c r="E1455" s="3"/>
      <c r="F1455" s="3"/>
      <c r="G1455" s="3"/>
      <c r="H1455" s="60"/>
      <c r="I1455" s="3"/>
      <c r="J1455" s="55"/>
      <c r="K1455" s="56"/>
      <c r="L1455" s="56"/>
      <c r="M1455" s="57"/>
      <c r="N1455" s="3"/>
      <c r="O1455" s="3"/>
      <c r="P1455" s="51"/>
      <c r="Q1455" s="5"/>
    </row>
    <row x14ac:dyDescent="0.25" r="1456" customHeight="1" ht="15.75">
      <c r="A1456" s="3"/>
      <c r="B1456" s="3"/>
      <c r="C1456" s="3"/>
      <c r="D1456" s="3"/>
      <c r="E1456" s="3"/>
      <c r="F1456" s="3"/>
      <c r="G1456" s="3"/>
      <c r="H1456" s="60"/>
      <c r="I1456" s="3"/>
      <c r="J1456" s="55"/>
      <c r="K1456" s="56"/>
      <c r="L1456" s="56"/>
      <c r="M1456" s="57"/>
      <c r="N1456" s="3"/>
      <c r="O1456" s="3"/>
      <c r="P1456" s="51"/>
      <c r="Q1456" s="5"/>
    </row>
    <row x14ac:dyDescent="0.25" r="1457" customHeight="1" ht="15.75">
      <c r="A1457" s="3"/>
      <c r="B1457" s="3"/>
      <c r="C1457" s="3"/>
      <c r="D1457" s="3"/>
      <c r="E1457" s="3"/>
      <c r="F1457" s="3"/>
      <c r="G1457" s="3"/>
      <c r="H1457" s="60"/>
      <c r="I1457" s="3"/>
      <c r="J1457" s="55"/>
      <c r="K1457" s="56"/>
      <c r="L1457" s="56"/>
      <c r="M1457" s="57"/>
      <c r="N1457" s="3"/>
      <c r="O1457" s="3"/>
      <c r="P1457" s="51"/>
      <c r="Q1457" s="5"/>
    </row>
    <row x14ac:dyDescent="0.25" r="1458" customHeight="1" ht="15.75">
      <c r="A1458" s="3"/>
      <c r="B1458" s="3"/>
      <c r="C1458" s="3"/>
      <c r="D1458" s="3"/>
      <c r="E1458" s="3"/>
      <c r="F1458" s="3"/>
      <c r="G1458" s="3"/>
      <c r="H1458" s="60"/>
      <c r="I1458" s="3"/>
      <c r="J1458" s="55"/>
      <c r="K1458" s="56"/>
      <c r="L1458" s="56"/>
      <c r="M1458" s="57"/>
      <c r="N1458" s="3"/>
      <c r="O1458" s="3"/>
      <c r="P1458" s="51"/>
      <c r="Q1458" s="5"/>
    </row>
    <row x14ac:dyDescent="0.25" r="1459" customHeight="1" ht="15.75">
      <c r="A1459" s="3"/>
      <c r="B1459" s="3"/>
      <c r="C1459" s="3"/>
      <c r="D1459" s="3"/>
      <c r="E1459" s="3"/>
      <c r="F1459" s="3"/>
      <c r="G1459" s="3"/>
      <c r="H1459" s="60"/>
      <c r="I1459" s="3"/>
      <c r="J1459" s="55"/>
      <c r="K1459" s="56"/>
      <c r="L1459" s="56"/>
      <c r="M1459" s="57"/>
      <c r="N1459" s="3"/>
      <c r="O1459" s="3"/>
      <c r="P1459" s="51"/>
      <c r="Q1459" s="5"/>
    </row>
    <row x14ac:dyDescent="0.25" r="1460" customHeight="1" ht="15.75">
      <c r="A1460" s="3"/>
      <c r="B1460" s="3"/>
      <c r="C1460" s="3"/>
      <c r="D1460" s="3"/>
      <c r="E1460" s="3"/>
      <c r="F1460" s="3"/>
      <c r="G1460" s="3"/>
      <c r="H1460" s="60"/>
      <c r="I1460" s="3"/>
      <c r="J1460" s="55"/>
      <c r="K1460" s="56"/>
      <c r="L1460" s="56"/>
      <c r="M1460" s="57"/>
      <c r="N1460" s="3"/>
      <c r="O1460" s="3"/>
      <c r="P1460" s="51"/>
      <c r="Q1460" s="5"/>
    </row>
    <row x14ac:dyDescent="0.25" r="1461" customHeight="1" ht="15.75">
      <c r="A1461" s="3"/>
      <c r="B1461" s="3"/>
      <c r="C1461" s="3"/>
      <c r="D1461" s="3"/>
      <c r="E1461" s="3"/>
      <c r="F1461" s="3"/>
      <c r="G1461" s="3"/>
      <c r="H1461" s="60"/>
      <c r="I1461" s="3"/>
      <c r="J1461" s="55"/>
      <c r="K1461" s="56"/>
      <c r="L1461" s="56"/>
      <c r="M1461" s="57"/>
      <c r="N1461" s="3"/>
      <c r="O1461" s="3"/>
      <c r="P1461" s="51"/>
      <c r="Q1461" s="5"/>
    </row>
    <row x14ac:dyDescent="0.25" r="1462" customHeight="1" ht="15.75">
      <c r="A1462" s="3"/>
      <c r="B1462" s="3"/>
      <c r="C1462" s="3"/>
      <c r="D1462" s="3"/>
      <c r="E1462" s="3"/>
      <c r="F1462" s="3"/>
      <c r="G1462" s="3"/>
      <c r="H1462" s="60"/>
      <c r="I1462" s="3"/>
      <c r="J1462" s="55"/>
      <c r="K1462" s="56"/>
      <c r="L1462" s="56"/>
      <c r="M1462" s="57"/>
      <c r="N1462" s="3"/>
      <c r="O1462" s="3"/>
      <c r="P1462" s="51"/>
      <c r="Q1462" s="5"/>
    </row>
    <row x14ac:dyDescent="0.25" r="1463" customHeight="1" ht="15.75">
      <c r="A1463" s="3"/>
      <c r="B1463" s="3"/>
      <c r="C1463" s="3"/>
      <c r="D1463" s="3"/>
      <c r="E1463" s="3"/>
      <c r="F1463" s="3"/>
      <c r="G1463" s="3"/>
      <c r="H1463" s="60"/>
      <c r="I1463" s="3"/>
      <c r="J1463" s="55"/>
      <c r="K1463" s="56"/>
      <c r="L1463" s="56"/>
      <c r="M1463" s="57"/>
      <c r="N1463" s="3"/>
      <c r="O1463" s="3"/>
      <c r="P1463" s="51"/>
      <c r="Q1463" s="5"/>
    </row>
    <row x14ac:dyDescent="0.25" r="1464" customHeight="1" ht="15.75">
      <c r="A1464" s="3"/>
      <c r="B1464" s="3"/>
      <c r="C1464" s="3"/>
      <c r="D1464" s="3"/>
      <c r="E1464" s="3"/>
      <c r="F1464" s="3"/>
      <c r="G1464" s="3"/>
      <c r="H1464" s="60"/>
      <c r="I1464" s="3"/>
      <c r="J1464" s="55"/>
      <c r="K1464" s="56"/>
      <c r="L1464" s="56"/>
      <c r="M1464" s="57"/>
      <c r="N1464" s="3"/>
      <c r="O1464" s="3"/>
      <c r="P1464" s="51"/>
      <c r="Q1464" s="5"/>
    </row>
    <row x14ac:dyDescent="0.25" r="1465" customHeight="1" ht="15.75">
      <c r="A1465" s="3"/>
      <c r="B1465" s="3"/>
      <c r="C1465" s="3"/>
      <c r="D1465" s="3"/>
      <c r="E1465" s="3"/>
      <c r="F1465" s="3"/>
      <c r="G1465" s="3"/>
      <c r="H1465" s="60"/>
      <c r="I1465" s="3"/>
      <c r="J1465" s="55"/>
      <c r="K1465" s="56"/>
      <c r="L1465" s="56"/>
      <c r="M1465" s="57"/>
      <c r="N1465" s="3"/>
      <c r="O1465" s="3"/>
      <c r="P1465" s="51"/>
      <c r="Q1465" s="5"/>
    </row>
    <row x14ac:dyDescent="0.25" r="1466" customHeight="1" ht="15.75">
      <c r="A1466" s="3"/>
      <c r="B1466" s="3"/>
      <c r="C1466" s="3"/>
      <c r="D1466" s="3"/>
      <c r="E1466" s="3"/>
      <c r="F1466" s="3"/>
      <c r="G1466" s="3"/>
      <c r="H1466" s="60"/>
      <c r="I1466" s="3"/>
      <c r="J1466" s="55"/>
      <c r="K1466" s="56"/>
      <c r="L1466" s="56"/>
      <c r="M1466" s="57"/>
      <c r="N1466" s="3"/>
      <c r="O1466" s="3"/>
      <c r="P1466" s="51"/>
      <c r="Q1466" s="5"/>
    </row>
    <row x14ac:dyDescent="0.25" r="1467" customHeight="1" ht="15.75">
      <c r="A1467" s="3"/>
      <c r="B1467" s="3"/>
      <c r="C1467" s="3"/>
      <c r="D1467" s="3"/>
      <c r="E1467" s="3"/>
      <c r="F1467" s="3"/>
      <c r="G1467" s="3"/>
      <c r="H1467" s="60"/>
      <c r="I1467" s="3"/>
      <c r="J1467" s="55"/>
      <c r="K1467" s="56"/>
      <c r="L1467" s="56"/>
      <c r="M1467" s="57"/>
      <c r="N1467" s="3"/>
      <c r="O1467" s="3"/>
      <c r="P1467" s="51"/>
      <c r="Q1467" s="5"/>
    </row>
    <row x14ac:dyDescent="0.25" r="1468" customHeight="1" ht="15.75">
      <c r="A1468" s="3"/>
      <c r="B1468" s="3"/>
      <c r="C1468" s="3"/>
      <c r="D1468" s="3"/>
      <c r="E1468" s="3"/>
      <c r="F1468" s="3"/>
      <c r="G1468" s="3"/>
      <c r="H1468" s="60"/>
      <c r="I1468" s="3"/>
      <c r="J1468" s="55"/>
      <c r="K1468" s="56"/>
      <c r="L1468" s="56"/>
      <c r="M1468" s="57"/>
      <c r="N1468" s="3"/>
      <c r="O1468" s="3"/>
      <c r="P1468" s="51"/>
      <c r="Q1468" s="5"/>
    </row>
    <row x14ac:dyDescent="0.25" r="1469" customHeight="1" ht="15.75">
      <c r="A1469" s="3"/>
      <c r="B1469" s="3"/>
      <c r="C1469" s="3"/>
      <c r="D1469" s="3"/>
      <c r="E1469" s="3"/>
      <c r="F1469" s="3"/>
      <c r="G1469" s="3"/>
      <c r="H1469" s="60"/>
      <c r="I1469" s="3"/>
      <c r="J1469" s="55"/>
      <c r="K1469" s="56"/>
      <c r="L1469" s="56"/>
      <c r="M1469" s="57"/>
      <c r="N1469" s="3"/>
      <c r="O1469" s="3"/>
      <c r="P1469" s="51"/>
      <c r="Q1469" s="5"/>
    </row>
    <row x14ac:dyDescent="0.25" r="1470" customHeight="1" ht="15.75">
      <c r="A1470" s="3"/>
      <c r="B1470" s="3"/>
      <c r="C1470" s="3"/>
      <c r="D1470" s="3"/>
      <c r="E1470" s="3"/>
      <c r="F1470" s="3"/>
      <c r="G1470" s="3"/>
      <c r="H1470" s="60"/>
      <c r="I1470" s="3"/>
      <c r="J1470" s="55"/>
      <c r="K1470" s="56"/>
      <c r="L1470" s="56"/>
      <c r="M1470" s="57"/>
      <c r="N1470" s="3"/>
      <c r="O1470" s="3"/>
      <c r="P1470" s="51"/>
      <c r="Q1470" s="5"/>
    </row>
    <row x14ac:dyDescent="0.25" r="1471" customHeight="1" ht="15.75">
      <c r="A1471" s="3"/>
      <c r="B1471" s="3"/>
      <c r="C1471" s="3"/>
      <c r="D1471" s="3"/>
      <c r="E1471" s="3"/>
      <c r="F1471" s="3"/>
      <c r="G1471" s="3"/>
      <c r="H1471" s="60"/>
      <c r="I1471" s="3"/>
      <c r="J1471" s="55"/>
      <c r="K1471" s="56"/>
      <c r="L1471" s="56"/>
      <c r="M1471" s="57"/>
      <c r="N1471" s="3"/>
      <c r="O1471" s="3"/>
      <c r="P1471" s="51"/>
      <c r="Q1471" s="5"/>
    </row>
    <row x14ac:dyDescent="0.25" r="1472" customHeight="1" ht="15.75">
      <c r="A1472" s="3"/>
      <c r="B1472" s="3"/>
      <c r="C1472" s="3"/>
      <c r="D1472" s="3"/>
      <c r="E1472" s="3"/>
      <c r="F1472" s="3"/>
      <c r="G1472" s="3"/>
      <c r="H1472" s="60"/>
      <c r="I1472" s="3"/>
      <c r="J1472" s="55"/>
      <c r="K1472" s="56"/>
      <c r="L1472" s="56"/>
      <c r="M1472" s="57"/>
      <c r="N1472" s="3"/>
      <c r="O1472" s="3"/>
      <c r="P1472" s="51"/>
      <c r="Q1472" s="5"/>
    </row>
    <row x14ac:dyDescent="0.25" r="1473" customHeight="1" ht="15.75">
      <c r="A1473" s="3"/>
      <c r="B1473" s="3"/>
      <c r="C1473" s="3"/>
      <c r="D1473" s="3"/>
      <c r="E1473" s="3"/>
      <c r="F1473" s="3"/>
      <c r="G1473" s="3"/>
      <c r="H1473" s="60"/>
      <c r="I1473" s="3"/>
      <c r="J1473" s="55"/>
      <c r="K1473" s="56"/>
      <c r="L1473" s="56"/>
      <c r="M1473" s="57"/>
      <c r="N1473" s="3"/>
      <c r="O1473" s="3"/>
      <c r="P1473" s="51"/>
      <c r="Q1473" s="5"/>
    </row>
    <row x14ac:dyDescent="0.25" r="1474" customHeight="1" ht="15.75">
      <c r="A1474" s="3"/>
      <c r="B1474" s="3"/>
      <c r="C1474" s="3"/>
      <c r="D1474" s="3"/>
      <c r="E1474" s="3"/>
      <c r="F1474" s="3"/>
      <c r="G1474" s="3"/>
      <c r="H1474" s="60"/>
      <c r="I1474" s="3"/>
      <c r="J1474" s="55"/>
      <c r="K1474" s="56"/>
      <c r="L1474" s="56"/>
      <c r="M1474" s="57"/>
      <c r="N1474" s="3"/>
      <c r="O1474" s="3"/>
      <c r="P1474" s="51"/>
      <c r="Q1474" s="5"/>
    </row>
    <row x14ac:dyDescent="0.25" r="1475" customHeight="1" ht="15.75">
      <c r="A1475" s="3"/>
      <c r="B1475" s="3"/>
      <c r="C1475" s="3"/>
      <c r="D1475" s="3"/>
      <c r="E1475" s="3"/>
      <c r="F1475" s="3"/>
      <c r="G1475" s="3"/>
      <c r="H1475" s="60"/>
      <c r="I1475" s="3"/>
      <c r="J1475" s="55"/>
      <c r="K1475" s="56"/>
      <c r="L1475" s="56"/>
      <c r="M1475" s="57"/>
      <c r="N1475" s="3"/>
      <c r="O1475" s="3"/>
      <c r="P1475" s="51"/>
      <c r="Q1475" s="5"/>
    </row>
    <row x14ac:dyDescent="0.25" r="1476" customHeight="1" ht="15.75">
      <c r="A1476" s="3"/>
      <c r="B1476" s="3"/>
      <c r="C1476" s="3"/>
      <c r="D1476" s="3"/>
      <c r="E1476" s="3"/>
      <c r="F1476" s="3"/>
      <c r="G1476" s="3"/>
      <c r="H1476" s="60"/>
      <c r="I1476" s="3"/>
      <c r="J1476" s="55"/>
      <c r="K1476" s="56"/>
      <c r="L1476" s="56"/>
      <c r="M1476" s="57"/>
      <c r="N1476" s="3"/>
      <c r="O1476" s="3"/>
      <c r="P1476" s="51"/>
      <c r="Q1476" s="5"/>
    </row>
    <row x14ac:dyDescent="0.25" r="1477" customHeight="1" ht="15.75">
      <c r="A1477" s="3"/>
      <c r="B1477" s="3"/>
      <c r="C1477" s="3"/>
      <c r="D1477" s="3"/>
      <c r="E1477" s="3"/>
      <c r="F1477" s="3"/>
      <c r="G1477" s="3"/>
      <c r="H1477" s="60"/>
      <c r="I1477" s="3"/>
      <c r="J1477" s="55"/>
      <c r="K1477" s="56"/>
      <c r="L1477" s="56"/>
      <c r="M1477" s="57"/>
      <c r="N1477" s="3"/>
      <c r="O1477" s="3"/>
      <c r="P1477" s="51"/>
      <c r="Q1477" s="5"/>
    </row>
    <row x14ac:dyDescent="0.25" r="1478" customHeight="1" ht="15.75">
      <c r="A1478" s="3"/>
      <c r="B1478" s="3"/>
      <c r="C1478" s="3"/>
      <c r="D1478" s="3"/>
      <c r="E1478" s="3"/>
      <c r="F1478" s="3"/>
      <c r="G1478" s="3"/>
      <c r="H1478" s="60"/>
      <c r="I1478" s="3"/>
      <c r="J1478" s="55"/>
      <c r="K1478" s="56"/>
      <c r="L1478" s="56"/>
      <c r="M1478" s="57"/>
      <c r="N1478" s="3"/>
      <c r="O1478" s="3"/>
      <c r="P1478" s="51"/>
      <c r="Q1478" s="5"/>
    </row>
    <row x14ac:dyDescent="0.25" r="1479" customHeight="1" ht="15.75">
      <c r="A1479" s="3"/>
      <c r="B1479" s="3"/>
      <c r="C1479" s="3"/>
      <c r="D1479" s="3"/>
      <c r="E1479" s="3"/>
      <c r="F1479" s="3"/>
      <c r="G1479" s="3"/>
      <c r="H1479" s="60"/>
      <c r="I1479" s="3"/>
      <c r="J1479" s="55"/>
      <c r="K1479" s="56"/>
      <c r="L1479" s="56"/>
      <c r="M1479" s="57"/>
      <c r="N1479" s="3"/>
      <c r="O1479" s="3"/>
      <c r="P1479" s="51"/>
      <c r="Q1479" s="5"/>
    </row>
    <row x14ac:dyDescent="0.25" r="1480" customHeight="1" ht="15.75">
      <c r="A1480" s="3"/>
      <c r="B1480" s="3"/>
      <c r="C1480" s="3"/>
      <c r="D1480" s="3"/>
      <c r="E1480" s="3"/>
      <c r="F1480" s="3"/>
      <c r="G1480" s="3"/>
      <c r="H1480" s="60"/>
      <c r="I1480" s="3"/>
      <c r="J1480" s="55"/>
      <c r="K1480" s="56"/>
      <c r="L1480" s="56"/>
      <c r="M1480" s="57"/>
      <c r="N1480" s="3"/>
      <c r="O1480" s="3"/>
      <c r="P1480" s="51"/>
      <c r="Q1480" s="5"/>
    </row>
    <row x14ac:dyDescent="0.25" r="1481" customHeight="1" ht="15.75">
      <c r="A1481" s="3"/>
      <c r="B1481" s="3"/>
      <c r="C1481" s="3"/>
      <c r="D1481" s="3"/>
      <c r="E1481" s="3"/>
      <c r="F1481" s="3"/>
      <c r="G1481" s="3"/>
      <c r="H1481" s="60"/>
      <c r="I1481" s="3"/>
      <c r="J1481" s="55"/>
      <c r="K1481" s="56"/>
      <c r="L1481" s="56"/>
      <c r="M1481" s="57"/>
      <c r="N1481" s="3"/>
      <c r="O1481" s="3"/>
      <c r="P1481" s="51"/>
      <c r="Q1481" s="5"/>
    </row>
    <row x14ac:dyDescent="0.25" r="1482" customHeight="1" ht="15.75">
      <c r="A1482" s="3"/>
      <c r="B1482" s="3"/>
      <c r="C1482" s="3"/>
      <c r="D1482" s="3"/>
      <c r="E1482" s="3"/>
      <c r="F1482" s="3"/>
      <c r="G1482" s="3"/>
      <c r="H1482" s="60"/>
      <c r="I1482" s="3"/>
      <c r="J1482" s="55"/>
      <c r="K1482" s="56"/>
      <c r="L1482" s="56"/>
      <c r="M1482" s="57"/>
      <c r="N1482" s="3"/>
      <c r="O1482" s="3"/>
      <c r="P1482" s="51"/>
      <c r="Q1482" s="5"/>
    </row>
    <row x14ac:dyDescent="0.25" r="1483" customHeight="1" ht="15.75">
      <c r="A1483" s="3"/>
      <c r="B1483" s="3"/>
      <c r="C1483" s="3"/>
      <c r="D1483" s="3"/>
      <c r="E1483" s="3"/>
      <c r="F1483" s="3"/>
      <c r="G1483" s="3"/>
      <c r="H1483" s="60"/>
      <c r="I1483" s="3"/>
      <c r="J1483" s="55"/>
      <c r="K1483" s="56"/>
      <c r="L1483" s="56"/>
      <c r="M1483" s="57"/>
      <c r="N1483" s="3"/>
      <c r="O1483" s="3"/>
      <c r="P1483" s="51"/>
      <c r="Q1483" s="5"/>
    </row>
    <row x14ac:dyDescent="0.25" r="1484" customHeight="1" ht="15.75">
      <c r="A1484" s="3"/>
      <c r="B1484" s="3"/>
      <c r="C1484" s="3"/>
      <c r="D1484" s="3"/>
      <c r="E1484" s="3"/>
      <c r="F1484" s="3"/>
      <c r="G1484" s="3"/>
      <c r="H1484" s="60"/>
      <c r="I1484" s="3"/>
      <c r="J1484" s="55"/>
      <c r="K1484" s="56"/>
      <c r="L1484" s="56"/>
      <c r="M1484" s="57"/>
      <c r="N1484" s="3"/>
      <c r="O1484" s="3"/>
      <c r="P1484" s="51"/>
      <c r="Q1484" s="5"/>
    </row>
    <row x14ac:dyDescent="0.25" r="1485" customHeight="1" ht="15.75">
      <c r="A1485" s="3"/>
      <c r="B1485" s="3"/>
      <c r="C1485" s="3"/>
      <c r="D1485" s="3"/>
      <c r="E1485" s="3"/>
      <c r="F1485" s="3"/>
      <c r="G1485" s="3"/>
      <c r="H1485" s="60"/>
      <c r="I1485" s="3"/>
      <c r="J1485" s="55"/>
      <c r="K1485" s="56"/>
      <c r="L1485" s="56"/>
      <c r="M1485" s="57"/>
      <c r="N1485" s="3"/>
      <c r="O1485" s="3"/>
      <c r="P1485" s="51"/>
      <c r="Q1485" s="5"/>
    </row>
    <row x14ac:dyDescent="0.25" r="1486" customHeight="1" ht="15.75">
      <c r="A1486" s="3"/>
      <c r="B1486" s="3"/>
      <c r="C1486" s="3"/>
      <c r="D1486" s="3"/>
      <c r="E1486" s="3"/>
      <c r="F1486" s="3"/>
      <c r="G1486" s="3"/>
      <c r="H1486" s="60"/>
      <c r="I1486" s="3"/>
      <c r="J1486" s="55"/>
      <c r="K1486" s="56"/>
      <c r="L1486" s="56"/>
      <c r="M1486" s="57"/>
      <c r="N1486" s="3"/>
      <c r="O1486" s="3"/>
      <c r="P1486" s="51"/>
      <c r="Q1486" s="5"/>
    </row>
    <row x14ac:dyDescent="0.25" r="1487" customHeight="1" ht="15.75">
      <c r="A1487" s="3"/>
      <c r="B1487" s="3"/>
      <c r="C1487" s="3"/>
      <c r="D1487" s="3"/>
      <c r="E1487" s="3"/>
      <c r="F1487" s="3"/>
      <c r="G1487" s="3"/>
      <c r="H1487" s="60"/>
      <c r="I1487" s="3"/>
      <c r="J1487" s="55"/>
      <c r="K1487" s="56"/>
      <c r="L1487" s="56"/>
      <c r="M1487" s="57"/>
      <c r="N1487" s="3"/>
      <c r="O1487" s="3"/>
      <c r="P1487" s="51"/>
      <c r="Q1487" s="5"/>
    </row>
    <row x14ac:dyDescent="0.25" r="1488" customHeight="1" ht="15.75">
      <c r="A1488" s="3"/>
      <c r="B1488" s="3"/>
      <c r="C1488" s="3"/>
      <c r="D1488" s="3"/>
      <c r="E1488" s="3"/>
      <c r="F1488" s="3"/>
      <c r="G1488" s="3"/>
      <c r="H1488" s="60"/>
      <c r="I1488" s="3"/>
      <c r="J1488" s="55"/>
      <c r="K1488" s="56"/>
      <c r="L1488" s="56"/>
      <c r="M1488" s="57"/>
      <c r="N1488" s="3"/>
      <c r="O1488" s="3"/>
      <c r="P1488" s="51"/>
      <c r="Q1488" s="5"/>
    </row>
    <row x14ac:dyDescent="0.25" r="1489" customHeight="1" ht="15.75">
      <c r="A1489" s="3"/>
      <c r="B1489" s="3"/>
      <c r="C1489" s="3"/>
      <c r="D1489" s="3"/>
      <c r="E1489" s="3"/>
      <c r="F1489" s="3"/>
      <c r="G1489" s="3"/>
      <c r="H1489" s="60"/>
      <c r="I1489" s="3"/>
      <c r="J1489" s="55"/>
      <c r="K1489" s="56"/>
      <c r="L1489" s="56"/>
      <c r="M1489" s="57"/>
      <c r="N1489" s="3"/>
      <c r="O1489" s="3"/>
      <c r="P1489" s="51"/>
      <c r="Q1489" s="5"/>
    </row>
    <row x14ac:dyDescent="0.25" r="1490" customHeight="1" ht="15.75">
      <c r="A1490" s="3"/>
      <c r="B1490" s="3"/>
      <c r="C1490" s="3"/>
      <c r="D1490" s="3"/>
      <c r="E1490" s="3"/>
      <c r="F1490" s="3"/>
      <c r="G1490" s="3"/>
      <c r="H1490" s="60"/>
      <c r="I1490" s="3"/>
      <c r="J1490" s="55"/>
      <c r="K1490" s="56"/>
      <c r="L1490" s="56"/>
      <c r="M1490" s="57"/>
      <c r="N1490" s="3"/>
      <c r="O1490" s="3"/>
      <c r="P1490" s="51"/>
      <c r="Q1490" s="5"/>
    </row>
    <row x14ac:dyDescent="0.25" r="1491" customHeight="1" ht="15.75">
      <c r="A1491" s="3"/>
      <c r="B1491" s="3"/>
      <c r="C1491" s="3"/>
      <c r="D1491" s="3"/>
      <c r="E1491" s="3"/>
      <c r="F1491" s="3"/>
      <c r="G1491" s="3"/>
      <c r="H1491" s="60"/>
      <c r="I1491" s="3"/>
      <c r="J1491" s="55"/>
      <c r="K1491" s="56"/>
      <c r="L1491" s="56"/>
      <c r="M1491" s="57"/>
      <c r="N1491" s="3"/>
      <c r="O1491" s="3"/>
      <c r="P1491" s="51"/>
      <c r="Q1491" s="5"/>
    </row>
    <row x14ac:dyDescent="0.25" r="1492" customHeight="1" ht="15.75">
      <c r="A1492" s="3"/>
      <c r="B1492" s="3"/>
      <c r="C1492" s="3"/>
      <c r="D1492" s="3"/>
      <c r="E1492" s="3"/>
      <c r="F1492" s="3"/>
      <c r="G1492" s="3"/>
      <c r="H1492" s="60"/>
      <c r="I1492" s="3"/>
      <c r="J1492" s="55"/>
      <c r="K1492" s="56"/>
      <c r="L1492" s="56"/>
      <c r="M1492" s="57"/>
      <c r="N1492" s="3"/>
      <c r="O1492" s="3"/>
      <c r="P1492" s="51"/>
      <c r="Q1492" s="5"/>
    </row>
    <row x14ac:dyDescent="0.25" r="1493" customHeight="1" ht="15.75">
      <c r="A1493" s="3"/>
      <c r="B1493" s="3"/>
      <c r="C1493" s="3"/>
      <c r="D1493" s="3"/>
      <c r="E1493" s="3"/>
      <c r="F1493" s="3"/>
      <c r="G1493" s="3"/>
      <c r="H1493" s="60"/>
      <c r="I1493" s="3"/>
      <c r="J1493" s="55"/>
      <c r="K1493" s="56"/>
      <c r="L1493" s="56"/>
      <c r="M1493" s="57"/>
      <c r="N1493" s="3"/>
      <c r="O1493" s="3"/>
      <c r="P1493" s="51"/>
      <c r="Q1493" s="5"/>
    </row>
    <row x14ac:dyDescent="0.25" r="1494" customHeight="1" ht="15.75">
      <c r="A1494" s="3"/>
      <c r="B1494" s="3"/>
      <c r="C1494" s="3"/>
      <c r="D1494" s="3"/>
      <c r="E1494" s="3"/>
      <c r="F1494" s="3"/>
      <c r="G1494" s="3"/>
      <c r="H1494" s="60"/>
      <c r="I1494" s="3"/>
      <c r="J1494" s="55"/>
      <c r="K1494" s="56"/>
      <c r="L1494" s="56"/>
      <c r="M1494" s="57"/>
      <c r="N1494" s="3"/>
      <c r="O1494" s="3"/>
      <c r="P1494" s="51"/>
      <c r="Q1494" s="5"/>
    </row>
    <row x14ac:dyDescent="0.25" r="1495" customHeight="1" ht="15.75">
      <c r="A1495" s="3"/>
      <c r="B1495" s="3"/>
      <c r="C1495" s="3"/>
      <c r="D1495" s="3"/>
      <c r="E1495" s="3"/>
      <c r="F1495" s="3"/>
      <c r="G1495" s="3"/>
      <c r="H1495" s="60"/>
      <c r="I1495" s="3"/>
      <c r="J1495" s="55"/>
      <c r="K1495" s="56"/>
      <c r="L1495" s="56"/>
      <c r="M1495" s="57"/>
      <c r="N1495" s="3"/>
      <c r="O1495" s="3"/>
      <c r="P1495" s="51"/>
      <c r="Q1495" s="5"/>
    </row>
    <row x14ac:dyDescent="0.25" r="1496" customHeight="1" ht="15.75">
      <c r="A1496" s="3"/>
      <c r="B1496" s="3"/>
      <c r="C1496" s="3"/>
      <c r="D1496" s="3"/>
      <c r="E1496" s="3"/>
      <c r="F1496" s="3"/>
      <c r="G1496" s="3"/>
      <c r="H1496" s="60"/>
      <c r="I1496" s="3"/>
      <c r="J1496" s="55"/>
      <c r="K1496" s="56"/>
      <c r="L1496" s="56"/>
      <c r="M1496" s="57"/>
      <c r="N1496" s="3"/>
      <c r="O1496" s="3"/>
      <c r="P1496" s="51"/>
      <c r="Q1496" s="5"/>
    </row>
    <row x14ac:dyDescent="0.25" r="1497" customHeight="1" ht="15.75">
      <c r="A1497" s="3"/>
      <c r="B1497" s="3"/>
      <c r="C1497" s="3"/>
      <c r="D1497" s="3"/>
      <c r="E1497" s="3"/>
      <c r="F1497" s="3"/>
      <c r="G1497" s="3"/>
      <c r="H1497" s="60"/>
      <c r="I1497" s="3"/>
      <c r="J1497" s="55"/>
      <c r="K1497" s="56"/>
      <c r="L1497" s="56"/>
      <c r="M1497" s="57"/>
      <c r="N1497" s="3"/>
      <c r="O1497" s="3"/>
      <c r="P1497" s="51"/>
      <c r="Q1497" s="5"/>
    </row>
    <row x14ac:dyDescent="0.25" r="1498" customHeight="1" ht="15.75">
      <c r="A1498" s="3"/>
      <c r="B1498" s="3"/>
      <c r="C1498" s="3"/>
      <c r="D1498" s="3"/>
      <c r="E1498" s="3"/>
      <c r="F1498" s="3"/>
      <c r="G1498" s="3"/>
      <c r="H1498" s="60"/>
      <c r="I1498" s="3"/>
      <c r="J1498" s="55"/>
      <c r="K1498" s="56"/>
      <c r="L1498" s="56"/>
      <c r="M1498" s="57"/>
      <c r="N1498" s="3"/>
      <c r="O1498" s="3"/>
      <c r="P1498" s="51"/>
      <c r="Q1498" s="5"/>
    </row>
    <row x14ac:dyDescent="0.25" r="1499" customHeight="1" ht="15.75">
      <c r="A1499" s="3"/>
      <c r="B1499" s="3"/>
      <c r="C1499" s="3"/>
      <c r="D1499" s="3"/>
      <c r="E1499" s="3"/>
      <c r="F1499" s="3"/>
      <c r="G1499" s="3"/>
      <c r="H1499" s="60"/>
      <c r="I1499" s="3"/>
      <c r="J1499" s="55"/>
      <c r="K1499" s="56"/>
      <c r="L1499" s="56"/>
      <c r="M1499" s="57"/>
      <c r="N1499" s="3"/>
      <c r="O1499" s="3"/>
      <c r="P1499" s="51"/>
      <c r="Q1499" s="5"/>
    </row>
    <row x14ac:dyDescent="0.25" r="1500" customHeight="1" ht="15.75">
      <c r="A1500" s="3"/>
      <c r="B1500" s="3"/>
      <c r="C1500" s="3"/>
      <c r="D1500" s="3"/>
      <c r="E1500" s="3"/>
      <c r="F1500" s="3"/>
      <c r="G1500" s="3"/>
      <c r="H1500" s="60"/>
      <c r="I1500" s="3"/>
      <c r="J1500" s="55"/>
      <c r="K1500" s="56"/>
      <c r="L1500" s="56"/>
      <c r="M1500" s="57"/>
      <c r="N1500" s="3"/>
      <c r="O1500" s="3"/>
      <c r="P1500" s="51"/>
      <c r="Q1500" s="5"/>
    </row>
    <row x14ac:dyDescent="0.25" r="1501" customHeight="1" ht="15.75">
      <c r="A1501" s="3"/>
      <c r="B1501" s="3"/>
      <c r="C1501" s="3"/>
      <c r="D1501" s="3"/>
      <c r="E1501" s="3"/>
      <c r="F1501" s="3"/>
      <c r="G1501" s="3"/>
      <c r="H1501" s="60"/>
      <c r="I1501" s="3"/>
      <c r="J1501" s="55"/>
      <c r="K1501" s="56"/>
      <c r="L1501" s="56"/>
      <c r="M1501" s="57"/>
      <c r="N1501" s="3"/>
      <c r="O1501" s="3"/>
      <c r="P1501" s="51"/>
      <c r="Q1501" s="5"/>
    </row>
    <row x14ac:dyDescent="0.25" r="1502" customHeight="1" ht="15.75">
      <c r="A1502" s="3"/>
      <c r="B1502" s="3"/>
      <c r="C1502" s="3"/>
      <c r="D1502" s="3"/>
      <c r="E1502" s="3"/>
      <c r="F1502" s="3"/>
      <c r="G1502" s="3"/>
      <c r="H1502" s="60"/>
      <c r="I1502" s="3"/>
      <c r="J1502" s="55"/>
      <c r="K1502" s="56"/>
      <c r="L1502" s="56"/>
      <c r="M1502" s="57"/>
      <c r="N1502" s="3"/>
      <c r="O1502" s="3"/>
      <c r="P1502" s="51"/>
      <c r="Q1502" s="5"/>
    </row>
    <row x14ac:dyDescent="0.25" r="1503" customHeight="1" ht="15.75">
      <c r="A1503" s="3"/>
      <c r="B1503" s="3"/>
      <c r="C1503" s="3"/>
      <c r="D1503" s="3"/>
      <c r="E1503" s="3"/>
      <c r="F1503" s="3"/>
      <c r="G1503" s="3"/>
      <c r="H1503" s="60"/>
      <c r="I1503" s="3"/>
      <c r="J1503" s="55"/>
      <c r="K1503" s="56"/>
      <c r="L1503" s="56"/>
      <c r="M1503" s="57"/>
      <c r="N1503" s="3"/>
      <c r="O1503" s="3"/>
      <c r="P1503" s="51"/>
      <c r="Q1503" s="5"/>
    </row>
    <row x14ac:dyDescent="0.25" r="1504" customHeight="1" ht="15.75">
      <c r="A1504" s="3"/>
      <c r="B1504" s="3"/>
      <c r="C1504" s="3"/>
      <c r="D1504" s="3"/>
      <c r="E1504" s="3"/>
      <c r="F1504" s="3"/>
      <c r="G1504" s="3"/>
      <c r="H1504" s="60"/>
      <c r="I1504" s="3"/>
      <c r="J1504" s="55"/>
      <c r="K1504" s="56"/>
      <c r="L1504" s="56"/>
      <c r="M1504" s="57"/>
      <c r="N1504" s="3"/>
      <c r="O1504" s="3"/>
      <c r="P1504" s="51"/>
      <c r="Q1504" s="5"/>
    </row>
    <row x14ac:dyDescent="0.25" r="1505" customHeight="1" ht="15.75">
      <c r="A1505" s="3"/>
      <c r="B1505" s="3"/>
      <c r="C1505" s="3"/>
      <c r="D1505" s="3"/>
      <c r="E1505" s="3"/>
      <c r="F1505" s="3"/>
      <c r="G1505" s="3"/>
      <c r="H1505" s="60"/>
      <c r="I1505" s="3"/>
      <c r="J1505" s="55"/>
      <c r="K1505" s="56"/>
      <c r="L1505" s="56"/>
      <c r="M1505" s="57"/>
      <c r="N1505" s="3"/>
      <c r="O1505" s="3"/>
      <c r="P1505" s="51"/>
      <c r="Q1505" s="5"/>
    </row>
    <row x14ac:dyDescent="0.25" r="1506" customHeight="1" ht="15.75">
      <c r="A1506" s="3"/>
      <c r="B1506" s="3"/>
      <c r="C1506" s="3"/>
      <c r="D1506" s="3"/>
      <c r="E1506" s="3"/>
      <c r="F1506" s="3"/>
      <c r="G1506" s="3"/>
      <c r="H1506" s="60"/>
      <c r="I1506" s="3"/>
      <c r="J1506" s="55"/>
      <c r="K1506" s="56"/>
      <c r="L1506" s="56"/>
      <c r="M1506" s="57"/>
      <c r="N1506" s="3"/>
      <c r="O1506" s="3"/>
      <c r="P1506" s="51"/>
      <c r="Q1506" s="5"/>
    </row>
    <row x14ac:dyDescent="0.25" r="1507" customHeight="1" ht="15.75">
      <c r="A1507" s="3"/>
      <c r="B1507" s="3"/>
      <c r="C1507" s="3"/>
      <c r="D1507" s="3"/>
      <c r="E1507" s="3"/>
      <c r="F1507" s="3"/>
      <c r="G1507" s="3"/>
      <c r="H1507" s="60"/>
      <c r="I1507" s="3"/>
      <c r="J1507" s="55"/>
      <c r="K1507" s="56"/>
      <c r="L1507" s="56"/>
      <c r="M1507" s="57"/>
      <c r="N1507" s="3"/>
      <c r="O1507" s="3"/>
      <c r="P1507" s="51"/>
      <c r="Q1507" s="5"/>
    </row>
    <row x14ac:dyDescent="0.25" r="1508" customHeight="1" ht="15.75">
      <c r="A1508" s="3"/>
      <c r="B1508" s="3"/>
      <c r="C1508" s="3"/>
      <c r="D1508" s="3"/>
      <c r="E1508" s="3"/>
      <c r="F1508" s="3"/>
      <c r="G1508" s="3"/>
      <c r="H1508" s="60"/>
      <c r="I1508" s="3"/>
      <c r="J1508" s="55"/>
      <c r="K1508" s="56"/>
      <c r="L1508" s="56"/>
      <c r="M1508" s="57"/>
      <c r="N1508" s="3"/>
      <c r="O1508" s="3"/>
      <c r="P1508" s="51"/>
      <c r="Q1508" s="5"/>
    </row>
    <row x14ac:dyDescent="0.25" r="1509" customHeight="1" ht="15.75">
      <c r="A1509" s="3"/>
      <c r="B1509" s="3"/>
      <c r="C1509" s="3"/>
      <c r="D1509" s="3"/>
      <c r="E1509" s="3"/>
      <c r="F1509" s="3"/>
      <c r="G1509" s="3"/>
      <c r="H1509" s="60"/>
      <c r="I1509" s="3"/>
      <c r="J1509" s="55"/>
      <c r="K1509" s="56"/>
      <c r="L1509" s="56"/>
      <c r="M1509" s="57"/>
      <c r="N1509" s="3"/>
      <c r="O1509" s="3"/>
      <c r="P1509" s="51"/>
      <c r="Q1509" s="5"/>
    </row>
    <row x14ac:dyDescent="0.25" r="1510" customHeight="1" ht="15.75">
      <c r="A1510" s="3"/>
      <c r="B1510" s="3"/>
      <c r="C1510" s="3"/>
      <c r="D1510" s="3"/>
      <c r="E1510" s="3"/>
      <c r="F1510" s="3"/>
      <c r="G1510" s="3"/>
      <c r="H1510" s="60"/>
      <c r="I1510" s="3"/>
      <c r="J1510" s="55"/>
      <c r="K1510" s="56"/>
      <c r="L1510" s="56"/>
      <c r="M1510" s="57"/>
      <c r="N1510" s="3"/>
      <c r="O1510" s="3"/>
      <c r="P1510" s="51"/>
      <c r="Q1510" s="5"/>
    </row>
    <row x14ac:dyDescent="0.25" r="1511" customHeight="1" ht="15.75">
      <c r="A1511" s="3"/>
      <c r="B1511" s="3"/>
      <c r="C1511" s="3"/>
      <c r="D1511" s="3"/>
      <c r="E1511" s="3"/>
      <c r="F1511" s="3"/>
      <c r="G1511" s="3"/>
      <c r="H1511" s="60"/>
      <c r="I1511" s="3"/>
      <c r="J1511" s="55"/>
      <c r="K1511" s="56"/>
      <c r="L1511" s="56"/>
      <c r="M1511" s="57"/>
      <c r="N1511" s="3"/>
      <c r="O1511" s="3"/>
      <c r="P1511" s="51"/>
      <c r="Q1511" s="5"/>
    </row>
    <row x14ac:dyDescent="0.25" r="1512" customHeight="1" ht="15.75">
      <c r="A1512" s="3"/>
      <c r="B1512" s="3"/>
      <c r="C1512" s="3"/>
      <c r="D1512" s="3"/>
      <c r="E1512" s="3"/>
      <c r="F1512" s="3"/>
      <c r="G1512" s="3"/>
      <c r="H1512" s="60"/>
      <c r="I1512" s="3"/>
      <c r="J1512" s="55"/>
      <c r="K1512" s="56"/>
      <c r="L1512" s="56"/>
      <c r="M1512" s="57"/>
      <c r="N1512" s="3"/>
      <c r="O1512" s="3"/>
      <c r="P1512" s="51"/>
      <c r="Q1512" s="5"/>
    </row>
    <row x14ac:dyDescent="0.25" r="1513" customHeight="1" ht="15.75">
      <c r="A1513" s="3"/>
      <c r="B1513" s="3"/>
      <c r="C1513" s="3"/>
      <c r="D1513" s="3"/>
      <c r="E1513" s="3"/>
      <c r="F1513" s="3"/>
      <c r="G1513" s="3"/>
      <c r="H1513" s="60"/>
      <c r="I1513" s="3"/>
      <c r="J1513" s="55"/>
      <c r="K1513" s="56"/>
      <c r="L1513" s="56"/>
      <c r="M1513" s="57"/>
      <c r="N1513" s="3"/>
      <c r="O1513" s="3"/>
      <c r="P1513" s="51"/>
      <c r="Q1513" s="5"/>
    </row>
    <row x14ac:dyDescent="0.25" r="1514" customHeight="1" ht="15.75">
      <c r="A1514" s="3"/>
      <c r="B1514" s="3"/>
      <c r="C1514" s="3"/>
      <c r="D1514" s="3"/>
      <c r="E1514" s="3"/>
      <c r="F1514" s="3"/>
      <c r="G1514" s="3"/>
      <c r="H1514" s="60"/>
      <c r="I1514" s="3"/>
      <c r="J1514" s="55"/>
      <c r="K1514" s="56"/>
      <c r="L1514" s="56"/>
      <c r="M1514" s="57"/>
      <c r="N1514" s="3"/>
      <c r="O1514" s="3"/>
      <c r="P1514" s="51"/>
      <c r="Q1514" s="5"/>
    </row>
    <row x14ac:dyDescent="0.25" r="1515" customHeight="1" ht="15.75">
      <c r="A1515" s="3"/>
      <c r="B1515" s="3"/>
      <c r="C1515" s="3"/>
      <c r="D1515" s="3"/>
      <c r="E1515" s="3"/>
      <c r="F1515" s="3"/>
      <c r="G1515" s="3"/>
      <c r="H1515" s="60"/>
      <c r="I1515" s="3"/>
      <c r="J1515" s="55"/>
      <c r="K1515" s="56"/>
      <c r="L1515" s="56"/>
      <c r="M1515" s="57"/>
      <c r="N1515" s="3"/>
      <c r="O1515" s="3"/>
      <c r="P1515" s="51"/>
      <c r="Q1515" s="5"/>
    </row>
    <row x14ac:dyDescent="0.25" r="1516" customHeight="1" ht="15.75">
      <c r="A1516" s="3"/>
      <c r="B1516" s="3"/>
      <c r="C1516" s="3"/>
      <c r="D1516" s="3"/>
      <c r="E1516" s="3"/>
      <c r="F1516" s="3"/>
      <c r="G1516" s="3"/>
      <c r="H1516" s="60"/>
      <c r="I1516" s="3"/>
      <c r="J1516" s="55"/>
      <c r="K1516" s="56"/>
      <c r="L1516" s="56"/>
      <c r="M1516" s="57"/>
      <c r="N1516" s="3"/>
      <c r="O1516" s="3"/>
      <c r="P1516" s="51"/>
      <c r="Q1516" s="5"/>
    </row>
    <row x14ac:dyDescent="0.25" r="1517" customHeight="1" ht="15.75">
      <c r="A1517" s="3"/>
      <c r="B1517" s="3"/>
      <c r="C1517" s="3"/>
      <c r="D1517" s="3"/>
      <c r="E1517" s="3"/>
      <c r="F1517" s="3"/>
      <c r="G1517" s="3"/>
      <c r="H1517" s="60"/>
      <c r="I1517" s="3"/>
      <c r="J1517" s="55"/>
      <c r="K1517" s="56"/>
      <c r="L1517" s="56"/>
      <c r="M1517" s="57"/>
      <c r="N1517" s="3"/>
      <c r="O1517" s="3"/>
      <c r="P1517" s="51"/>
      <c r="Q1517" s="5"/>
    </row>
    <row x14ac:dyDescent="0.25" r="1518" customHeight="1" ht="15.75">
      <c r="A1518" s="3"/>
      <c r="B1518" s="3"/>
      <c r="C1518" s="3"/>
      <c r="D1518" s="3"/>
      <c r="E1518" s="3"/>
      <c r="F1518" s="3"/>
      <c r="G1518" s="3"/>
      <c r="H1518" s="60"/>
      <c r="I1518" s="3"/>
      <c r="J1518" s="55"/>
      <c r="K1518" s="56"/>
      <c r="L1518" s="56"/>
      <c r="M1518" s="57"/>
      <c r="N1518" s="3"/>
      <c r="O1518" s="3"/>
      <c r="P1518" s="51"/>
      <c r="Q1518" s="5"/>
    </row>
    <row x14ac:dyDescent="0.25" r="1519" customHeight="1" ht="15.75">
      <c r="A1519" s="3"/>
      <c r="B1519" s="3"/>
      <c r="C1519" s="3"/>
      <c r="D1519" s="3"/>
      <c r="E1519" s="3"/>
      <c r="F1519" s="3"/>
      <c r="G1519" s="3"/>
      <c r="H1519" s="60"/>
      <c r="I1519" s="3"/>
      <c r="J1519" s="55"/>
      <c r="K1519" s="56"/>
      <c r="L1519" s="56"/>
      <c r="M1519" s="57"/>
      <c r="N1519" s="3"/>
      <c r="O1519" s="3"/>
      <c r="P1519" s="51"/>
      <c r="Q1519" s="5"/>
    </row>
    <row x14ac:dyDescent="0.25" r="1520" customHeight="1" ht="15.75">
      <c r="A1520" s="3"/>
      <c r="B1520" s="3"/>
      <c r="C1520" s="3"/>
      <c r="D1520" s="3"/>
      <c r="E1520" s="3"/>
      <c r="F1520" s="3"/>
      <c r="G1520" s="3"/>
      <c r="H1520" s="60"/>
      <c r="I1520" s="3"/>
      <c r="J1520" s="55"/>
      <c r="K1520" s="56"/>
      <c r="L1520" s="56"/>
      <c r="M1520" s="57"/>
      <c r="N1520" s="3"/>
      <c r="O1520" s="3"/>
      <c r="P1520" s="51"/>
      <c r="Q1520" s="5"/>
    </row>
    <row x14ac:dyDescent="0.25" r="1521" customHeight="1" ht="15.75">
      <c r="A1521" s="3"/>
      <c r="B1521" s="3"/>
      <c r="C1521" s="3"/>
      <c r="D1521" s="3"/>
      <c r="E1521" s="3"/>
      <c r="F1521" s="3"/>
      <c r="G1521" s="3"/>
      <c r="H1521" s="60"/>
      <c r="I1521" s="3"/>
      <c r="J1521" s="55"/>
      <c r="K1521" s="56"/>
      <c r="L1521" s="56"/>
      <c r="M1521" s="57"/>
      <c r="N1521" s="3"/>
      <c r="O1521" s="3"/>
      <c r="P1521" s="51"/>
      <c r="Q1521" s="5"/>
    </row>
    <row x14ac:dyDescent="0.25" r="1522" customHeight="1" ht="15.75">
      <c r="A1522" s="3"/>
      <c r="B1522" s="3"/>
      <c r="C1522" s="3"/>
      <c r="D1522" s="3"/>
      <c r="E1522" s="3"/>
      <c r="F1522" s="3"/>
      <c r="G1522" s="3"/>
      <c r="H1522" s="60"/>
      <c r="I1522" s="3"/>
      <c r="J1522" s="55"/>
      <c r="K1522" s="56"/>
      <c r="L1522" s="56"/>
      <c r="M1522" s="57"/>
      <c r="N1522" s="3"/>
      <c r="O1522" s="3"/>
      <c r="P1522" s="51"/>
      <c r="Q1522" s="5"/>
    </row>
    <row x14ac:dyDescent="0.25" r="1523" customHeight="1" ht="15.75">
      <c r="A1523" s="3"/>
      <c r="B1523" s="3"/>
      <c r="C1523" s="3"/>
      <c r="D1523" s="3"/>
      <c r="E1523" s="3"/>
      <c r="F1523" s="3"/>
      <c r="G1523" s="3"/>
      <c r="H1523" s="60"/>
      <c r="I1523" s="3"/>
      <c r="J1523" s="55"/>
      <c r="K1523" s="56"/>
      <c r="L1523" s="56"/>
      <c r="M1523" s="57"/>
      <c r="N1523" s="3"/>
      <c r="O1523" s="3"/>
      <c r="P1523" s="51"/>
      <c r="Q1523" s="5"/>
    </row>
    <row x14ac:dyDescent="0.25" r="1524" customHeight="1" ht="15.75">
      <c r="A1524" s="3"/>
      <c r="B1524" s="3"/>
      <c r="C1524" s="3"/>
      <c r="D1524" s="3"/>
      <c r="E1524" s="3"/>
      <c r="F1524" s="3"/>
      <c r="G1524" s="3"/>
      <c r="H1524" s="60"/>
      <c r="I1524" s="3"/>
      <c r="J1524" s="55"/>
      <c r="K1524" s="56"/>
      <c r="L1524" s="56"/>
      <c r="M1524" s="57"/>
      <c r="N1524" s="3"/>
      <c r="O1524" s="3"/>
      <c r="P1524" s="51"/>
      <c r="Q1524" s="5"/>
    </row>
    <row x14ac:dyDescent="0.25" r="1525" customHeight="1" ht="15.75">
      <c r="A1525" s="3"/>
      <c r="B1525" s="3"/>
      <c r="C1525" s="3"/>
      <c r="D1525" s="3"/>
      <c r="E1525" s="3"/>
      <c r="F1525" s="3"/>
      <c r="G1525" s="3"/>
      <c r="H1525" s="60"/>
      <c r="I1525" s="3"/>
      <c r="J1525" s="55"/>
      <c r="K1525" s="56"/>
      <c r="L1525" s="56"/>
      <c r="M1525" s="57"/>
      <c r="N1525" s="3"/>
      <c r="O1525" s="3"/>
      <c r="P1525" s="51"/>
      <c r="Q1525" s="5"/>
    </row>
    <row x14ac:dyDescent="0.25" r="1526" customHeight="1" ht="15.75">
      <c r="A1526" s="3"/>
      <c r="B1526" s="3"/>
      <c r="C1526" s="3"/>
      <c r="D1526" s="3"/>
      <c r="E1526" s="3"/>
      <c r="F1526" s="3"/>
      <c r="G1526" s="3"/>
      <c r="H1526" s="60"/>
      <c r="I1526" s="3"/>
      <c r="J1526" s="55"/>
      <c r="K1526" s="56"/>
      <c r="L1526" s="56"/>
      <c r="M1526" s="57"/>
      <c r="N1526" s="3"/>
      <c r="O1526" s="3"/>
      <c r="P1526" s="51"/>
      <c r="Q1526" s="5"/>
    </row>
    <row x14ac:dyDescent="0.25" r="1527" customHeight="1" ht="15.75">
      <c r="A1527" s="3"/>
      <c r="B1527" s="3"/>
      <c r="C1527" s="3"/>
      <c r="D1527" s="3"/>
      <c r="E1527" s="3"/>
      <c r="F1527" s="3"/>
      <c r="G1527" s="3"/>
      <c r="H1527" s="60"/>
      <c r="I1527" s="3"/>
      <c r="J1527" s="55"/>
      <c r="K1527" s="56"/>
      <c r="L1527" s="56"/>
      <c r="M1527" s="57"/>
      <c r="N1527" s="3"/>
      <c r="O1527" s="3"/>
      <c r="P1527" s="51"/>
      <c r="Q1527" s="5"/>
    </row>
    <row x14ac:dyDescent="0.25" r="1528" customHeight="1" ht="15.75">
      <c r="A1528" s="3"/>
      <c r="B1528" s="3"/>
      <c r="C1528" s="3"/>
      <c r="D1528" s="3"/>
      <c r="E1528" s="3"/>
      <c r="F1528" s="3"/>
      <c r="G1528" s="3"/>
      <c r="H1528" s="60"/>
      <c r="I1528" s="3"/>
      <c r="J1528" s="55"/>
      <c r="K1528" s="56"/>
      <c r="L1528" s="56"/>
      <c r="M1528" s="57"/>
      <c r="N1528" s="3"/>
      <c r="O1528" s="3"/>
      <c r="P1528" s="51"/>
      <c r="Q1528" s="5"/>
    </row>
    <row x14ac:dyDescent="0.25" r="1529" customHeight="1" ht="15.75">
      <c r="A1529" s="3"/>
      <c r="B1529" s="3"/>
      <c r="C1529" s="3"/>
      <c r="D1529" s="3"/>
      <c r="E1529" s="3"/>
      <c r="F1529" s="3"/>
      <c r="G1529" s="3"/>
      <c r="H1529" s="60"/>
      <c r="I1529" s="3"/>
      <c r="J1529" s="55"/>
      <c r="K1529" s="56"/>
      <c r="L1529" s="56"/>
      <c r="M1529" s="57"/>
      <c r="N1529" s="3"/>
      <c r="O1529" s="3"/>
      <c r="P1529" s="51"/>
      <c r="Q1529" s="5"/>
    </row>
    <row x14ac:dyDescent="0.25" r="1530" customHeight="1" ht="15.75">
      <c r="A1530" s="3"/>
      <c r="B1530" s="3"/>
      <c r="C1530" s="3"/>
      <c r="D1530" s="3"/>
      <c r="E1530" s="3"/>
      <c r="F1530" s="3"/>
      <c r="G1530" s="3"/>
      <c r="H1530" s="60"/>
      <c r="I1530" s="3"/>
      <c r="J1530" s="55"/>
      <c r="K1530" s="56"/>
      <c r="L1530" s="56"/>
      <c r="M1530" s="57"/>
      <c r="N1530" s="3"/>
      <c r="O1530" s="3"/>
      <c r="P1530" s="51"/>
      <c r="Q1530" s="5"/>
    </row>
    <row x14ac:dyDescent="0.25" r="1531" customHeight="1" ht="15.75">
      <c r="A1531" s="3"/>
      <c r="B1531" s="3"/>
      <c r="C1531" s="3"/>
      <c r="D1531" s="3"/>
      <c r="E1531" s="3"/>
      <c r="F1531" s="3"/>
      <c r="G1531" s="3"/>
      <c r="H1531" s="60"/>
      <c r="I1531" s="3"/>
      <c r="J1531" s="55"/>
      <c r="K1531" s="56"/>
      <c r="L1531" s="56"/>
      <c r="M1531" s="57"/>
      <c r="N1531" s="3"/>
      <c r="O1531" s="3"/>
      <c r="P1531" s="51"/>
      <c r="Q1531" s="5"/>
    </row>
    <row x14ac:dyDescent="0.25" r="1532" customHeight="1" ht="15.75">
      <c r="A1532" s="3"/>
      <c r="B1532" s="3"/>
      <c r="C1532" s="3"/>
      <c r="D1532" s="3"/>
      <c r="E1532" s="3"/>
      <c r="F1532" s="3"/>
      <c r="G1532" s="3"/>
      <c r="H1532" s="60"/>
      <c r="I1532" s="3"/>
      <c r="J1532" s="55"/>
      <c r="K1532" s="56"/>
      <c r="L1532" s="56"/>
      <c r="M1532" s="57"/>
      <c r="N1532" s="3"/>
      <c r="O1532" s="3"/>
      <c r="P1532" s="51"/>
      <c r="Q1532" s="5"/>
    </row>
    <row x14ac:dyDescent="0.25" r="1533" customHeight="1" ht="15.75">
      <c r="A1533" s="3"/>
      <c r="B1533" s="3"/>
      <c r="C1533" s="3"/>
      <c r="D1533" s="3"/>
      <c r="E1533" s="3"/>
      <c r="F1533" s="3"/>
      <c r="G1533" s="3"/>
      <c r="H1533" s="60"/>
      <c r="I1533" s="3"/>
      <c r="J1533" s="55"/>
      <c r="K1533" s="56"/>
      <c r="L1533" s="56"/>
      <c r="M1533" s="57"/>
      <c r="N1533" s="3"/>
      <c r="O1533" s="3"/>
      <c r="P1533" s="51"/>
      <c r="Q1533" s="5"/>
    </row>
    <row x14ac:dyDescent="0.25" r="1534" customHeight="1" ht="15.75">
      <c r="A1534" s="3"/>
      <c r="B1534" s="3"/>
      <c r="C1534" s="3"/>
      <c r="D1534" s="3"/>
      <c r="E1534" s="3"/>
      <c r="F1534" s="3"/>
      <c r="G1534" s="3"/>
      <c r="H1534" s="60"/>
      <c r="I1534" s="3"/>
      <c r="J1534" s="55"/>
      <c r="K1534" s="56"/>
      <c r="L1534" s="56"/>
      <c r="M1534" s="57"/>
      <c r="N1534" s="3"/>
      <c r="O1534" s="3"/>
      <c r="P1534" s="51"/>
      <c r="Q1534" s="5"/>
    </row>
    <row x14ac:dyDescent="0.25" r="1535" customHeight="1" ht="15.75">
      <c r="A1535" s="3"/>
      <c r="B1535" s="3"/>
      <c r="C1535" s="3"/>
      <c r="D1535" s="3"/>
      <c r="E1535" s="3"/>
      <c r="F1535" s="3"/>
      <c r="G1535" s="3"/>
      <c r="H1535" s="60"/>
      <c r="I1535" s="3"/>
      <c r="J1535" s="55"/>
      <c r="K1535" s="56"/>
      <c r="L1535" s="56"/>
      <c r="M1535" s="57"/>
      <c r="N1535" s="3"/>
      <c r="O1535" s="3"/>
      <c r="P1535" s="51"/>
      <c r="Q1535" s="5"/>
    </row>
    <row x14ac:dyDescent="0.25" r="1536" customHeight="1" ht="15.75">
      <c r="A1536" s="3"/>
      <c r="B1536" s="3"/>
      <c r="C1536" s="3"/>
      <c r="D1536" s="3"/>
      <c r="E1536" s="3"/>
      <c r="F1536" s="3"/>
      <c r="G1536" s="3"/>
      <c r="H1536" s="60"/>
      <c r="I1536" s="3"/>
      <c r="J1536" s="55"/>
      <c r="K1536" s="56"/>
      <c r="L1536" s="56"/>
      <c r="M1536" s="57"/>
      <c r="N1536" s="3"/>
      <c r="O1536" s="3"/>
      <c r="P1536" s="51"/>
      <c r="Q1536" s="5"/>
    </row>
    <row x14ac:dyDescent="0.25" r="1537" customHeight="1" ht="15.75">
      <c r="A1537" s="3"/>
      <c r="B1537" s="3"/>
      <c r="C1537" s="3"/>
      <c r="D1537" s="3"/>
      <c r="E1537" s="3"/>
      <c r="F1537" s="3"/>
      <c r="G1537" s="3"/>
      <c r="H1537" s="60"/>
      <c r="I1537" s="3"/>
      <c r="J1537" s="55"/>
      <c r="K1537" s="56"/>
      <c r="L1537" s="56"/>
      <c r="M1537" s="57"/>
      <c r="N1537" s="3"/>
      <c r="O1537" s="3"/>
      <c r="P1537" s="51"/>
      <c r="Q1537" s="5"/>
    </row>
    <row x14ac:dyDescent="0.25" r="1538" customHeight="1" ht="15.75">
      <c r="A1538" s="3"/>
      <c r="B1538" s="3"/>
      <c r="C1538" s="3"/>
      <c r="D1538" s="3"/>
      <c r="E1538" s="3"/>
      <c r="F1538" s="3"/>
      <c r="G1538" s="3"/>
      <c r="H1538" s="60"/>
      <c r="I1538" s="3"/>
      <c r="J1538" s="55"/>
      <c r="K1538" s="56"/>
      <c r="L1538" s="56"/>
      <c r="M1538" s="57"/>
      <c r="N1538" s="3"/>
      <c r="O1538" s="3"/>
      <c r="P1538" s="51"/>
      <c r="Q1538" s="5"/>
    </row>
    <row x14ac:dyDescent="0.25" r="1539" customHeight="1" ht="15.75">
      <c r="A1539" s="3"/>
      <c r="B1539" s="3"/>
      <c r="C1539" s="3"/>
      <c r="D1539" s="3"/>
      <c r="E1539" s="3"/>
      <c r="F1539" s="3"/>
      <c r="G1539" s="3"/>
      <c r="H1539" s="60"/>
      <c r="I1539" s="3"/>
      <c r="J1539" s="55"/>
      <c r="K1539" s="56"/>
      <c r="L1539" s="56"/>
      <c r="M1539" s="57"/>
      <c r="N1539" s="3"/>
      <c r="O1539" s="3"/>
      <c r="P1539" s="51"/>
      <c r="Q1539" s="5"/>
    </row>
    <row x14ac:dyDescent="0.25" r="1540" customHeight="1" ht="15.75">
      <c r="A1540" s="3"/>
      <c r="B1540" s="3"/>
      <c r="C1540" s="3"/>
      <c r="D1540" s="3"/>
      <c r="E1540" s="3"/>
      <c r="F1540" s="3"/>
      <c r="G1540" s="3"/>
      <c r="H1540" s="60"/>
      <c r="I1540" s="3"/>
      <c r="J1540" s="55"/>
      <c r="K1540" s="56"/>
      <c r="L1540" s="56"/>
      <c r="M1540" s="57"/>
      <c r="N1540" s="3"/>
      <c r="O1540" s="3"/>
      <c r="P1540" s="51"/>
      <c r="Q1540" s="5"/>
    </row>
    <row x14ac:dyDescent="0.25" r="1541" customHeight="1" ht="15.75">
      <c r="A1541" s="3"/>
      <c r="B1541" s="3"/>
      <c r="C1541" s="3"/>
      <c r="D1541" s="3"/>
      <c r="E1541" s="3"/>
      <c r="F1541" s="3"/>
      <c r="G1541" s="3"/>
      <c r="H1541" s="60"/>
      <c r="I1541" s="3"/>
      <c r="J1541" s="55"/>
      <c r="K1541" s="56"/>
      <c r="L1541" s="56"/>
      <c r="M1541" s="57"/>
      <c r="N1541" s="3"/>
      <c r="O1541" s="3"/>
      <c r="P1541" s="51"/>
      <c r="Q1541" s="5"/>
    </row>
    <row x14ac:dyDescent="0.25" r="1542" customHeight="1" ht="15.75">
      <c r="A1542" s="3"/>
      <c r="B1542" s="3"/>
      <c r="C1542" s="3"/>
      <c r="D1542" s="3"/>
      <c r="E1542" s="3"/>
      <c r="F1542" s="3"/>
      <c r="G1542" s="3"/>
      <c r="H1542" s="60"/>
      <c r="I1542" s="3"/>
      <c r="J1542" s="55"/>
      <c r="K1542" s="56"/>
      <c r="L1542" s="56"/>
      <c r="M1542" s="57"/>
      <c r="N1542" s="3"/>
      <c r="O1542" s="3"/>
      <c r="P1542" s="51"/>
      <c r="Q1542" s="5"/>
    </row>
    <row x14ac:dyDescent="0.25" r="1543" customHeight="1" ht="15.75">
      <c r="A1543" s="3"/>
      <c r="B1543" s="3"/>
      <c r="C1543" s="3"/>
      <c r="D1543" s="3"/>
      <c r="E1543" s="3"/>
      <c r="F1543" s="3"/>
      <c r="G1543" s="3"/>
      <c r="H1543" s="60"/>
      <c r="I1543" s="3"/>
      <c r="J1543" s="55"/>
      <c r="K1543" s="56"/>
      <c r="L1543" s="56"/>
      <c r="M1543" s="57"/>
      <c r="N1543" s="3"/>
      <c r="O1543" s="3"/>
      <c r="P1543" s="51"/>
      <c r="Q1543" s="5"/>
    </row>
    <row x14ac:dyDescent="0.25" r="1544" customHeight="1" ht="15.75">
      <c r="A1544" s="3"/>
      <c r="B1544" s="3"/>
      <c r="C1544" s="3"/>
      <c r="D1544" s="3"/>
      <c r="E1544" s="3"/>
      <c r="F1544" s="3"/>
      <c r="G1544" s="3"/>
      <c r="H1544" s="60"/>
      <c r="I1544" s="3"/>
      <c r="J1544" s="55"/>
      <c r="K1544" s="56"/>
      <c r="L1544" s="56"/>
      <c r="M1544" s="57"/>
      <c r="N1544" s="3"/>
      <c r="O1544" s="3"/>
      <c r="P1544" s="51"/>
      <c r="Q1544" s="5"/>
    </row>
    <row x14ac:dyDescent="0.25" r="1545" customHeight="1" ht="15.75">
      <c r="A1545" s="3"/>
      <c r="B1545" s="3"/>
      <c r="C1545" s="3"/>
      <c r="D1545" s="3"/>
      <c r="E1545" s="3"/>
      <c r="F1545" s="3"/>
      <c r="G1545" s="3"/>
      <c r="H1545" s="60"/>
      <c r="I1545" s="3"/>
      <c r="J1545" s="55"/>
      <c r="K1545" s="56"/>
      <c r="L1545" s="56"/>
      <c r="M1545" s="57"/>
      <c r="N1545" s="3"/>
      <c r="O1545" s="3"/>
      <c r="P1545" s="51"/>
      <c r="Q1545" s="5"/>
    </row>
    <row x14ac:dyDescent="0.25" r="1546" customHeight="1" ht="15.75">
      <c r="A1546" s="3"/>
      <c r="B1546" s="3"/>
      <c r="C1546" s="3"/>
      <c r="D1546" s="3"/>
      <c r="E1546" s="3"/>
      <c r="F1546" s="3"/>
      <c r="G1546" s="3"/>
      <c r="H1546" s="60"/>
      <c r="I1546" s="3"/>
      <c r="J1546" s="55"/>
      <c r="K1546" s="56"/>
      <c r="L1546" s="56"/>
      <c r="M1546" s="57"/>
      <c r="N1546" s="3"/>
      <c r="O1546" s="3"/>
      <c r="P1546" s="51"/>
      <c r="Q1546" s="5"/>
    </row>
    <row x14ac:dyDescent="0.25" r="1547" customHeight="1" ht="15.75">
      <c r="A1547" s="3"/>
      <c r="B1547" s="3"/>
      <c r="C1547" s="3"/>
      <c r="D1547" s="3"/>
      <c r="E1547" s="3"/>
      <c r="F1547" s="3"/>
      <c r="G1547" s="3"/>
      <c r="H1547" s="60"/>
      <c r="I1547" s="3"/>
      <c r="J1547" s="55"/>
      <c r="K1547" s="56"/>
      <c r="L1547" s="56"/>
      <c r="M1547" s="57"/>
      <c r="N1547" s="3"/>
      <c r="O1547" s="3"/>
      <c r="P1547" s="51"/>
      <c r="Q1547" s="5"/>
    </row>
    <row x14ac:dyDescent="0.25" r="1548" customHeight="1" ht="15.75">
      <c r="A1548" s="3"/>
      <c r="B1548" s="3"/>
      <c r="C1548" s="3"/>
      <c r="D1548" s="3"/>
      <c r="E1548" s="3"/>
      <c r="F1548" s="3"/>
      <c r="G1548" s="3"/>
      <c r="H1548" s="60"/>
      <c r="I1548" s="3"/>
      <c r="J1548" s="55"/>
      <c r="K1548" s="56"/>
      <c r="L1548" s="56"/>
      <c r="M1548" s="57"/>
      <c r="N1548" s="3"/>
      <c r="O1548" s="3"/>
      <c r="P1548" s="51"/>
      <c r="Q1548" s="5"/>
    </row>
    <row x14ac:dyDescent="0.25" r="1549" customHeight="1" ht="15.75">
      <c r="A1549" s="3"/>
      <c r="B1549" s="3"/>
      <c r="C1549" s="3"/>
      <c r="D1549" s="3"/>
      <c r="E1549" s="3"/>
      <c r="F1549" s="3"/>
      <c r="G1549" s="3"/>
      <c r="H1549" s="60"/>
      <c r="I1549" s="3"/>
      <c r="J1549" s="55"/>
      <c r="K1549" s="56"/>
      <c r="L1549" s="56"/>
      <c r="M1549" s="57"/>
      <c r="N1549" s="3"/>
      <c r="O1549" s="3"/>
      <c r="P1549" s="51"/>
      <c r="Q1549" s="5"/>
    </row>
    <row x14ac:dyDescent="0.25" r="1550" customHeight="1" ht="15.75">
      <c r="A1550" s="3"/>
      <c r="B1550" s="3"/>
      <c r="C1550" s="3"/>
      <c r="D1550" s="3"/>
      <c r="E1550" s="3"/>
      <c r="F1550" s="3"/>
      <c r="G1550" s="3"/>
      <c r="H1550" s="60"/>
      <c r="I1550" s="3"/>
      <c r="J1550" s="55"/>
      <c r="K1550" s="56"/>
      <c r="L1550" s="56"/>
      <c r="M1550" s="57"/>
      <c r="N1550" s="3"/>
      <c r="O1550" s="3"/>
      <c r="P1550" s="51"/>
      <c r="Q1550" s="5"/>
    </row>
    <row x14ac:dyDescent="0.25" r="1551" customHeight="1" ht="15.75">
      <c r="A1551" s="3"/>
      <c r="B1551" s="3"/>
      <c r="C1551" s="3"/>
      <c r="D1551" s="3"/>
      <c r="E1551" s="3"/>
      <c r="F1551" s="3"/>
      <c r="G1551" s="3"/>
      <c r="H1551" s="60"/>
      <c r="I1551" s="3"/>
      <c r="J1551" s="55"/>
      <c r="K1551" s="56"/>
      <c r="L1551" s="56"/>
      <c r="M1551" s="57"/>
      <c r="N1551" s="3"/>
      <c r="O1551" s="3"/>
      <c r="P1551" s="51"/>
      <c r="Q1551" s="5"/>
    </row>
    <row x14ac:dyDescent="0.25" r="1552" customHeight="1" ht="15.75">
      <c r="A1552" s="3"/>
      <c r="B1552" s="3"/>
      <c r="C1552" s="3"/>
      <c r="D1552" s="3"/>
      <c r="E1552" s="3"/>
      <c r="F1552" s="3"/>
      <c r="G1552" s="3"/>
      <c r="H1552" s="60"/>
      <c r="I1552" s="3"/>
      <c r="J1552" s="55"/>
      <c r="K1552" s="56"/>
      <c r="L1552" s="56"/>
      <c r="M1552" s="57"/>
      <c r="N1552" s="3"/>
      <c r="O1552" s="3"/>
      <c r="P1552" s="51"/>
      <c r="Q1552" s="5"/>
    </row>
    <row x14ac:dyDescent="0.25" r="1553" customHeight="1" ht="15.75">
      <c r="A1553" s="3"/>
      <c r="B1553" s="3"/>
      <c r="C1553" s="3"/>
      <c r="D1553" s="3"/>
      <c r="E1553" s="3"/>
      <c r="F1553" s="3"/>
      <c r="G1553" s="3"/>
      <c r="H1553" s="60"/>
      <c r="I1553" s="3"/>
      <c r="J1553" s="55"/>
      <c r="K1553" s="56"/>
      <c r="L1553" s="56"/>
      <c r="M1553" s="57"/>
      <c r="N1553" s="3"/>
      <c r="O1553" s="3"/>
      <c r="P1553" s="51"/>
      <c r="Q1553" s="5"/>
    </row>
    <row x14ac:dyDescent="0.25" r="1554" customHeight="1" ht="15.75">
      <c r="A1554" s="3"/>
      <c r="B1554" s="3"/>
      <c r="C1554" s="3"/>
      <c r="D1554" s="3"/>
      <c r="E1554" s="3"/>
      <c r="F1554" s="3"/>
      <c r="G1554" s="3"/>
      <c r="H1554" s="60"/>
      <c r="I1554" s="3"/>
      <c r="J1554" s="55"/>
      <c r="K1554" s="56"/>
      <c r="L1554" s="56"/>
      <c r="M1554" s="57"/>
      <c r="N1554" s="3"/>
      <c r="O1554" s="3"/>
      <c r="P1554" s="51"/>
      <c r="Q1554" s="5"/>
    </row>
    <row x14ac:dyDescent="0.25" r="1555" customHeight="1" ht="15.75">
      <c r="A1555" s="3"/>
      <c r="B1555" s="3"/>
      <c r="C1555" s="3"/>
      <c r="D1555" s="3"/>
      <c r="E1555" s="3"/>
      <c r="F1555" s="3"/>
      <c r="G1555" s="3"/>
      <c r="H1555" s="60"/>
      <c r="I1555" s="3"/>
      <c r="J1555" s="55"/>
      <c r="K1555" s="56"/>
      <c r="L1555" s="56"/>
      <c r="M1555" s="57"/>
      <c r="N1555" s="3"/>
      <c r="O1555" s="3"/>
      <c r="P1555" s="51"/>
      <c r="Q1555" s="5"/>
    </row>
    <row x14ac:dyDescent="0.25" r="1556" customHeight="1" ht="15.75">
      <c r="A1556" s="3"/>
      <c r="B1556" s="3"/>
      <c r="C1556" s="3"/>
      <c r="D1556" s="3"/>
      <c r="E1556" s="3"/>
      <c r="F1556" s="3"/>
      <c r="G1556" s="3"/>
      <c r="H1556" s="60"/>
      <c r="I1556" s="3"/>
      <c r="J1556" s="55"/>
      <c r="K1556" s="56"/>
      <c r="L1556" s="56"/>
      <c r="M1556" s="57"/>
      <c r="N1556" s="3"/>
      <c r="O1556" s="3"/>
      <c r="P1556" s="51"/>
      <c r="Q1556" s="5"/>
    </row>
    <row x14ac:dyDescent="0.25" r="1557" customHeight="1" ht="15.75">
      <c r="A1557" s="3"/>
      <c r="B1557" s="3"/>
      <c r="C1557" s="3"/>
      <c r="D1557" s="3"/>
      <c r="E1557" s="3"/>
      <c r="F1557" s="3"/>
      <c r="G1557" s="3"/>
      <c r="H1557" s="60"/>
      <c r="I1557" s="3"/>
      <c r="J1557" s="55"/>
      <c r="K1557" s="56"/>
      <c r="L1557" s="56"/>
      <c r="M1557" s="57"/>
      <c r="N1557" s="3"/>
      <c r="O1557" s="3"/>
      <c r="P1557" s="51"/>
      <c r="Q1557" s="5"/>
    </row>
    <row x14ac:dyDescent="0.25" r="1558" customHeight="1" ht="15.75">
      <c r="A1558" s="3"/>
      <c r="B1558" s="3"/>
      <c r="C1558" s="3"/>
      <c r="D1558" s="3"/>
      <c r="E1558" s="3"/>
      <c r="F1558" s="3"/>
      <c r="G1558" s="3"/>
      <c r="H1558" s="60"/>
      <c r="I1558" s="3"/>
      <c r="J1558" s="55"/>
      <c r="K1558" s="56"/>
      <c r="L1558" s="56"/>
      <c r="M1558" s="57"/>
      <c r="N1558" s="3"/>
      <c r="O1558" s="3"/>
      <c r="P1558" s="51"/>
      <c r="Q1558" s="5"/>
    </row>
    <row x14ac:dyDescent="0.25" r="1559" customHeight="1" ht="15.75">
      <c r="A1559" s="3"/>
      <c r="B1559" s="3"/>
      <c r="C1559" s="3"/>
      <c r="D1559" s="3"/>
      <c r="E1559" s="3"/>
      <c r="F1559" s="3"/>
      <c r="G1559" s="3"/>
      <c r="H1559" s="60"/>
      <c r="I1559" s="3"/>
      <c r="J1559" s="55"/>
      <c r="K1559" s="56"/>
      <c r="L1559" s="56"/>
      <c r="M1559" s="57"/>
      <c r="N1559" s="3"/>
      <c r="O1559" s="3"/>
      <c r="P1559" s="51"/>
      <c r="Q1559" s="5"/>
    </row>
    <row x14ac:dyDescent="0.25" r="1560" customHeight="1" ht="15.75">
      <c r="A1560" s="3"/>
      <c r="B1560" s="3"/>
      <c r="C1560" s="3"/>
      <c r="D1560" s="3"/>
      <c r="E1560" s="3"/>
      <c r="F1560" s="3"/>
      <c r="G1560" s="3"/>
      <c r="H1560" s="60"/>
      <c r="I1560" s="3"/>
      <c r="J1560" s="55"/>
      <c r="K1560" s="56"/>
      <c r="L1560" s="56"/>
      <c r="M1560" s="57"/>
      <c r="N1560" s="3"/>
      <c r="O1560" s="3"/>
      <c r="P1560" s="51"/>
      <c r="Q1560" s="5"/>
    </row>
    <row x14ac:dyDescent="0.25" r="1561" customHeight="1" ht="15.75">
      <c r="A1561" s="3"/>
      <c r="B1561" s="3"/>
      <c r="C1561" s="3"/>
      <c r="D1561" s="3"/>
      <c r="E1561" s="3"/>
      <c r="F1561" s="3"/>
      <c r="G1561" s="3"/>
      <c r="H1561" s="60"/>
      <c r="I1561" s="3"/>
      <c r="J1561" s="55"/>
      <c r="K1561" s="56"/>
      <c r="L1561" s="56"/>
      <c r="M1561" s="57"/>
      <c r="N1561" s="3"/>
      <c r="O1561" s="3"/>
      <c r="P1561" s="51"/>
      <c r="Q1561" s="5"/>
    </row>
    <row x14ac:dyDescent="0.25" r="1562" customHeight="1" ht="15.75">
      <c r="A1562" s="3"/>
      <c r="B1562" s="3"/>
      <c r="C1562" s="3"/>
      <c r="D1562" s="3"/>
      <c r="E1562" s="3"/>
      <c r="F1562" s="3"/>
      <c r="G1562" s="3"/>
      <c r="H1562" s="60"/>
      <c r="I1562" s="3"/>
      <c r="J1562" s="55"/>
      <c r="K1562" s="56"/>
      <c r="L1562" s="56"/>
      <c r="M1562" s="57"/>
      <c r="N1562" s="3"/>
      <c r="O1562" s="3"/>
      <c r="P1562" s="51"/>
      <c r="Q1562" s="5"/>
    </row>
    <row x14ac:dyDescent="0.25" r="1563" customHeight="1" ht="15.75">
      <c r="A1563" s="3"/>
      <c r="B1563" s="3"/>
      <c r="C1563" s="3"/>
      <c r="D1563" s="3"/>
      <c r="E1563" s="3"/>
      <c r="F1563" s="3"/>
      <c r="G1563" s="3"/>
      <c r="H1563" s="60"/>
      <c r="I1563" s="3"/>
      <c r="J1563" s="55"/>
      <c r="K1563" s="56"/>
      <c r="L1563" s="56"/>
      <c r="M1563" s="57"/>
      <c r="N1563" s="3"/>
      <c r="O1563" s="3"/>
      <c r="P1563" s="51"/>
      <c r="Q1563" s="5"/>
    </row>
    <row x14ac:dyDescent="0.25" r="1564" customHeight="1" ht="15.75">
      <c r="A1564" s="3"/>
      <c r="B1564" s="3"/>
      <c r="C1564" s="3"/>
      <c r="D1564" s="3"/>
      <c r="E1564" s="3"/>
      <c r="F1564" s="3"/>
      <c r="G1564" s="3"/>
      <c r="H1564" s="60"/>
      <c r="I1564" s="3"/>
      <c r="J1564" s="55"/>
      <c r="K1564" s="56"/>
      <c r="L1564" s="56"/>
      <c r="M1564" s="57"/>
      <c r="N1564" s="3"/>
      <c r="O1564" s="3"/>
      <c r="P1564" s="51"/>
      <c r="Q1564" s="5"/>
    </row>
    <row x14ac:dyDescent="0.25" r="1565" customHeight="1" ht="15.75">
      <c r="A1565" s="3"/>
      <c r="B1565" s="3"/>
      <c r="C1565" s="3"/>
      <c r="D1565" s="3"/>
      <c r="E1565" s="3"/>
      <c r="F1565" s="3"/>
      <c r="G1565" s="3"/>
      <c r="H1565" s="60"/>
      <c r="I1565" s="3"/>
      <c r="J1565" s="55"/>
      <c r="K1565" s="56"/>
      <c r="L1565" s="56"/>
      <c r="M1565" s="57"/>
      <c r="N1565" s="3"/>
      <c r="O1565" s="3"/>
      <c r="P1565" s="51"/>
      <c r="Q1565" s="5"/>
    </row>
    <row x14ac:dyDescent="0.25" r="1566" customHeight="1" ht="15.75">
      <c r="A1566" s="3"/>
      <c r="B1566" s="3"/>
      <c r="C1566" s="3"/>
      <c r="D1566" s="3"/>
      <c r="E1566" s="3"/>
      <c r="F1566" s="3"/>
      <c r="G1566" s="3"/>
      <c r="H1566" s="60"/>
      <c r="I1566" s="3"/>
      <c r="J1566" s="55"/>
      <c r="K1566" s="56"/>
      <c r="L1566" s="56"/>
      <c r="M1566" s="57"/>
      <c r="N1566" s="3"/>
      <c r="O1566" s="3"/>
      <c r="P1566" s="51"/>
      <c r="Q1566" s="5"/>
    </row>
    <row x14ac:dyDescent="0.25" r="1567" customHeight="1" ht="15.75">
      <c r="A1567" s="3"/>
      <c r="B1567" s="3"/>
      <c r="C1567" s="3"/>
      <c r="D1567" s="3"/>
      <c r="E1567" s="3"/>
      <c r="F1567" s="3"/>
      <c r="G1567" s="3"/>
      <c r="H1567" s="60"/>
      <c r="I1567" s="3"/>
      <c r="J1567" s="55"/>
      <c r="K1567" s="56"/>
      <c r="L1567" s="56"/>
      <c r="M1567" s="57"/>
      <c r="N1567" s="3"/>
      <c r="O1567" s="3"/>
      <c r="P1567" s="51"/>
      <c r="Q1567" s="5"/>
    </row>
    <row x14ac:dyDescent="0.25" r="1568" customHeight="1" ht="15.75">
      <c r="A1568" s="3"/>
      <c r="B1568" s="3"/>
      <c r="C1568" s="3"/>
      <c r="D1568" s="3"/>
      <c r="E1568" s="3"/>
      <c r="F1568" s="3"/>
      <c r="G1568" s="3"/>
      <c r="H1568" s="60"/>
      <c r="I1568" s="3"/>
      <c r="J1568" s="55"/>
      <c r="K1568" s="56"/>
      <c r="L1568" s="56"/>
      <c r="M1568" s="57"/>
      <c r="N1568" s="3"/>
      <c r="O1568" s="3"/>
      <c r="P1568" s="51"/>
      <c r="Q1568" s="5"/>
    </row>
    <row x14ac:dyDescent="0.25" r="1569" customHeight="1" ht="15.75">
      <c r="A1569" s="3"/>
      <c r="B1569" s="3"/>
      <c r="C1569" s="3"/>
      <c r="D1569" s="3"/>
      <c r="E1569" s="3"/>
      <c r="F1569" s="3"/>
      <c r="G1569" s="3"/>
      <c r="H1569" s="60"/>
      <c r="I1569" s="3"/>
      <c r="J1569" s="55"/>
      <c r="K1569" s="56"/>
      <c r="L1569" s="56"/>
      <c r="M1569" s="57"/>
      <c r="N1569" s="3"/>
      <c r="O1569" s="3"/>
      <c r="P1569" s="51"/>
      <c r="Q1569" s="5"/>
    </row>
    <row x14ac:dyDescent="0.25" r="1570" customHeight="1" ht="15.75">
      <c r="A1570" s="3"/>
      <c r="B1570" s="3"/>
      <c r="C1570" s="3"/>
      <c r="D1570" s="3"/>
      <c r="E1570" s="3"/>
      <c r="F1570" s="3"/>
      <c r="G1570" s="3"/>
      <c r="H1570" s="60"/>
      <c r="I1570" s="3"/>
      <c r="J1570" s="55"/>
      <c r="K1570" s="56"/>
      <c r="L1570" s="56"/>
      <c r="M1570" s="57"/>
      <c r="N1570" s="3"/>
      <c r="O1570" s="3"/>
      <c r="P1570" s="51"/>
      <c r="Q1570" s="5"/>
    </row>
    <row x14ac:dyDescent="0.25" r="1571" customHeight="1" ht="15.75">
      <c r="A1571" s="3"/>
      <c r="B1571" s="3"/>
      <c r="C1571" s="3"/>
      <c r="D1571" s="3"/>
      <c r="E1571" s="3"/>
      <c r="F1571" s="3"/>
      <c r="G1571" s="3"/>
      <c r="H1571" s="60"/>
      <c r="I1571" s="3"/>
      <c r="J1571" s="55"/>
      <c r="K1571" s="56"/>
      <c r="L1571" s="56"/>
      <c r="M1571" s="57"/>
      <c r="N1571" s="3"/>
      <c r="O1571" s="3"/>
      <c r="P1571" s="51"/>
      <c r="Q1571" s="5"/>
    </row>
    <row x14ac:dyDescent="0.25" r="1572" customHeight="1" ht="15.75">
      <c r="A1572" s="3"/>
      <c r="B1572" s="3"/>
      <c r="C1572" s="3"/>
      <c r="D1572" s="3"/>
      <c r="E1572" s="3"/>
      <c r="F1572" s="3"/>
      <c r="G1572" s="3"/>
      <c r="H1572" s="60"/>
      <c r="I1572" s="3"/>
      <c r="J1572" s="55"/>
      <c r="K1572" s="56"/>
      <c r="L1572" s="56"/>
      <c r="M1572" s="57"/>
      <c r="N1572" s="3"/>
      <c r="O1572" s="3"/>
      <c r="P1572" s="51"/>
      <c r="Q1572" s="5"/>
    </row>
    <row x14ac:dyDescent="0.25" r="1573" customHeight="1" ht="15.75">
      <c r="A1573" s="3"/>
      <c r="B1573" s="3"/>
      <c r="C1573" s="3"/>
      <c r="D1573" s="3"/>
      <c r="E1573" s="3"/>
      <c r="F1573" s="3"/>
      <c r="G1573" s="3"/>
      <c r="H1573" s="60"/>
      <c r="I1573" s="3"/>
      <c r="J1573" s="55"/>
      <c r="K1573" s="56"/>
      <c r="L1573" s="56"/>
      <c r="M1573" s="57"/>
      <c r="N1573" s="3"/>
      <c r="O1573" s="3"/>
      <c r="P1573" s="51"/>
      <c r="Q1573" s="5"/>
    </row>
    <row x14ac:dyDescent="0.25" r="1574" customHeight="1" ht="15.75">
      <c r="A1574" s="3"/>
      <c r="B1574" s="3"/>
      <c r="C1574" s="3"/>
      <c r="D1574" s="3"/>
      <c r="E1574" s="3"/>
      <c r="F1574" s="3"/>
      <c r="G1574" s="3"/>
      <c r="H1574" s="60"/>
      <c r="I1574" s="3"/>
      <c r="J1574" s="55"/>
      <c r="K1574" s="56"/>
      <c r="L1574" s="56"/>
      <c r="M1574" s="57"/>
      <c r="N1574" s="3"/>
      <c r="O1574" s="3"/>
      <c r="P1574" s="51"/>
      <c r="Q1574" s="5"/>
    </row>
    <row x14ac:dyDescent="0.25" r="1575" customHeight="1" ht="15.75">
      <c r="A1575" s="3"/>
      <c r="B1575" s="3"/>
      <c r="C1575" s="3"/>
      <c r="D1575" s="3"/>
      <c r="E1575" s="3"/>
      <c r="F1575" s="3"/>
      <c r="G1575" s="3"/>
      <c r="H1575" s="60"/>
      <c r="I1575" s="3"/>
      <c r="J1575" s="55"/>
      <c r="K1575" s="56"/>
      <c r="L1575" s="56"/>
      <c r="M1575" s="57"/>
      <c r="N1575" s="3"/>
      <c r="O1575" s="3"/>
      <c r="P1575" s="51"/>
      <c r="Q1575" s="5"/>
    </row>
    <row x14ac:dyDescent="0.25" r="1576" customHeight="1" ht="15.75">
      <c r="A1576" s="3"/>
      <c r="B1576" s="3"/>
      <c r="C1576" s="3"/>
      <c r="D1576" s="3"/>
      <c r="E1576" s="3"/>
      <c r="F1576" s="3"/>
      <c r="G1576" s="3"/>
      <c r="H1576" s="60"/>
      <c r="I1576" s="3"/>
      <c r="J1576" s="55"/>
      <c r="K1576" s="56"/>
      <c r="L1576" s="56"/>
      <c r="M1576" s="57"/>
      <c r="N1576" s="3"/>
      <c r="O1576" s="3"/>
      <c r="P1576" s="51"/>
      <c r="Q1576" s="5"/>
    </row>
    <row x14ac:dyDescent="0.25" r="1577" customHeight="1" ht="15.75">
      <c r="A1577" s="3"/>
      <c r="B1577" s="3"/>
      <c r="C1577" s="3"/>
      <c r="D1577" s="3"/>
      <c r="E1577" s="3"/>
      <c r="F1577" s="3"/>
      <c r="G1577" s="3"/>
      <c r="H1577" s="60"/>
      <c r="I1577" s="3"/>
      <c r="J1577" s="55"/>
      <c r="K1577" s="56"/>
      <c r="L1577" s="56"/>
      <c r="M1577" s="57"/>
      <c r="N1577" s="3"/>
      <c r="O1577" s="3"/>
      <c r="P1577" s="51"/>
      <c r="Q1577" s="5"/>
    </row>
    <row x14ac:dyDescent="0.25" r="1578" customHeight="1" ht="15.75">
      <c r="A1578" s="3"/>
      <c r="B1578" s="3"/>
      <c r="C1578" s="3"/>
      <c r="D1578" s="3"/>
      <c r="E1578" s="3"/>
      <c r="F1578" s="3"/>
      <c r="G1578" s="3"/>
      <c r="H1578" s="60"/>
      <c r="I1578" s="3"/>
      <c r="J1578" s="55"/>
      <c r="K1578" s="56"/>
      <c r="L1578" s="56"/>
      <c r="M1578" s="57"/>
      <c r="N1578" s="3"/>
      <c r="O1578" s="3"/>
      <c r="P1578" s="51"/>
      <c r="Q1578" s="5"/>
    </row>
    <row x14ac:dyDescent="0.25" r="1579" customHeight="1" ht="15.75">
      <c r="A1579" s="3"/>
      <c r="B1579" s="3"/>
      <c r="C1579" s="3"/>
      <c r="D1579" s="3"/>
      <c r="E1579" s="3"/>
      <c r="F1579" s="3"/>
      <c r="G1579" s="3"/>
      <c r="H1579" s="60"/>
      <c r="I1579" s="3"/>
      <c r="J1579" s="55"/>
      <c r="K1579" s="56"/>
      <c r="L1579" s="56"/>
      <c r="M1579" s="57"/>
      <c r="N1579" s="3"/>
      <c r="O1579" s="3"/>
      <c r="P1579" s="51"/>
      <c r="Q1579" s="5"/>
    </row>
    <row x14ac:dyDescent="0.25" r="1580" customHeight="1" ht="15.75">
      <c r="A1580" s="3"/>
      <c r="B1580" s="3"/>
      <c r="C1580" s="3"/>
      <c r="D1580" s="3"/>
      <c r="E1580" s="3"/>
      <c r="F1580" s="3"/>
      <c r="G1580" s="3"/>
      <c r="H1580" s="60"/>
      <c r="I1580" s="3"/>
      <c r="J1580" s="55"/>
      <c r="K1580" s="56"/>
      <c r="L1580" s="56"/>
      <c r="M1580" s="57"/>
      <c r="N1580" s="3"/>
      <c r="O1580" s="3"/>
      <c r="P1580" s="51"/>
      <c r="Q1580" s="5"/>
    </row>
    <row x14ac:dyDescent="0.25" r="1581" customHeight="1" ht="15.75">
      <c r="A1581" s="3"/>
      <c r="B1581" s="3"/>
      <c r="C1581" s="3"/>
      <c r="D1581" s="3"/>
      <c r="E1581" s="3"/>
      <c r="F1581" s="3"/>
      <c r="G1581" s="3"/>
      <c r="H1581" s="60"/>
      <c r="I1581" s="3"/>
      <c r="J1581" s="55"/>
      <c r="K1581" s="56"/>
      <c r="L1581" s="56"/>
      <c r="M1581" s="57"/>
      <c r="N1581" s="3"/>
      <c r="O1581" s="3"/>
      <c r="P1581" s="51"/>
      <c r="Q1581" s="5"/>
    </row>
    <row x14ac:dyDescent="0.25" r="1582" customHeight="1" ht="15.75">
      <c r="A1582" s="3"/>
      <c r="B1582" s="3"/>
      <c r="C1582" s="3"/>
      <c r="D1582" s="3"/>
      <c r="E1582" s="3"/>
      <c r="F1582" s="3"/>
      <c r="G1582" s="3"/>
      <c r="H1582" s="60"/>
      <c r="I1582" s="3"/>
      <c r="J1582" s="55"/>
      <c r="K1582" s="56"/>
      <c r="L1582" s="56"/>
      <c r="M1582" s="57"/>
      <c r="N1582" s="3"/>
      <c r="O1582" s="3"/>
      <c r="P1582" s="51"/>
      <c r="Q1582" s="5"/>
    </row>
    <row x14ac:dyDescent="0.25" r="1583" customHeight="1" ht="15.75">
      <c r="A1583" s="3"/>
      <c r="B1583" s="3"/>
      <c r="C1583" s="3"/>
      <c r="D1583" s="3"/>
      <c r="E1583" s="3"/>
      <c r="F1583" s="3"/>
      <c r="G1583" s="3"/>
      <c r="H1583" s="60"/>
      <c r="I1583" s="3"/>
      <c r="J1583" s="55"/>
      <c r="K1583" s="56"/>
      <c r="L1583" s="56"/>
      <c r="M1583" s="57"/>
      <c r="N1583" s="3"/>
      <c r="O1583" s="3"/>
      <c r="P1583" s="51"/>
      <c r="Q1583" s="5"/>
    </row>
    <row x14ac:dyDescent="0.25" r="1584" customHeight="1" ht="15.75">
      <c r="A1584" s="3"/>
      <c r="B1584" s="3"/>
      <c r="C1584" s="3"/>
      <c r="D1584" s="3"/>
      <c r="E1584" s="3"/>
      <c r="F1584" s="3"/>
      <c r="G1584" s="3"/>
      <c r="H1584" s="60"/>
      <c r="I1584" s="3"/>
      <c r="J1584" s="55"/>
      <c r="K1584" s="56"/>
      <c r="L1584" s="56"/>
      <c r="M1584" s="57"/>
      <c r="N1584" s="3"/>
      <c r="O1584" s="3"/>
      <c r="P1584" s="51"/>
      <c r="Q1584" s="5"/>
    </row>
    <row x14ac:dyDescent="0.25" r="1585" customHeight="1" ht="15.75">
      <c r="A1585" s="3"/>
      <c r="B1585" s="3"/>
      <c r="C1585" s="3"/>
      <c r="D1585" s="3"/>
      <c r="E1585" s="3"/>
      <c r="F1585" s="3"/>
      <c r="G1585" s="3"/>
      <c r="H1585" s="60"/>
      <c r="I1585" s="3"/>
      <c r="J1585" s="55"/>
      <c r="K1585" s="56"/>
      <c r="L1585" s="56"/>
      <c r="M1585" s="57"/>
      <c r="N1585" s="3"/>
      <c r="O1585" s="3"/>
      <c r="P1585" s="51"/>
      <c r="Q1585" s="5"/>
    </row>
    <row x14ac:dyDescent="0.25" r="1586" customHeight="1" ht="15.75">
      <c r="A1586" s="3"/>
      <c r="B1586" s="3"/>
      <c r="C1586" s="3"/>
      <c r="D1586" s="3"/>
      <c r="E1586" s="3"/>
      <c r="F1586" s="3"/>
      <c r="G1586" s="3"/>
      <c r="H1586" s="60"/>
      <c r="I1586" s="3"/>
      <c r="J1586" s="55"/>
      <c r="K1586" s="56"/>
      <c r="L1586" s="56"/>
      <c r="M1586" s="57"/>
      <c r="N1586" s="3"/>
      <c r="O1586" s="3"/>
      <c r="P1586" s="51"/>
      <c r="Q1586" s="5"/>
    </row>
    <row x14ac:dyDescent="0.25" r="1587" customHeight="1" ht="15.75">
      <c r="A1587" s="3"/>
      <c r="B1587" s="3"/>
      <c r="C1587" s="3"/>
      <c r="D1587" s="3"/>
      <c r="E1587" s="3"/>
      <c r="F1587" s="3"/>
      <c r="G1587" s="3"/>
      <c r="H1587" s="60"/>
      <c r="I1587" s="3"/>
      <c r="J1587" s="55"/>
      <c r="K1587" s="56"/>
      <c r="L1587" s="56"/>
      <c r="M1587" s="57"/>
      <c r="N1587" s="3"/>
      <c r="O1587" s="3"/>
      <c r="P1587" s="51"/>
      <c r="Q1587" s="5"/>
    </row>
    <row x14ac:dyDescent="0.25" r="1588" customHeight="1" ht="15.75">
      <c r="A1588" s="3"/>
      <c r="B1588" s="3"/>
      <c r="C1588" s="3"/>
      <c r="D1588" s="3"/>
      <c r="E1588" s="3"/>
      <c r="F1588" s="3"/>
      <c r="G1588" s="3"/>
      <c r="H1588" s="60"/>
      <c r="I1588" s="3"/>
      <c r="J1588" s="55"/>
      <c r="K1588" s="56"/>
      <c r="L1588" s="56"/>
      <c r="M1588" s="57"/>
      <c r="N1588" s="3"/>
      <c r="O1588" s="3"/>
      <c r="P1588" s="51"/>
      <c r="Q1588" s="5"/>
    </row>
    <row x14ac:dyDescent="0.25" r="1589" customHeight="1" ht="15.75">
      <c r="A1589" s="3"/>
      <c r="B1589" s="3"/>
      <c r="C1589" s="3"/>
      <c r="D1589" s="3"/>
      <c r="E1589" s="3"/>
      <c r="F1589" s="3"/>
      <c r="G1589" s="3"/>
      <c r="H1589" s="60"/>
      <c r="I1589" s="3"/>
      <c r="J1589" s="55"/>
      <c r="K1589" s="56"/>
      <c r="L1589" s="56"/>
      <c r="M1589" s="57"/>
      <c r="N1589" s="3"/>
      <c r="O1589" s="3"/>
      <c r="P1589" s="51"/>
      <c r="Q1589" s="5"/>
    </row>
    <row x14ac:dyDescent="0.25" r="1590" customHeight="1" ht="15.75">
      <c r="A1590" s="3"/>
      <c r="B1590" s="3"/>
      <c r="C1590" s="3"/>
      <c r="D1590" s="3"/>
      <c r="E1590" s="3"/>
      <c r="F1590" s="3"/>
      <c r="G1590" s="3"/>
      <c r="H1590" s="60"/>
      <c r="I1590" s="3"/>
      <c r="J1590" s="55"/>
      <c r="K1590" s="56"/>
      <c r="L1590" s="56"/>
      <c r="M1590" s="57"/>
      <c r="N1590" s="3"/>
      <c r="O1590" s="3"/>
      <c r="P1590" s="51"/>
      <c r="Q1590" s="5"/>
    </row>
    <row x14ac:dyDescent="0.25" r="1591" customHeight="1" ht="15.75">
      <c r="A1591" s="3"/>
      <c r="B1591" s="3"/>
      <c r="C1591" s="3"/>
      <c r="D1591" s="3"/>
      <c r="E1591" s="3"/>
      <c r="F1591" s="3"/>
      <c r="G1591" s="3"/>
      <c r="H1591" s="60"/>
      <c r="I1591" s="3"/>
      <c r="J1591" s="55"/>
      <c r="K1591" s="56"/>
      <c r="L1591" s="56"/>
      <c r="M1591" s="57"/>
      <c r="N1591" s="3"/>
      <c r="O1591" s="3"/>
      <c r="P1591" s="51"/>
      <c r="Q1591" s="5"/>
    </row>
    <row x14ac:dyDescent="0.25" r="1592" customHeight="1" ht="15.75">
      <c r="A1592" s="3"/>
      <c r="B1592" s="3"/>
      <c r="C1592" s="3"/>
      <c r="D1592" s="3"/>
      <c r="E1592" s="3"/>
      <c r="F1592" s="3"/>
      <c r="G1592" s="3"/>
      <c r="H1592" s="60"/>
      <c r="I1592" s="3"/>
      <c r="J1592" s="55"/>
      <c r="K1592" s="56"/>
      <c r="L1592" s="56"/>
      <c r="M1592" s="57"/>
      <c r="N1592" s="3"/>
      <c r="O1592" s="3"/>
      <c r="P1592" s="51"/>
      <c r="Q1592" s="5"/>
    </row>
    <row x14ac:dyDescent="0.25" r="1593" customHeight="1" ht="15.75">
      <c r="A1593" s="3"/>
      <c r="B1593" s="3"/>
      <c r="C1593" s="3"/>
      <c r="D1593" s="3"/>
      <c r="E1593" s="3"/>
      <c r="F1593" s="3"/>
      <c r="G1593" s="3"/>
      <c r="H1593" s="60"/>
      <c r="I1593" s="3"/>
      <c r="J1593" s="55"/>
      <c r="K1593" s="56"/>
      <c r="L1593" s="56"/>
      <c r="M1593" s="57"/>
      <c r="N1593" s="3"/>
      <c r="O1593" s="3"/>
      <c r="P1593" s="51"/>
      <c r="Q1593" s="5"/>
    </row>
    <row x14ac:dyDescent="0.25" r="1594" customHeight="1" ht="15.75">
      <c r="A1594" s="3"/>
      <c r="B1594" s="3"/>
      <c r="C1594" s="3"/>
      <c r="D1594" s="3"/>
      <c r="E1594" s="3"/>
      <c r="F1594" s="3"/>
      <c r="G1594" s="3"/>
      <c r="H1594" s="60"/>
      <c r="I1594" s="3"/>
      <c r="J1594" s="55"/>
      <c r="K1594" s="56"/>
      <c r="L1594" s="56"/>
      <c r="M1594" s="57"/>
      <c r="N1594" s="3"/>
      <c r="O1594" s="3"/>
      <c r="P1594" s="51"/>
      <c r="Q1594" s="5"/>
    </row>
    <row x14ac:dyDescent="0.25" r="1595" customHeight="1" ht="15.75">
      <c r="A1595" s="3"/>
      <c r="B1595" s="3"/>
      <c r="C1595" s="3"/>
      <c r="D1595" s="3"/>
      <c r="E1595" s="3"/>
      <c r="F1595" s="3"/>
      <c r="G1595" s="3"/>
      <c r="H1595" s="60"/>
      <c r="I1595" s="3"/>
      <c r="J1595" s="55"/>
      <c r="K1595" s="56"/>
      <c r="L1595" s="56"/>
      <c r="M1595" s="57"/>
      <c r="N1595" s="3"/>
      <c r="O1595" s="3"/>
      <c r="P1595" s="51"/>
      <c r="Q1595" s="5"/>
    </row>
    <row x14ac:dyDescent="0.25" r="1596" customHeight="1" ht="15.75">
      <c r="A1596" s="3"/>
      <c r="B1596" s="3"/>
      <c r="C1596" s="3"/>
      <c r="D1596" s="3"/>
      <c r="E1596" s="3"/>
      <c r="F1596" s="3"/>
      <c r="G1596" s="3"/>
      <c r="H1596" s="60"/>
      <c r="I1596" s="3"/>
      <c r="J1596" s="55"/>
      <c r="K1596" s="56"/>
      <c r="L1596" s="56"/>
      <c r="M1596" s="57"/>
      <c r="N1596" s="3"/>
      <c r="O1596" s="3"/>
      <c r="P1596" s="51"/>
      <c r="Q1596" s="5"/>
    </row>
    <row x14ac:dyDescent="0.25" r="1597" customHeight="1" ht="15.75">
      <c r="A1597" s="3"/>
      <c r="B1597" s="3"/>
      <c r="C1597" s="3"/>
      <c r="D1597" s="3"/>
      <c r="E1597" s="3"/>
      <c r="F1597" s="3"/>
      <c r="G1597" s="3"/>
      <c r="H1597" s="60"/>
      <c r="I1597" s="3"/>
      <c r="J1597" s="55"/>
      <c r="K1597" s="56"/>
      <c r="L1597" s="56"/>
      <c r="M1597" s="57"/>
      <c r="N1597" s="3"/>
      <c r="O1597" s="3"/>
      <c r="P1597" s="51"/>
      <c r="Q1597" s="5"/>
    </row>
    <row x14ac:dyDescent="0.25" r="1598" customHeight="1" ht="15.75">
      <c r="A1598" s="3"/>
      <c r="B1598" s="3"/>
      <c r="C1598" s="3"/>
      <c r="D1598" s="3"/>
      <c r="E1598" s="3"/>
      <c r="F1598" s="3"/>
      <c r="G1598" s="3"/>
      <c r="H1598" s="60"/>
      <c r="I1598" s="3"/>
      <c r="J1598" s="55"/>
      <c r="K1598" s="56"/>
      <c r="L1598" s="56"/>
      <c r="M1598" s="57"/>
      <c r="N1598" s="3"/>
      <c r="O1598" s="3"/>
      <c r="P1598" s="51"/>
      <c r="Q1598" s="5"/>
    </row>
    <row x14ac:dyDescent="0.25" r="1599" customHeight="1" ht="15.75">
      <c r="A1599" s="3"/>
      <c r="B1599" s="3"/>
      <c r="C1599" s="3"/>
      <c r="D1599" s="3"/>
      <c r="E1599" s="3"/>
      <c r="F1599" s="3"/>
      <c r="G1599" s="3"/>
      <c r="H1599" s="60"/>
      <c r="I1599" s="3"/>
      <c r="J1599" s="55"/>
      <c r="K1599" s="56"/>
      <c r="L1599" s="56"/>
      <c r="M1599" s="57"/>
      <c r="N1599" s="3"/>
      <c r="O1599" s="3"/>
      <c r="P1599" s="51"/>
      <c r="Q1599" s="5"/>
    </row>
    <row x14ac:dyDescent="0.25" r="1600" customHeight="1" ht="15.75">
      <c r="A1600" s="3"/>
      <c r="B1600" s="3"/>
      <c r="C1600" s="3"/>
      <c r="D1600" s="3"/>
      <c r="E1600" s="3"/>
      <c r="F1600" s="3"/>
      <c r="G1600" s="3"/>
      <c r="H1600" s="60"/>
      <c r="I1600" s="3"/>
      <c r="J1600" s="55"/>
      <c r="K1600" s="56"/>
      <c r="L1600" s="56"/>
      <c r="M1600" s="57"/>
      <c r="N1600" s="3"/>
      <c r="O1600" s="3"/>
      <c r="P1600" s="51"/>
      <c r="Q1600" s="5"/>
    </row>
    <row x14ac:dyDescent="0.25" r="1601" customHeight="1" ht="15.75">
      <c r="A1601" s="3"/>
      <c r="B1601" s="3"/>
      <c r="C1601" s="3"/>
      <c r="D1601" s="3"/>
      <c r="E1601" s="3"/>
      <c r="F1601" s="3"/>
      <c r="G1601" s="3"/>
      <c r="H1601" s="60"/>
      <c r="I1601" s="3"/>
      <c r="J1601" s="55"/>
      <c r="K1601" s="56"/>
      <c r="L1601" s="56"/>
      <c r="M1601" s="57"/>
      <c r="N1601" s="3"/>
      <c r="O1601" s="3"/>
      <c r="P1601" s="51"/>
      <c r="Q1601" s="5"/>
    </row>
    <row x14ac:dyDescent="0.25" r="1602" customHeight="1" ht="15.75">
      <c r="A1602" s="3"/>
      <c r="B1602" s="3"/>
      <c r="C1602" s="3"/>
      <c r="D1602" s="3"/>
      <c r="E1602" s="3"/>
      <c r="F1602" s="3"/>
      <c r="G1602" s="3"/>
      <c r="H1602" s="60"/>
      <c r="I1602" s="3"/>
      <c r="J1602" s="55"/>
      <c r="K1602" s="56"/>
      <c r="L1602" s="56"/>
      <c r="M1602" s="57"/>
      <c r="N1602" s="3"/>
      <c r="O1602" s="3"/>
      <c r="P1602" s="51"/>
      <c r="Q1602" s="5"/>
    </row>
    <row x14ac:dyDescent="0.25" r="1603" customHeight="1" ht="15.75">
      <c r="A1603" s="3"/>
      <c r="B1603" s="3"/>
      <c r="C1603" s="3"/>
      <c r="D1603" s="3"/>
      <c r="E1603" s="3"/>
      <c r="F1603" s="3"/>
      <c r="G1603" s="3"/>
      <c r="H1603" s="60"/>
      <c r="I1603" s="3"/>
      <c r="J1603" s="55"/>
      <c r="K1603" s="56"/>
      <c r="L1603" s="56"/>
      <c r="M1603" s="57"/>
      <c r="N1603" s="3"/>
      <c r="O1603" s="3"/>
      <c r="P1603" s="51"/>
      <c r="Q1603" s="5"/>
    </row>
    <row x14ac:dyDescent="0.25" r="1604" customHeight="1" ht="15.75">
      <c r="A1604" s="3"/>
      <c r="B1604" s="3"/>
      <c r="C1604" s="3"/>
      <c r="D1604" s="3"/>
      <c r="E1604" s="3"/>
      <c r="F1604" s="3"/>
      <c r="G1604" s="3"/>
      <c r="H1604" s="60"/>
      <c r="I1604" s="3"/>
      <c r="J1604" s="55"/>
      <c r="K1604" s="56"/>
      <c r="L1604" s="56"/>
      <c r="M1604" s="57"/>
      <c r="N1604" s="3"/>
      <c r="O1604" s="3"/>
      <c r="P1604" s="51"/>
      <c r="Q1604" s="5"/>
    </row>
    <row x14ac:dyDescent="0.25" r="1605" customHeight="1" ht="15.75">
      <c r="A1605" s="3"/>
      <c r="B1605" s="3"/>
      <c r="C1605" s="3"/>
      <c r="D1605" s="3"/>
      <c r="E1605" s="3"/>
      <c r="F1605" s="3"/>
      <c r="G1605" s="3"/>
      <c r="H1605" s="60"/>
      <c r="I1605" s="3"/>
      <c r="J1605" s="55"/>
      <c r="K1605" s="56"/>
      <c r="L1605" s="56"/>
      <c r="M1605" s="57"/>
      <c r="N1605" s="3"/>
      <c r="O1605" s="3"/>
      <c r="P1605" s="51"/>
      <c r="Q1605" s="5"/>
    </row>
    <row x14ac:dyDescent="0.25" r="1606" customHeight="1" ht="15.75">
      <c r="A1606" s="3"/>
      <c r="B1606" s="3"/>
      <c r="C1606" s="3"/>
      <c r="D1606" s="3"/>
      <c r="E1606" s="3"/>
      <c r="F1606" s="3"/>
      <c r="G1606" s="3"/>
      <c r="H1606" s="60"/>
      <c r="I1606" s="3"/>
      <c r="J1606" s="55"/>
      <c r="K1606" s="56"/>
      <c r="L1606" s="56"/>
      <c r="M1606" s="57"/>
      <c r="N1606" s="3"/>
      <c r="O1606" s="3"/>
      <c r="P1606" s="51"/>
      <c r="Q1606" s="5"/>
    </row>
    <row x14ac:dyDescent="0.25" r="1607" customHeight="1" ht="15.75">
      <c r="A1607" s="3"/>
      <c r="B1607" s="3"/>
      <c r="C1607" s="3"/>
      <c r="D1607" s="3"/>
      <c r="E1607" s="3"/>
      <c r="F1607" s="3"/>
      <c r="G1607" s="3"/>
      <c r="H1607" s="60"/>
      <c r="I1607" s="3"/>
      <c r="J1607" s="55"/>
      <c r="K1607" s="56"/>
      <c r="L1607" s="56"/>
      <c r="M1607" s="57"/>
      <c r="N1607" s="3"/>
      <c r="O1607" s="3"/>
      <c r="P1607" s="51"/>
      <c r="Q1607" s="5"/>
    </row>
    <row x14ac:dyDescent="0.25" r="1608" customHeight="1" ht="15.75">
      <c r="A1608" s="3"/>
      <c r="B1608" s="3"/>
      <c r="C1608" s="3"/>
      <c r="D1608" s="3"/>
      <c r="E1608" s="3"/>
      <c r="F1608" s="3"/>
      <c r="G1608" s="3"/>
      <c r="H1608" s="60"/>
      <c r="I1608" s="3"/>
      <c r="J1608" s="55"/>
      <c r="K1608" s="56"/>
      <c r="L1608" s="56"/>
      <c r="M1608" s="57"/>
      <c r="N1608" s="3"/>
      <c r="O1608" s="3"/>
      <c r="P1608" s="51"/>
      <c r="Q1608" s="5"/>
    </row>
    <row x14ac:dyDescent="0.25" r="1609" customHeight="1" ht="15.75">
      <c r="A1609" s="3"/>
      <c r="B1609" s="3"/>
      <c r="C1609" s="3"/>
      <c r="D1609" s="3"/>
      <c r="E1609" s="3"/>
      <c r="F1609" s="3"/>
      <c r="G1609" s="3"/>
      <c r="H1609" s="60"/>
      <c r="I1609" s="3"/>
      <c r="J1609" s="55"/>
      <c r="K1609" s="56"/>
      <c r="L1609" s="56"/>
      <c r="M1609" s="57"/>
      <c r="N1609" s="3"/>
      <c r="O1609" s="3"/>
      <c r="P1609" s="51"/>
      <c r="Q1609" s="5"/>
    </row>
    <row x14ac:dyDescent="0.25" r="1610" customHeight="1" ht="15.75">
      <c r="A1610" s="3"/>
      <c r="B1610" s="3"/>
      <c r="C1610" s="3"/>
      <c r="D1610" s="3"/>
      <c r="E1610" s="3"/>
      <c r="F1610" s="3"/>
      <c r="G1610" s="3"/>
      <c r="H1610" s="60"/>
      <c r="I1610" s="3"/>
      <c r="J1610" s="55"/>
      <c r="K1610" s="56"/>
      <c r="L1610" s="56"/>
      <c r="M1610" s="57"/>
      <c r="N1610" s="3"/>
      <c r="O1610" s="3"/>
      <c r="P1610" s="51"/>
      <c r="Q1610" s="5"/>
    </row>
    <row x14ac:dyDescent="0.25" r="1611" customHeight="1" ht="15.75">
      <c r="A1611" s="3"/>
      <c r="B1611" s="3"/>
      <c r="C1611" s="3"/>
      <c r="D1611" s="3"/>
      <c r="E1611" s="3"/>
      <c r="F1611" s="3"/>
      <c r="G1611" s="3"/>
      <c r="H1611" s="60"/>
      <c r="I1611" s="3"/>
      <c r="J1611" s="55"/>
      <c r="K1611" s="56"/>
      <c r="L1611" s="56"/>
      <c r="M1611" s="57"/>
      <c r="N1611" s="3"/>
      <c r="O1611" s="3"/>
      <c r="P1611" s="51"/>
      <c r="Q1611" s="5"/>
    </row>
    <row x14ac:dyDescent="0.25" r="1612" customHeight="1" ht="15.75">
      <c r="A1612" s="3"/>
      <c r="B1612" s="3"/>
      <c r="C1612" s="3"/>
      <c r="D1612" s="3"/>
      <c r="E1612" s="3"/>
      <c r="F1612" s="3"/>
      <c r="G1612" s="3"/>
      <c r="H1612" s="60"/>
      <c r="I1612" s="3"/>
      <c r="J1612" s="55"/>
      <c r="K1612" s="56"/>
      <c r="L1612" s="56"/>
      <c r="M1612" s="57"/>
      <c r="N1612" s="3"/>
      <c r="O1612" s="3"/>
      <c r="P1612" s="51"/>
      <c r="Q1612" s="5"/>
    </row>
    <row x14ac:dyDescent="0.25" r="1613" customHeight="1" ht="15.75">
      <c r="A1613" s="3"/>
      <c r="B1613" s="3"/>
      <c r="C1613" s="3"/>
      <c r="D1613" s="3"/>
      <c r="E1613" s="3"/>
      <c r="F1613" s="3"/>
      <c r="G1613" s="3"/>
      <c r="H1613" s="60"/>
      <c r="I1613" s="3"/>
      <c r="J1613" s="55"/>
      <c r="K1613" s="56"/>
      <c r="L1613" s="56"/>
      <c r="M1613" s="57"/>
      <c r="N1613" s="3"/>
      <c r="O1613" s="3"/>
      <c r="P1613" s="51"/>
      <c r="Q1613" s="5"/>
    </row>
    <row x14ac:dyDescent="0.25" r="1614" customHeight="1" ht="15.75">
      <c r="A1614" s="3"/>
      <c r="B1614" s="3"/>
      <c r="C1614" s="3"/>
      <c r="D1614" s="3"/>
      <c r="E1614" s="3"/>
      <c r="F1614" s="3"/>
      <c r="G1614" s="3"/>
      <c r="H1614" s="60"/>
      <c r="I1614" s="3"/>
      <c r="J1614" s="55"/>
      <c r="K1614" s="56"/>
      <c r="L1614" s="56"/>
      <c r="M1614" s="57"/>
      <c r="N1614" s="3"/>
      <c r="O1614" s="3"/>
      <c r="P1614" s="51"/>
      <c r="Q1614" s="5"/>
    </row>
    <row x14ac:dyDescent="0.25" r="1615" customHeight="1" ht="15.75">
      <c r="A1615" s="3"/>
      <c r="B1615" s="3"/>
      <c r="C1615" s="3"/>
      <c r="D1615" s="3"/>
      <c r="E1615" s="3"/>
      <c r="F1615" s="3"/>
      <c r="G1615" s="3"/>
      <c r="H1615" s="60"/>
      <c r="I1615" s="3"/>
      <c r="J1615" s="55"/>
      <c r="K1615" s="56"/>
      <c r="L1615" s="56"/>
      <c r="M1615" s="57"/>
      <c r="N1615" s="3"/>
      <c r="O1615" s="3"/>
      <c r="P1615" s="51"/>
      <c r="Q1615" s="5"/>
    </row>
    <row x14ac:dyDescent="0.25" r="1616" customHeight="1" ht="15.75">
      <c r="A1616" s="3"/>
      <c r="B1616" s="3"/>
      <c r="C1616" s="3"/>
      <c r="D1616" s="3"/>
      <c r="E1616" s="3"/>
      <c r="F1616" s="3"/>
      <c r="G1616" s="3"/>
      <c r="H1616" s="60"/>
      <c r="I1616" s="3"/>
      <c r="J1616" s="55"/>
      <c r="K1616" s="56"/>
      <c r="L1616" s="56"/>
      <c r="M1616" s="57"/>
      <c r="N1616" s="3"/>
      <c r="O1616" s="3"/>
      <c r="P1616" s="51"/>
      <c r="Q1616" s="5"/>
    </row>
    <row x14ac:dyDescent="0.25" r="1617" customHeight="1" ht="15.75">
      <c r="A1617" s="3"/>
      <c r="B1617" s="3"/>
      <c r="C1617" s="3"/>
      <c r="D1617" s="3"/>
      <c r="E1617" s="3"/>
      <c r="F1617" s="3"/>
      <c r="G1617" s="3"/>
      <c r="H1617" s="60"/>
      <c r="I1617" s="3"/>
      <c r="J1617" s="55"/>
      <c r="K1617" s="56"/>
      <c r="L1617" s="56"/>
      <c r="M1617" s="57"/>
      <c r="N1617" s="3"/>
      <c r="O1617" s="3"/>
      <c r="P1617" s="51"/>
      <c r="Q1617" s="5"/>
    </row>
    <row x14ac:dyDescent="0.25" r="1618" customHeight="1" ht="15.75">
      <c r="A1618" s="3"/>
      <c r="B1618" s="3"/>
      <c r="C1618" s="3"/>
      <c r="D1618" s="3"/>
      <c r="E1618" s="3"/>
      <c r="F1618" s="3"/>
      <c r="G1618" s="3"/>
      <c r="H1618" s="60"/>
      <c r="I1618" s="3"/>
      <c r="J1618" s="55"/>
      <c r="K1618" s="56"/>
      <c r="L1618" s="56"/>
      <c r="M1618" s="57"/>
      <c r="N1618" s="3"/>
      <c r="O1618" s="3"/>
      <c r="P1618" s="51"/>
      <c r="Q1618" s="5"/>
    </row>
    <row x14ac:dyDescent="0.25" r="1619" customHeight="1" ht="15.75">
      <c r="A1619" s="3"/>
      <c r="B1619" s="3"/>
      <c r="C1619" s="3"/>
      <c r="D1619" s="3"/>
      <c r="E1619" s="3"/>
      <c r="F1619" s="3"/>
      <c r="G1619" s="3"/>
      <c r="H1619" s="60"/>
      <c r="I1619" s="3"/>
      <c r="J1619" s="55"/>
      <c r="K1619" s="56"/>
      <c r="L1619" s="56"/>
      <c r="M1619" s="57"/>
      <c r="N1619" s="3"/>
      <c r="O1619" s="3"/>
      <c r="P1619" s="51"/>
      <c r="Q1619" s="5"/>
    </row>
    <row x14ac:dyDescent="0.25" r="1620" customHeight="1" ht="15.75">
      <c r="A1620" s="3"/>
      <c r="B1620" s="3"/>
      <c r="C1620" s="3"/>
      <c r="D1620" s="3"/>
      <c r="E1620" s="3"/>
      <c r="F1620" s="3"/>
      <c r="G1620" s="3"/>
      <c r="H1620" s="60"/>
      <c r="I1620" s="3"/>
      <c r="J1620" s="55"/>
      <c r="K1620" s="56"/>
      <c r="L1620" s="56"/>
      <c r="M1620" s="57"/>
      <c r="N1620" s="3"/>
      <c r="O1620" s="3"/>
      <c r="P1620" s="51"/>
      <c r="Q1620" s="5"/>
    </row>
    <row x14ac:dyDescent="0.25" r="1621" customHeight="1" ht="15.75">
      <c r="A1621" s="3"/>
      <c r="B1621" s="3"/>
      <c r="C1621" s="3"/>
      <c r="D1621" s="3"/>
      <c r="E1621" s="3"/>
      <c r="F1621" s="3"/>
      <c r="G1621" s="3"/>
      <c r="H1621" s="60"/>
      <c r="I1621" s="3"/>
      <c r="J1621" s="55"/>
      <c r="K1621" s="56"/>
      <c r="L1621" s="56"/>
      <c r="M1621" s="57"/>
      <c r="N1621" s="3"/>
      <c r="O1621" s="3"/>
      <c r="P1621" s="51"/>
      <c r="Q1621" s="5"/>
    </row>
    <row x14ac:dyDescent="0.25" r="1622" customHeight="1" ht="15.75">
      <c r="A1622" s="3"/>
      <c r="B1622" s="3"/>
      <c r="C1622" s="3"/>
      <c r="D1622" s="3"/>
      <c r="E1622" s="3"/>
      <c r="F1622" s="3"/>
      <c r="G1622" s="3"/>
      <c r="H1622" s="60"/>
      <c r="I1622" s="3"/>
      <c r="J1622" s="55"/>
      <c r="K1622" s="56"/>
      <c r="L1622" s="56"/>
      <c r="M1622" s="57"/>
      <c r="N1622" s="3"/>
      <c r="O1622" s="3"/>
      <c r="P1622" s="51"/>
      <c r="Q1622" s="5"/>
    </row>
    <row x14ac:dyDescent="0.25" r="1623" customHeight="1" ht="15.75">
      <c r="A1623" s="3"/>
      <c r="B1623" s="3"/>
      <c r="C1623" s="3"/>
      <c r="D1623" s="3"/>
      <c r="E1623" s="3"/>
      <c r="F1623" s="3"/>
      <c r="G1623" s="3"/>
      <c r="H1623" s="60"/>
      <c r="I1623" s="3"/>
      <c r="J1623" s="55"/>
      <c r="K1623" s="56"/>
      <c r="L1623" s="56"/>
      <c r="M1623" s="57"/>
      <c r="N1623" s="3"/>
      <c r="O1623" s="3"/>
      <c r="P1623" s="51"/>
      <c r="Q1623" s="5"/>
    </row>
    <row x14ac:dyDescent="0.25" r="1624" customHeight="1" ht="15.75">
      <c r="A1624" s="3"/>
      <c r="B1624" s="3"/>
      <c r="C1624" s="3"/>
      <c r="D1624" s="3"/>
      <c r="E1624" s="3"/>
      <c r="F1624" s="3"/>
      <c r="G1624" s="3"/>
      <c r="H1624" s="60"/>
      <c r="I1624" s="3"/>
      <c r="J1624" s="55"/>
      <c r="K1624" s="56"/>
      <c r="L1624" s="56"/>
      <c r="M1624" s="57"/>
      <c r="N1624" s="3"/>
      <c r="O1624" s="3"/>
      <c r="P1624" s="51"/>
      <c r="Q1624" s="5"/>
    </row>
    <row x14ac:dyDescent="0.25" r="1625" customHeight="1" ht="15.75">
      <c r="A1625" s="3"/>
      <c r="B1625" s="3"/>
      <c r="C1625" s="3"/>
      <c r="D1625" s="3"/>
      <c r="E1625" s="3"/>
      <c r="F1625" s="3"/>
      <c r="G1625" s="3"/>
      <c r="H1625" s="60"/>
      <c r="I1625" s="3"/>
      <c r="J1625" s="55"/>
      <c r="K1625" s="56"/>
      <c r="L1625" s="56"/>
      <c r="M1625" s="57"/>
      <c r="N1625" s="3"/>
      <c r="O1625" s="3"/>
      <c r="P1625" s="51"/>
      <c r="Q1625" s="5"/>
    </row>
    <row x14ac:dyDescent="0.25" r="1626" customHeight="1" ht="15.75">
      <c r="A1626" s="3"/>
      <c r="B1626" s="3"/>
      <c r="C1626" s="3"/>
      <c r="D1626" s="3"/>
      <c r="E1626" s="3"/>
      <c r="F1626" s="3"/>
      <c r="G1626" s="3"/>
      <c r="H1626" s="60"/>
      <c r="I1626" s="3"/>
      <c r="J1626" s="55"/>
      <c r="K1626" s="56"/>
      <c r="L1626" s="56"/>
      <c r="M1626" s="57"/>
      <c r="N1626" s="3"/>
      <c r="O1626" s="3"/>
      <c r="P1626" s="51"/>
      <c r="Q1626" s="5"/>
    </row>
    <row x14ac:dyDescent="0.25" r="1627" customHeight="1" ht="15.75">
      <c r="A1627" s="3"/>
      <c r="B1627" s="3"/>
      <c r="C1627" s="3"/>
      <c r="D1627" s="3"/>
      <c r="E1627" s="3"/>
      <c r="F1627" s="3"/>
      <c r="G1627" s="3"/>
      <c r="H1627" s="60"/>
      <c r="I1627" s="3"/>
      <c r="J1627" s="55"/>
      <c r="K1627" s="56"/>
      <c r="L1627" s="56"/>
      <c r="M1627" s="57"/>
      <c r="N1627" s="3"/>
      <c r="O1627" s="3"/>
      <c r="P1627" s="51"/>
      <c r="Q1627" s="5"/>
    </row>
    <row x14ac:dyDescent="0.25" r="1628" customHeight="1" ht="15.75">
      <c r="A1628" s="3"/>
      <c r="B1628" s="3"/>
      <c r="C1628" s="3"/>
      <c r="D1628" s="3"/>
      <c r="E1628" s="3"/>
      <c r="F1628" s="3"/>
      <c r="G1628" s="3"/>
      <c r="H1628" s="60"/>
      <c r="I1628" s="3"/>
      <c r="J1628" s="55"/>
      <c r="K1628" s="56"/>
      <c r="L1628" s="56"/>
      <c r="M1628" s="57"/>
      <c r="N1628" s="3"/>
      <c r="O1628" s="3"/>
      <c r="P1628" s="51"/>
      <c r="Q1628" s="5"/>
    </row>
    <row x14ac:dyDescent="0.25" r="1629" customHeight="1" ht="15.75">
      <c r="A1629" s="3"/>
      <c r="B1629" s="3"/>
      <c r="C1629" s="3"/>
      <c r="D1629" s="3"/>
      <c r="E1629" s="3"/>
      <c r="F1629" s="3"/>
      <c r="G1629" s="3"/>
      <c r="H1629" s="60"/>
      <c r="I1629" s="3"/>
      <c r="J1629" s="55"/>
      <c r="K1629" s="56"/>
      <c r="L1629" s="56"/>
      <c r="M1629" s="57"/>
      <c r="N1629" s="3"/>
      <c r="O1629" s="3"/>
      <c r="P1629" s="51"/>
      <c r="Q1629" s="5"/>
    </row>
    <row x14ac:dyDescent="0.25" r="1630" customHeight="1" ht="15.75">
      <c r="A1630" s="3"/>
      <c r="B1630" s="3"/>
      <c r="C1630" s="3"/>
      <c r="D1630" s="3"/>
      <c r="E1630" s="3"/>
      <c r="F1630" s="3"/>
      <c r="G1630" s="3"/>
      <c r="H1630" s="60"/>
      <c r="I1630" s="3"/>
      <c r="J1630" s="55"/>
      <c r="K1630" s="56"/>
      <c r="L1630" s="56"/>
      <c r="M1630" s="57"/>
      <c r="N1630" s="3"/>
      <c r="O1630" s="3"/>
      <c r="P1630" s="51"/>
      <c r="Q1630" s="5"/>
    </row>
    <row x14ac:dyDescent="0.25" r="1631" customHeight="1" ht="15.75">
      <c r="A1631" s="3"/>
      <c r="B1631" s="3"/>
      <c r="C1631" s="3"/>
      <c r="D1631" s="3"/>
      <c r="E1631" s="3"/>
      <c r="F1631" s="3"/>
      <c r="G1631" s="3"/>
      <c r="H1631" s="60"/>
      <c r="I1631" s="3"/>
      <c r="J1631" s="55"/>
      <c r="K1631" s="56"/>
      <c r="L1631" s="56"/>
      <c r="M1631" s="57"/>
      <c r="N1631" s="3"/>
      <c r="O1631" s="3"/>
      <c r="P1631" s="51"/>
      <c r="Q1631" s="5"/>
    </row>
    <row x14ac:dyDescent="0.25" r="1632" customHeight="1" ht="15.75">
      <c r="A1632" s="3"/>
      <c r="B1632" s="3"/>
      <c r="C1632" s="3"/>
      <c r="D1632" s="3"/>
      <c r="E1632" s="3"/>
      <c r="F1632" s="3"/>
      <c r="G1632" s="3"/>
      <c r="H1632" s="60"/>
      <c r="I1632" s="3"/>
      <c r="J1632" s="55"/>
      <c r="K1632" s="56"/>
      <c r="L1632" s="56"/>
      <c r="M1632" s="57"/>
      <c r="N1632" s="3"/>
      <c r="O1632" s="3"/>
      <c r="P1632" s="51"/>
      <c r="Q1632" s="5"/>
    </row>
    <row x14ac:dyDescent="0.25" r="1633" customHeight="1" ht="15.75">
      <c r="A1633" s="3"/>
      <c r="B1633" s="3"/>
      <c r="C1633" s="3"/>
      <c r="D1633" s="3"/>
      <c r="E1633" s="3"/>
      <c r="F1633" s="3"/>
      <c r="G1633" s="3"/>
      <c r="H1633" s="60"/>
      <c r="I1633" s="3"/>
      <c r="J1633" s="55"/>
      <c r="K1633" s="56"/>
      <c r="L1633" s="56"/>
      <c r="M1633" s="57"/>
      <c r="N1633" s="3"/>
      <c r="O1633" s="3"/>
      <c r="P1633" s="51"/>
      <c r="Q1633" s="5"/>
    </row>
    <row x14ac:dyDescent="0.25" r="1634" customHeight="1" ht="15.75">
      <c r="A1634" s="3"/>
      <c r="B1634" s="3"/>
      <c r="C1634" s="3"/>
      <c r="D1634" s="3"/>
      <c r="E1634" s="3"/>
      <c r="F1634" s="3"/>
      <c r="G1634" s="3"/>
      <c r="H1634" s="60"/>
      <c r="I1634" s="3"/>
      <c r="J1634" s="55"/>
      <c r="K1634" s="56"/>
      <c r="L1634" s="56"/>
      <c r="M1634" s="57"/>
      <c r="N1634" s="3"/>
      <c r="O1634" s="3"/>
      <c r="P1634" s="51"/>
      <c r="Q1634" s="5"/>
    </row>
    <row x14ac:dyDescent="0.25" r="1635" customHeight="1" ht="15.75">
      <c r="A1635" s="3"/>
      <c r="B1635" s="3"/>
      <c r="C1635" s="3"/>
      <c r="D1635" s="3"/>
      <c r="E1635" s="3"/>
      <c r="F1635" s="3"/>
      <c r="G1635" s="3"/>
      <c r="H1635" s="60"/>
      <c r="I1635" s="3"/>
      <c r="J1635" s="55"/>
      <c r="K1635" s="56"/>
      <c r="L1635" s="56"/>
      <c r="M1635" s="57"/>
      <c r="N1635" s="3"/>
      <c r="O1635" s="3"/>
      <c r="P1635" s="51"/>
      <c r="Q1635" s="5"/>
    </row>
    <row x14ac:dyDescent="0.25" r="1636" customHeight="1" ht="15.75">
      <c r="A1636" s="3"/>
      <c r="B1636" s="3"/>
      <c r="C1636" s="3"/>
      <c r="D1636" s="3"/>
      <c r="E1636" s="3"/>
      <c r="F1636" s="3"/>
      <c r="G1636" s="3"/>
      <c r="H1636" s="60"/>
      <c r="I1636" s="3"/>
      <c r="J1636" s="55"/>
      <c r="K1636" s="56"/>
      <c r="L1636" s="56"/>
      <c r="M1636" s="57"/>
      <c r="N1636" s="3"/>
      <c r="O1636" s="3"/>
      <c r="P1636" s="51"/>
      <c r="Q1636" s="5"/>
    </row>
    <row x14ac:dyDescent="0.25" r="1637" customHeight="1" ht="15.75">
      <c r="A1637" s="3"/>
      <c r="B1637" s="3"/>
      <c r="C1637" s="3"/>
      <c r="D1637" s="3"/>
      <c r="E1637" s="3"/>
      <c r="F1637" s="3"/>
      <c r="G1637" s="3"/>
      <c r="H1637" s="60"/>
      <c r="I1637" s="3"/>
      <c r="J1637" s="55"/>
      <c r="K1637" s="56"/>
      <c r="L1637" s="56"/>
      <c r="M1637" s="57"/>
      <c r="N1637" s="3"/>
      <c r="O1637" s="3"/>
      <c r="P1637" s="51"/>
      <c r="Q1637" s="5"/>
    </row>
    <row x14ac:dyDescent="0.25" r="1638" customHeight="1" ht="15.75">
      <c r="A1638" s="3"/>
      <c r="B1638" s="3"/>
      <c r="C1638" s="3"/>
      <c r="D1638" s="3"/>
      <c r="E1638" s="3"/>
      <c r="F1638" s="3"/>
      <c r="G1638" s="3"/>
      <c r="H1638" s="60"/>
      <c r="I1638" s="3"/>
      <c r="J1638" s="55"/>
      <c r="K1638" s="56"/>
      <c r="L1638" s="56"/>
      <c r="M1638" s="57"/>
      <c r="N1638" s="3"/>
      <c r="O1638" s="3"/>
      <c r="P1638" s="51"/>
      <c r="Q1638" s="5"/>
    </row>
    <row x14ac:dyDescent="0.25" r="1639" customHeight="1" ht="15.75">
      <c r="A1639" s="3"/>
      <c r="B1639" s="3"/>
      <c r="C1639" s="3"/>
      <c r="D1639" s="3"/>
      <c r="E1639" s="3"/>
      <c r="F1639" s="3"/>
      <c r="G1639" s="3"/>
      <c r="H1639" s="60"/>
      <c r="I1639" s="3"/>
      <c r="J1639" s="55"/>
      <c r="K1639" s="56"/>
      <c r="L1639" s="56"/>
      <c r="M1639" s="57"/>
      <c r="N1639" s="3"/>
      <c r="O1639" s="3"/>
      <c r="P1639" s="51"/>
      <c r="Q1639" s="5"/>
    </row>
    <row x14ac:dyDescent="0.25" r="1640" customHeight="1" ht="15.75">
      <c r="A1640" s="3"/>
      <c r="B1640" s="3"/>
      <c r="C1640" s="3"/>
      <c r="D1640" s="3"/>
      <c r="E1640" s="3"/>
      <c r="F1640" s="3"/>
      <c r="G1640" s="3"/>
      <c r="H1640" s="60"/>
      <c r="I1640" s="3"/>
      <c r="J1640" s="55"/>
      <c r="K1640" s="56"/>
      <c r="L1640" s="56"/>
      <c r="M1640" s="57"/>
      <c r="N1640" s="3"/>
      <c r="O1640" s="3"/>
      <c r="P1640" s="51"/>
      <c r="Q1640" s="5"/>
    </row>
    <row x14ac:dyDescent="0.25" r="1641" customHeight="1" ht="15.75">
      <c r="A1641" s="3"/>
      <c r="B1641" s="3"/>
      <c r="C1641" s="3"/>
      <c r="D1641" s="3"/>
      <c r="E1641" s="3"/>
      <c r="F1641" s="3"/>
      <c r="G1641" s="3"/>
      <c r="H1641" s="60"/>
      <c r="I1641" s="3"/>
      <c r="J1641" s="55"/>
      <c r="K1641" s="56"/>
      <c r="L1641" s="56"/>
      <c r="M1641" s="57"/>
      <c r="N1641" s="3"/>
      <c r="O1641" s="3"/>
      <c r="P1641" s="51"/>
      <c r="Q1641" s="5"/>
    </row>
    <row x14ac:dyDescent="0.25" r="1642" customHeight="1" ht="15.75">
      <c r="A1642" s="3"/>
      <c r="B1642" s="3"/>
      <c r="C1642" s="3"/>
      <c r="D1642" s="3"/>
      <c r="E1642" s="3"/>
      <c r="F1642" s="3"/>
      <c r="G1642" s="3"/>
      <c r="H1642" s="60"/>
      <c r="I1642" s="3"/>
      <c r="J1642" s="55"/>
      <c r="K1642" s="56"/>
      <c r="L1642" s="56"/>
      <c r="M1642" s="57"/>
      <c r="N1642" s="3"/>
      <c r="O1642" s="3"/>
      <c r="P1642" s="51"/>
      <c r="Q1642" s="5"/>
    </row>
    <row x14ac:dyDescent="0.25" r="1643" customHeight="1" ht="15.75">
      <c r="A1643" s="3"/>
      <c r="B1643" s="3"/>
      <c r="C1643" s="3"/>
      <c r="D1643" s="3"/>
      <c r="E1643" s="3"/>
      <c r="F1643" s="3"/>
      <c r="G1643" s="3"/>
      <c r="H1643" s="60"/>
      <c r="I1643" s="3"/>
      <c r="J1643" s="55"/>
      <c r="K1643" s="56"/>
      <c r="L1643" s="56"/>
      <c r="M1643" s="57"/>
      <c r="N1643" s="3"/>
      <c r="O1643" s="3"/>
      <c r="P1643" s="51"/>
      <c r="Q1643" s="5"/>
    </row>
    <row x14ac:dyDescent="0.25" r="1644" customHeight="1" ht="15.75">
      <c r="A1644" s="3"/>
      <c r="B1644" s="3"/>
      <c r="C1644" s="3"/>
      <c r="D1644" s="3"/>
      <c r="E1644" s="3"/>
      <c r="F1644" s="3"/>
      <c r="G1644" s="3"/>
      <c r="H1644" s="60"/>
      <c r="I1644" s="3"/>
      <c r="J1644" s="55"/>
      <c r="K1644" s="56"/>
      <c r="L1644" s="56"/>
      <c r="M1644" s="57"/>
      <c r="N1644" s="3"/>
      <c r="O1644" s="3"/>
      <c r="P1644" s="51"/>
      <c r="Q1644" s="5"/>
    </row>
    <row x14ac:dyDescent="0.25" r="1645" customHeight="1" ht="15.75">
      <c r="A1645" s="3"/>
      <c r="B1645" s="3"/>
      <c r="C1645" s="3"/>
      <c r="D1645" s="3"/>
      <c r="E1645" s="3"/>
      <c r="F1645" s="3"/>
      <c r="G1645" s="3"/>
      <c r="H1645" s="60"/>
      <c r="I1645" s="3"/>
      <c r="J1645" s="55"/>
      <c r="K1645" s="56"/>
      <c r="L1645" s="56"/>
      <c r="M1645" s="57"/>
      <c r="N1645" s="3"/>
      <c r="O1645" s="3"/>
      <c r="P1645" s="51"/>
      <c r="Q1645" s="5"/>
    </row>
    <row x14ac:dyDescent="0.25" r="1646" customHeight="1" ht="15.75">
      <c r="A1646" s="3"/>
      <c r="B1646" s="3"/>
      <c r="C1646" s="3"/>
      <c r="D1646" s="3"/>
      <c r="E1646" s="3"/>
      <c r="F1646" s="3"/>
      <c r="G1646" s="3"/>
      <c r="H1646" s="60"/>
      <c r="I1646" s="3"/>
      <c r="J1646" s="55"/>
      <c r="K1646" s="56"/>
      <c r="L1646" s="56"/>
      <c r="M1646" s="57"/>
      <c r="N1646" s="3"/>
      <c r="O1646" s="3"/>
      <c r="P1646" s="51"/>
      <c r="Q1646" s="5"/>
    </row>
    <row x14ac:dyDescent="0.25" r="1647" customHeight="1" ht="15.75">
      <c r="A1647" s="3"/>
      <c r="B1647" s="3"/>
      <c r="C1647" s="3"/>
      <c r="D1647" s="3"/>
      <c r="E1647" s="3"/>
      <c r="F1647" s="3"/>
      <c r="G1647" s="3"/>
      <c r="H1647" s="60"/>
      <c r="I1647" s="3"/>
      <c r="J1647" s="55"/>
      <c r="K1647" s="56"/>
      <c r="L1647" s="56"/>
      <c r="M1647" s="57"/>
      <c r="N1647" s="3"/>
      <c r="O1647" s="3"/>
      <c r="P1647" s="51"/>
      <c r="Q1647" s="5"/>
    </row>
    <row x14ac:dyDescent="0.25" r="1648" customHeight="1" ht="15.75">
      <c r="A1648" s="3"/>
      <c r="B1648" s="3"/>
      <c r="C1648" s="3"/>
      <c r="D1648" s="3"/>
      <c r="E1648" s="3"/>
      <c r="F1648" s="3"/>
      <c r="G1648" s="3"/>
      <c r="H1648" s="60"/>
      <c r="I1648" s="3"/>
      <c r="J1648" s="55"/>
      <c r="K1648" s="56"/>
      <c r="L1648" s="56"/>
      <c r="M1648" s="57"/>
      <c r="N1648" s="3"/>
      <c r="O1648" s="3"/>
      <c r="P1648" s="51"/>
      <c r="Q1648" s="5"/>
    </row>
    <row x14ac:dyDescent="0.25" r="1649" customHeight="1" ht="15.75">
      <c r="A1649" s="3"/>
      <c r="B1649" s="3"/>
      <c r="C1649" s="3"/>
      <c r="D1649" s="3"/>
      <c r="E1649" s="3"/>
      <c r="F1649" s="3"/>
      <c r="G1649" s="3"/>
      <c r="H1649" s="60"/>
      <c r="I1649" s="3"/>
      <c r="J1649" s="55"/>
      <c r="K1649" s="56"/>
      <c r="L1649" s="56"/>
      <c r="M1649" s="57"/>
      <c r="N1649" s="3"/>
      <c r="O1649" s="3"/>
      <c r="P1649" s="51"/>
      <c r="Q1649" s="5"/>
    </row>
    <row x14ac:dyDescent="0.25" r="1650" customHeight="1" ht="15.75">
      <c r="A1650" s="3"/>
      <c r="B1650" s="3"/>
      <c r="C1650" s="3"/>
      <c r="D1650" s="3"/>
      <c r="E1650" s="3"/>
      <c r="F1650" s="3"/>
      <c r="G1650" s="3"/>
      <c r="H1650" s="60"/>
      <c r="I1650" s="3"/>
      <c r="J1650" s="55"/>
      <c r="K1650" s="56"/>
      <c r="L1650" s="56"/>
      <c r="M1650" s="57"/>
      <c r="N1650" s="3"/>
      <c r="O1650" s="3"/>
      <c r="P1650" s="51"/>
      <c r="Q1650" s="5"/>
    </row>
    <row x14ac:dyDescent="0.25" r="1651" customHeight="1" ht="15.75">
      <c r="A1651" s="3"/>
      <c r="B1651" s="3"/>
      <c r="C1651" s="3"/>
      <c r="D1651" s="3"/>
      <c r="E1651" s="3"/>
      <c r="F1651" s="3"/>
      <c r="G1651" s="3"/>
      <c r="H1651" s="60"/>
      <c r="I1651" s="3"/>
      <c r="J1651" s="55"/>
      <c r="K1651" s="56"/>
      <c r="L1651" s="56"/>
      <c r="M1651" s="57"/>
      <c r="N1651" s="3"/>
      <c r="O1651" s="3"/>
      <c r="P1651" s="51"/>
      <c r="Q1651" s="5"/>
    </row>
    <row x14ac:dyDescent="0.25" r="1652" customHeight="1" ht="15.75">
      <c r="A1652" s="3"/>
      <c r="B1652" s="3"/>
      <c r="C1652" s="3"/>
      <c r="D1652" s="3"/>
      <c r="E1652" s="3"/>
      <c r="F1652" s="3"/>
      <c r="G1652" s="3"/>
      <c r="H1652" s="60"/>
      <c r="I1652" s="3"/>
      <c r="J1652" s="55"/>
      <c r="K1652" s="56"/>
      <c r="L1652" s="56"/>
      <c r="M1652" s="57"/>
      <c r="N1652" s="3"/>
      <c r="O1652" s="3"/>
      <c r="P1652" s="51"/>
      <c r="Q1652" s="5"/>
    </row>
    <row x14ac:dyDescent="0.25" r="1653" customHeight="1" ht="15.75">
      <c r="A1653" s="3"/>
      <c r="B1653" s="3"/>
      <c r="C1653" s="3"/>
      <c r="D1653" s="3"/>
      <c r="E1653" s="3"/>
      <c r="F1653" s="3"/>
      <c r="G1653" s="3"/>
      <c r="H1653" s="60"/>
      <c r="I1653" s="3"/>
      <c r="J1653" s="55"/>
      <c r="K1653" s="56"/>
      <c r="L1653" s="56"/>
      <c r="M1653" s="57"/>
      <c r="N1653" s="3"/>
      <c r="O1653" s="3"/>
      <c r="P1653" s="51"/>
      <c r="Q1653" s="5"/>
    </row>
    <row x14ac:dyDescent="0.25" r="1654" customHeight="1" ht="15.75">
      <c r="A1654" s="3"/>
      <c r="B1654" s="3"/>
      <c r="C1654" s="3"/>
      <c r="D1654" s="3"/>
      <c r="E1654" s="3"/>
      <c r="F1654" s="3"/>
      <c r="G1654" s="3"/>
      <c r="H1654" s="60"/>
      <c r="I1654" s="3"/>
      <c r="J1654" s="55"/>
      <c r="K1654" s="56"/>
      <c r="L1654" s="56"/>
      <c r="M1654" s="57"/>
      <c r="N1654" s="3"/>
      <c r="O1654" s="3"/>
      <c r="P1654" s="51"/>
      <c r="Q1654" s="5"/>
    </row>
    <row x14ac:dyDescent="0.25" r="1655" customHeight="1" ht="15.75">
      <c r="A1655" s="3"/>
      <c r="B1655" s="3"/>
      <c r="C1655" s="3"/>
      <c r="D1655" s="3"/>
      <c r="E1655" s="3"/>
      <c r="F1655" s="3"/>
      <c r="G1655" s="3"/>
      <c r="H1655" s="60"/>
      <c r="I1655" s="3"/>
      <c r="J1655" s="55"/>
      <c r="K1655" s="56"/>
      <c r="L1655" s="56"/>
      <c r="M1655" s="57"/>
      <c r="N1655" s="3"/>
      <c r="O1655" s="3"/>
      <c r="P1655" s="51"/>
      <c r="Q1655" s="5"/>
    </row>
    <row x14ac:dyDescent="0.25" r="1656" customHeight="1" ht="15.75">
      <c r="A1656" s="3"/>
      <c r="B1656" s="3"/>
      <c r="C1656" s="3"/>
      <c r="D1656" s="3"/>
      <c r="E1656" s="3"/>
      <c r="F1656" s="3"/>
      <c r="G1656" s="3"/>
      <c r="H1656" s="60"/>
      <c r="I1656" s="3"/>
      <c r="J1656" s="55"/>
      <c r="K1656" s="56"/>
      <c r="L1656" s="56"/>
      <c r="M1656" s="57"/>
      <c r="N1656" s="3"/>
      <c r="O1656" s="3"/>
      <c r="P1656" s="51"/>
      <c r="Q1656" s="5"/>
    </row>
    <row x14ac:dyDescent="0.25" r="1657" customHeight="1" ht="15.75">
      <c r="A1657" s="3"/>
      <c r="B1657" s="3"/>
      <c r="C1657" s="3"/>
      <c r="D1657" s="3"/>
      <c r="E1657" s="3"/>
      <c r="F1657" s="3"/>
      <c r="G1657" s="3"/>
      <c r="H1657" s="60"/>
      <c r="I1657" s="3"/>
      <c r="J1657" s="55"/>
      <c r="K1657" s="56"/>
      <c r="L1657" s="56"/>
      <c r="M1657" s="57"/>
      <c r="N1657" s="3"/>
      <c r="O1657" s="3"/>
      <c r="P1657" s="51"/>
      <c r="Q1657" s="5"/>
    </row>
    <row x14ac:dyDescent="0.25" r="1658" customHeight="1" ht="15.75">
      <c r="A1658" s="3"/>
      <c r="B1658" s="3"/>
      <c r="C1658" s="3"/>
      <c r="D1658" s="3"/>
      <c r="E1658" s="3"/>
      <c r="F1658" s="3"/>
      <c r="G1658" s="3"/>
      <c r="H1658" s="60"/>
      <c r="I1658" s="3"/>
      <c r="J1658" s="55"/>
      <c r="K1658" s="56"/>
      <c r="L1658" s="56"/>
      <c r="M1658" s="57"/>
      <c r="N1658" s="3"/>
      <c r="O1658" s="3"/>
      <c r="P1658" s="51"/>
      <c r="Q1658" s="5"/>
    </row>
    <row x14ac:dyDescent="0.25" r="1659" customHeight="1" ht="15.75">
      <c r="A1659" s="3"/>
      <c r="B1659" s="3"/>
      <c r="C1659" s="3"/>
      <c r="D1659" s="3"/>
      <c r="E1659" s="3"/>
      <c r="F1659" s="3"/>
      <c r="G1659" s="3"/>
      <c r="H1659" s="60"/>
      <c r="I1659" s="3"/>
      <c r="J1659" s="55"/>
      <c r="K1659" s="56"/>
      <c r="L1659" s="56"/>
      <c r="M1659" s="57"/>
      <c r="N1659" s="3"/>
      <c r="O1659" s="3"/>
      <c r="P1659" s="51"/>
      <c r="Q1659" s="5"/>
    </row>
    <row x14ac:dyDescent="0.25" r="1660" customHeight="1" ht="15.75">
      <c r="A1660" s="3"/>
      <c r="B1660" s="3"/>
      <c r="C1660" s="3"/>
      <c r="D1660" s="3"/>
      <c r="E1660" s="3"/>
      <c r="F1660" s="3"/>
      <c r="G1660" s="3"/>
      <c r="H1660" s="60"/>
      <c r="I1660" s="3"/>
      <c r="J1660" s="55"/>
      <c r="K1660" s="56"/>
      <c r="L1660" s="56"/>
      <c r="M1660" s="57"/>
      <c r="N1660" s="3"/>
      <c r="O1660" s="3"/>
      <c r="P1660" s="51"/>
      <c r="Q1660" s="5"/>
    </row>
    <row x14ac:dyDescent="0.25" r="1661" customHeight="1" ht="15.75">
      <c r="A1661" s="3"/>
      <c r="B1661" s="3"/>
      <c r="C1661" s="3"/>
      <c r="D1661" s="3"/>
      <c r="E1661" s="3"/>
      <c r="F1661" s="3"/>
      <c r="G1661" s="3"/>
      <c r="H1661" s="60"/>
      <c r="I1661" s="3"/>
      <c r="J1661" s="55"/>
      <c r="K1661" s="56"/>
      <c r="L1661" s="56"/>
      <c r="M1661" s="57"/>
      <c r="N1661" s="3"/>
      <c r="O1661" s="3"/>
      <c r="P1661" s="51"/>
      <c r="Q1661" s="5"/>
    </row>
    <row x14ac:dyDescent="0.25" r="1662" customHeight="1" ht="15.75">
      <c r="A1662" s="3"/>
      <c r="B1662" s="3"/>
      <c r="C1662" s="3"/>
      <c r="D1662" s="3"/>
      <c r="E1662" s="3"/>
      <c r="F1662" s="3"/>
      <c r="G1662" s="3"/>
      <c r="H1662" s="60"/>
      <c r="I1662" s="3"/>
      <c r="J1662" s="55"/>
      <c r="K1662" s="56"/>
      <c r="L1662" s="56"/>
      <c r="M1662" s="57"/>
      <c r="N1662" s="3"/>
      <c r="O1662" s="3"/>
      <c r="P1662" s="51"/>
      <c r="Q1662" s="5"/>
    </row>
    <row x14ac:dyDescent="0.25" r="1663" customHeight="1" ht="15.75">
      <c r="A1663" s="3"/>
      <c r="B1663" s="3"/>
      <c r="C1663" s="3"/>
      <c r="D1663" s="3"/>
      <c r="E1663" s="3"/>
      <c r="F1663" s="3"/>
      <c r="G1663" s="3"/>
      <c r="H1663" s="60"/>
      <c r="I1663" s="3"/>
      <c r="J1663" s="55"/>
      <c r="K1663" s="56"/>
      <c r="L1663" s="56"/>
      <c r="M1663" s="57"/>
      <c r="N1663" s="3"/>
      <c r="O1663" s="3"/>
      <c r="P1663" s="51"/>
      <c r="Q1663" s="5"/>
    </row>
    <row x14ac:dyDescent="0.25" r="1664" customHeight="1" ht="15.75">
      <c r="A1664" s="3"/>
      <c r="B1664" s="3"/>
      <c r="C1664" s="3"/>
      <c r="D1664" s="3"/>
      <c r="E1664" s="3"/>
      <c r="F1664" s="3"/>
      <c r="G1664" s="3"/>
      <c r="H1664" s="60"/>
      <c r="I1664" s="3"/>
      <c r="J1664" s="55"/>
      <c r="K1664" s="56"/>
      <c r="L1664" s="56"/>
      <c r="M1664" s="57"/>
      <c r="N1664" s="3"/>
      <c r="O1664" s="3"/>
      <c r="P1664" s="51"/>
      <c r="Q1664" s="5"/>
    </row>
    <row x14ac:dyDescent="0.25" r="1665" customHeight="1" ht="15.75">
      <c r="A1665" s="3"/>
      <c r="B1665" s="3"/>
      <c r="C1665" s="3"/>
      <c r="D1665" s="3"/>
      <c r="E1665" s="3"/>
      <c r="F1665" s="3"/>
      <c r="G1665" s="3"/>
      <c r="H1665" s="60"/>
      <c r="I1665" s="3"/>
      <c r="J1665" s="55"/>
      <c r="K1665" s="56"/>
      <c r="L1665" s="56"/>
      <c r="M1665" s="57"/>
      <c r="N1665" s="3"/>
      <c r="O1665" s="3"/>
      <c r="P1665" s="51"/>
      <c r="Q1665" s="5"/>
    </row>
    <row x14ac:dyDescent="0.25" r="1666" customHeight="1" ht="15.75">
      <c r="A1666" s="3"/>
      <c r="B1666" s="3"/>
      <c r="C1666" s="3"/>
      <c r="D1666" s="3"/>
      <c r="E1666" s="3"/>
      <c r="F1666" s="3"/>
      <c r="G1666" s="3"/>
      <c r="H1666" s="60"/>
      <c r="I1666" s="3"/>
      <c r="J1666" s="55"/>
      <c r="K1666" s="56"/>
      <c r="L1666" s="56"/>
      <c r="M1666" s="57"/>
      <c r="N1666" s="3"/>
      <c r="O1666" s="3"/>
      <c r="P1666" s="51"/>
      <c r="Q1666" s="5"/>
    </row>
    <row x14ac:dyDescent="0.25" r="1667" customHeight="1" ht="15.75">
      <c r="A1667" s="3"/>
      <c r="B1667" s="3"/>
      <c r="C1667" s="3"/>
      <c r="D1667" s="3"/>
      <c r="E1667" s="3"/>
      <c r="F1667" s="3"/>
      <c r="G1667" s="3"/>
      <c r="H1667" s="60"/>
      <c r="I1667" s="3"/>
      <c r="J1667" s="55"/>
      <c r="K1667" s="56"/>
      <c r="L1667" s="56"/>
      <c r="M1667" s="57"/>
      <c r="N1667" s="3"/>
      <c r="O1667" s="3"/>
      <c r="P1667" s="51"/>
      <c r="Q1667" s="5"/>
    </row>
    <row x14ac:dyDescent="0.25" r="1668" customHeight="1" ht="15.75">
      <c r="A1668" s="3"/>
      <c r="B1668" s="3"/>
      <c r="C1668" s="3"/>
      <c r="D1668" s="3"/>
      <c r="E1668" s="3"/>
      <c r="F1668" s="3"/>
      <c r="G1668" s="3"/>
      <c r="H1668" s="60"/>
      <c r="I1668" s="3"/>
      <c r="J1668" s="55"/>
      <c r="K1668" s="56"/>
      <c r="L1668" s="56"/>
      <c r="M1668" s="57"/>
      <c r="N1668" s="3"/>
      <c r="O1668" s="3"/>
      <c r="P1668" s="51"/>
      <c r="Q1668" s="5"/>
    </row>
    <row x14ac:dyDescent="0.25" r="1669" customHeight="1" ht="15.75">
      <c r="A1669" s="3"/>
      <c r="B1669" s="3"/>
      <c r="C1669" s="3"/>
      <c r="D1669" s="3"/>
      <c r="E1669" s="3"/>
      <c r="F1669" s="3"/>
      <c r="G1669" s="3"/>
      <c r="H1669" s="60"/>
      <c r="I1669" s="3"/>
      <c r="J1669" s="55"/>
      <c r="K1669" s="56"/>
      <c r="L1669" s="56"/>
      <c r="M1669" s="57"/>
      <c r="N1669" s="3"/>
      <c r="O1669" s="3"/>
      <c r="P1669" s="51"/>
      <c r="Q1669" s="5"/>
    </row>
    <row x14ac:dyDescent="0.25" r="1670" customHeight="1" ht="15.75">
      <c r="A1670" s="3"/>
      <c r="B1670" s="3"/>
      <c r="C1670" s="3"/>
      <c r="D1670" s="3"/>
      <c r="E1670" s="3"/>
      <c r="F1670" s="3"/>
      <c r="G1670" s="3"/>
      <c r="H1670" s="60"/>
      <c r="I1670" s="3"/>
      <c r="J1670" s="55"/>
      <c r="K1670" s="56"/>
      <c r="L1670" s="56"/>
      <c r="M1670" s="57"/>
      <c r="N1670" s="3"/>
      <c r="O1670" s="3"/>
      <c r="P1670" s="51"/>
      <c r="Q1670" s="5"/>
    </row>
    <row x14ac:dyDescent="0.25" r="1671" customHeight="1" ht="15.75">
      <c r="A1671" s="3"/>
      <c r="B1671" s="3"/>
      <c r="C1671" s="3"/>
      <c r="D1671" s="3"/>
      <c r="E1671" s="3"/>
      <c r="F1671" s="3"/>
      <c r="G1671" s="3"/>
      <c r="H1671" s="60"/>
      <c r="I1671" s="3"/>
      <c r="J1671" s="55"/>
      <c r="K1671" s="56"/>
      <c r="L1671" s="56"/>
      <c r="M1671" s="57"/>
      <c r="N1671" s="3"/>
      <c r="O1671" s="3"/>
      <c r="P1671" s="51"/>
      <c r="Q1671" s="5"/>
    </row>
    <row x14ac:dyDescent="0.25" r="1672" customHeight="1" ht="15.75">
      <c r="A1672" s="3"/>
      <c r="B1672" s="3"/>
      <c r="C1672" s="3"/>
      <c r="D1672" s="3"/>
      <c r="E1672" s="3"/>
      <c r="F1672" s="3"/>
      <c r="G1672" s="3"/>
      <c r="H1672" s="60"/>
      <c r="I1672" s="3"/>
      <c r="J1672" s="55"/>
      <c r="K1672" s="56"/>
      <c r="L1672" s="56"/>
      <c r="M1672" s="57"/>
      <c r="N1672" s="3"/>
      <c r="O1672" s="3"/>
      <c r="P1672" s="51"/>
      <c r="Q1672" s="5"/>
    </row>
    <row x14ac:dyDescent="0.25" r="1673" customHeight="1" ht="15.75">
      <c r="A1673" s="3"/>
      <c r="B1673" s="3"/>
      <c r="C1673" s="3"/>
      <c r="D1673" s="3"/>
      <c r="E1673" s="3"/>
      <c r="F1673" s="3"/>
      <c r="G1673" s="3"/>
      <c r="H1673" s="60"/>
      <c r="I1673" s="3"/>
      <c r="J1673" s="55"/>
      <c r="K1673" s="56"/>
      <c r="L1673" s="56"/>
      <c r="M1673" s="57"/>
      <c r="N1673" s="3"/>
      <c r="O1673" s="3"/>
      <c r="P1673" s="51"/>
      <c r="Q1673" s="5"/>
    </row>
    <row x14ac:dyDescent="0.25" r="1674" customHeight="1" ht="15.75">
      <c r="A1674" s="3"/>
      <c r="B1674" s="3"/>
      <c r="C1674" s="3"/>
      <c r="D1674" s="3"/>
      <c r="E1674" s="3"/>
      <c r="F1674" s="3"/>
      <c r="G1674" s="3"/>
      <c r="H1674" s="60"/>
      <c r="I1674" s="3"/>
      <c r="J1674" s="55"/>
      <c r="K1674" s="56"/>
      <c r="L1674" s="56"/>
      <c r="M1674" s="57"/>
      <c r="N1674" s="3"/>
      <c r="O1674" s="3"/>
      <c r="P1674" s="51"/>
      <c r="Q1674" s="5"/>
    </row>
    <row x14ac:dyDescent="0.25" r="1675" customHeight="1" ht="15.75">
      <c r="A1675" s="3"/>
      <c r="B1675" s="3"/>
      <c r="C1675" s="3"/>
      <c r="D1675" s="3"/>
      <c r="E1675" s="3"/>
      <c r="F1675" s="3"/>
      <c r="G1675" s="3"/>
      <c r="H1675" s="60"/>
      <c r="I1675" s="3"/>
      <c r="J1675" s="55"/>
      <c r="K1675" s="56"/>
      <c r="L1675" s="56"/>
      <c r="M1675" s="57"/>
      <c r="N1675" s="3"/>
      <c r="O1675" s="3"/>
      <c r="P1675" s="51"/>
      <c r="Q1675" s="5"/>
    </row>
    <row x14ac:dyDescent="0.25" r="1676" customHeight="1" ht="15.75">
      <c r="A1676" s="3"/>
      <c r="B1676" s="3"/>
      <c r="C1676" s="3"/>
      <c r="D1676" s="3"/>
      <c r="E1676" s="3"/>
      <c r="F1676" s="3"/>
      <c r="G1676" s="3"/>
      <c r="H1676" s="60"/>
      <c r="I1676" s="3"/>
      <c r="J1676" s="55"/>
      <c r="K1676" s="56"/>
      <c r="L1676" s="56"/>
      <c r="M1676" s="57"/>
      <c r="N1676" s="3"/>
      <c r="O1676" s="3"/>
      <c r="P1676" s="51"/>
      <c r="Q1676" s="5"/>
    </row>
    <row x14ac:dyDescent="0.25" r="1677" customHeight="1" ht="15.75">
      <c r="A1677" s="3"/>
      <c r="B1677" s="3"/>
      <c r="C1677" s="3"/>
      <c r="D1677" s="3"/>
      <c r="E1677" s="3"/>
      <c r="F1677" s="3"/>
      <c r="G1677" s="3"/>
      <c r="H1677" s="60"/>
      <c r="I1677" s="3"/>
      <c r="J1677" s="55"/>
      <c r="K1677" s="56"/>
      <c r="L1677" s="56"/>
      <c r="M1677" s="57"/>
      <c r="N1677" s="3"/>
      <c r="O1677" s="3"/>
      <c r="P1677" s="51"/>
      <c r="Q1677" s="5"/>
    </row>
    <row x14ac:dyDescent="0.25" r="1678" customHeight="1" ht="15.75">
      <c r="A1678" s="3"/>
      <c r="B1678" s="3"/>
      <c r="C1678" s="3"/>
      <c r="D1678" s="3"/>
      <c r="E1678" s="3"/>
      <c r="F1678" s="3"/>
      <c r="G1678" s="3"/>
      <c r="H1678" s="60"/>
      <c r="I1678" s="3"/>
      <c r="J1678" s="55"/>
      <c r="K1678" s="56"/>
      <c r="L1678" s="56"/>
      <c r="M1678" s="57"/>
      <c r="N1678" s="3"/>
      <c r="O1678" s="3"/>
      <c r="P1678" s="51"/>
      <c r="Q1678" s="5"/>
    </row>
    <row x14ac:dyDescent="0.25" r="1679" customHeight="1" ht="15.75">
      <c r="A1679" s="3"/>
      <c r="B1679" s="3"/>
      <c r="C1679" s="3"/>
      <c r="D1679" s="3"/>
      <c r="E1679" s="3"/>
      <c r="F1679" s="3"/>
      <c r="G1679" s="3"/>
      <c r="H1679" s="60"/>
      <c r="I1679" s="3"/>
      <c r="J1679" s="55"/>
      <c r="K1679" s="56"/>
      <c r="L1679" s="56"/>
      <c r="M1679" s="57"/>
      <c r="N1679" s="3"/>
      <c r="O1679" s="3"/>
      <c r="P1679" s="51"/>
      <c r="Q1679" s="5"/>
    </row>
    <row x14ac:dyDescent="0.25" r="1680" customHeight="1" ht="15.75">
      <c r="A1680" s="3"/>
      <c r="B1680" s="3"/>
      <c r="C1680" s="3"/>
      <c r="D1680" s="3"/>
      <c r="E1680" s="3"/>
      <c r="F1680" s="3"/>
      <c r="G1680" s="3"/>
      <c r="H1680" s="60"/>
      <c r="I1680" s="3"/>
      <c r="J1680" s="55"/>
      <c r="K1680" s="56"/>
      <c r="L1680" s="56"/>
      <c r="M1680" s="57"/>
      <c r="N1680" s="3"/>
      <c r="O1680" s="3"/>
      <c r="P1680" s="51"/>
      <c r="Q1680" s="5"/>
    </row>
    <row x14ac:dyDescent="0.25" r="1681" customHeight="1" ht="15.75">
      <c r="A1681" s="3"/>
      <c r="B1681" s="3"/>
      <c r="C1681" s="3"/>
      <c r="D1681" s="3"/>
      <c r="E1681" s="3"/>
      <c r="F1681" s="3"/>
      <c r="G1681" s="3"/>
      <c r="H1681" s="60"/>
      <c r="I1681" s="3"/>
      <c r="J1681" s="55"/>
      <c r="K1681" s="56"/>
      <c r="L1681" s="56"/>
      <c r="M1681" s="57"/>
      <c r="N1681" s="3"/>
      <c r="O1681" s="3"/>
      <c r="P1681" s="51"/>
      <c r="Q1681" s="5"/>
    </row>
    <row x14ac:dyDescent="0.25" r="1682" customHeight="1" ht="15.75">
      <c r="A1682" s="3"/>
      <c r="B1682" s="3"/>
      <c r="C1682" s="3"/>
      <c r="D1682" s="3"/>
      <c r="E1682" s="3"/>
      <c r="F1682" s="3"/>
      <c r="G1682" s="3"/>
      <c r="H1682" s="60"/>
      <c r="I1682" s="3"/>
      <c r="J1682" s="55"/>
      <c r="K1682" s="56"/>
      <c r="L1682" s="56"/>
      <c r="M1682" s="57"/>
      <c r="N1682" s="3"/>
      <c r="O1682" s="3"/>
      <c r="P1682" s="51"/>
      <c r="Q1682" s="5"/>
    </row>
    <row x14ac:dyDescent="0.25" r="1683" customHeight="1" ht="15.75">
      <c r="A1683" s="3"/>
      <c r="B1683" s="3"/>
      <c r="C1683" s="3"/>
      <c r="D1683" s="3"/>
      <c r="E1683" s="3"/>
      <c r="F1683" s="3"/>
      <c r="G1683" s="3"/>
      <c r="H1683" s="60"/>
      <c r="I1683" s="3"/>
      <c r="J1683" s="55"/>
      <c r="K1683" s="56"/>
      <c r="L1683" s="56"/>
      <c r="M1683" s="57"/>
      <c r="N1683" s="3"/>
      <c r="O1683" s="3"/>
      <c r="P1683" s="51"/>
      <c r="Q1683" s="5"/>
    </row>
    <row x14ac:dyDescent="0.25" r="1684" customHeight="1" ht="15.75">
      <c r="A1684" s="3"/>
      <c r="B1684" s="3"/>
      <c r="C1684" s="3"/>
      <c r="D1684" s="3"/>
      <c r="E1684" s="3"/>
      <c r="F1684" s="3"/>
      <c r="G1684" s="3"/>
      <c r="H1684" s="60"/>
      <c r="I1684" s="3"/>
      <c r="J1684" s="55"/>
      <c r="K1684" s="56"/>
      <c r="L1684" s="56"/>
      <c r="M1684" s="57"/>
      <c r="N1684" s="3"/>
      <c r="O1684" s="3"/>
      <c r="P1684" s="51"/>
      <c r="Q1684" s="5"/>
    </row>
    <row x14ac:dyDescent="0.25" r="1685" customHeight="1" ht="15.75">
      <c r="A1685" s="3"/>
      <c r="B1685" s="3"/>
      <c r="C1685" s="3"/>
      <c r="D1685" s="3"/>
      <c r="E1685" s="3"/>
      <c r="F1685" s="3"/>
      <c r="G1685" s="3"/>
      <c r="H1685" s="60"/>
      <c r="I1685" s="3"/>
      <c r="J1685" s="55"/>
      <c r="K1685" s="56"/>
      <c r="L1685" s="56"/>
      <c r="M1685" s="57"/>
      <c r="N1685" s="3"/>
      <c r="O1685" s="3"/>
      <c r="P1685" s="51"/>
      <c r="Q1685" s="5"/>
    </row>
    <row x14ac:dyDescent="0.25" r="1686" customHeight="1" ht="15.75">
      <c r="A1686" s="3"/>
      <c r="B1686" s="3"/>
      <c r="C1686" s="3"/>
      <c r="D1686" s="3"/>
      <c r="E1686" s="3"/>
      <c r="F1686" s="3"/>
      <c r="G1686" s="3"/>
      <c r="H1686" s="60"/>
      <c r="I1686" s="3"/>
      <c r="J1686" s="55"/>
      <c r="K1686" s="56"/>
      <c r="L1686" s="56"/>
      <c r="M1686" s="57"/>
      <c r="N1686" s="3"/>
      <c r="O1686" s="3"/>
      <c r="P1686" s="51"/>
      <c r="Q1686" s="5"/>
    </row>
    <row x14ac:dyDescent="0.25" r="1687" customHeight="1" ht="15.75">
      <c r="A1687" s="3"/>
      <c r="B1687" s="3"/>
      <c r="C1687" s="3"/>
      <c r="D1687" s="3"/>
      <c r="E1687" s="3"/>
      <c r="F1687" s="3"/>
      <c r="G1687" s="3"/>
      <c r="H1687" s="60"/>
      <c r="I1687" s="3"/>
      <c r="J1687" s="55"/>
      <c r="K1687" s="56"/>
      <c r="L1687" s="56"/>
      <c r="M1687" s="57"/>
      <c r="N1687" s="3"/>
      <c r="O1687" s="3"/>
      <c r="P1687" s="51"/>
      <c r="Q1687" s="5"/>
    </row>
    <row x14ac:dyDescent="0.25" r="1688" customHeight="1" ht="15.75">
      <c r="A1688" s="3"/>
      <c r="B1688" s="3"/>
      <c r="C1688" s="3"/>
      <c r="D1688" s="3"/>
      <c r="E1688" s="3"/>
      <c r="F1688" s="3"/>
      <c r="G1688" s="3"/>
      <c r="H1688" s="60"/>
      <c r="I1688" s="3"/>
      <c r="J1688" s="55"/>
      <c r="K1688" s="56"/>
      <c r="L1688" s="56"/>
      <c r="M1688" s="57"/>
      <c r="N1688" s="3"/>
      <c r="O1688" s="3"/>
      <c r="P1688" s="51"/>
      <c r="Q1688" s="5"/>
    </row>
    <row x14ac:dyDescent="0.25" r="1689" customHeight="1" ht="15.75">
      <c r="A1689" s="3"/>
      <c r="B1689" s="3"/>
      <c r="C1689" s="3"/>
      <c r="D1689" s="3"/>
      <c r="E1689" s="3"/>
      <c r="F1689" s="3"/>
      <c r="G1689" s="3"/>
      <c r="H1689" s="60"/>
      <c r="I1689" s="3"/>
      <c r="J1689" s="55"/>
      <c r="K1689" s="56"/>
      <c r="L1689" s="56"/>
      <c r="M1689" s="57"/>
      <c r="N1689" s="3"/>
      <c r="O1689" s="3"/>
      <c r="P1689" s="51"/>
      <c r="Q1689" s="5"/>
    </row>
    <row x14ac:dyDescent="0.25" r="1690" customHeight="1" ht="15.75">
      <c r="A1690" s="3"/>
      <c r="B1690" s="3"/>
      <c r="C1690" s="3"/>
      <c r="D1690" s="3"/>
      <c r="E1690" s="3"/>
      <c r="F1690" s="3"/>
      <c r="G1690" s="3"/>
      <c r="H1690" s="60"/>
      <c r="I1690" s="3"/>
      <c r="J1690" s="55"/>
      <c r="K1690" s="56"/>
      <c r="L1690" s="56"/>
      <c r="M1690" s="57"/>
      <c r="N1690" s="3"/>
      <c r="O1690" s="3"/>
      <c r="P1690" s="51"/>
      <c r="Q1690" s="5"/>
    </row>
    <row x14ac:dyDescent="0.25" r="1691" customHeight="1" ht="15.75">
      <c r="A1691" s="3"/>
      <c r="B1691" s="3"/>
      <c r="C1691" s="3"/>
      <c r="D1691" s="3"/>
      <c r="E1691" s="3"/>
      <c r="F1691" s="3"/>
      <c r="G1691" s="3"/>
      <c r="H1691" s="60"/>
      <c r="I1691" s="3"/>
      <c r="J1691" s="55"/>
      <c r="K1691" s="56"/>
      <c r="L1691" s="56"/>
      <c r="M1691" s="57"/>
      <c r="N1691" s="3"/>
      <c r="O1691" s="3"/>
      <c r="P1691" s="51"/>
      <c r="Q1691" s="5"/>
    </row>
    <row x14ac:dyDescent="0.25" r="1692" customHeight="1" ht="15.75">
      <c r="A1692" s="3"/>
      <c r="B1692" s="3"/>
      <c r="C1692" s="3"/>
      <c r="D1692" s="3"/>
      <c r="E1692" s="3"/>
      <c r="F1692" s="3"/>
      <c r="G1692" s="3"/>
      <c r="H1692" s="60"/>
      <c r="I1692" s="3"/>
      <c r="J1692" s="55"/>
      <c r="K1692" s="56"/>
      <c r="L1692" s="56"/>
      <c r="M1692" s="57"/>
      <c r="N1692" s="3"/>
      <c r="O1692" s="3"/>
      <c r="P1692" s="51"/>
      <c r="Q1692" s="5"/>
    </row>
    <row x14ac:dyDescent="0.25" r="1693" customHeight="1" ht="15.75">
      <c r="A1693" s="3"/>
      <c r="B1693" s="3"/>
      <c r="C1693" s="3"/>
      <c r="D1693" s="3"/>
      <c r="E1693" s="3"/>
      <c r="F1693" s="3"/>
      <c r="G1693" s="3"/>
      <c r="H1693" s="60"/>
      <c r="I1693" s="3"/>
      <c r="J1693" s="55"/>
      <c r="K1693" s="56"/>
      <c r="L1693" s="56"/>
      <c r="M1693" s="57"/>
      <c r="N1693" s="3"/>
      <c r="O1693" s="3"/>
      <c r="P1693" s="51"/>
      <c r="Q1693" s="5"/>
    </row>
    <row x14ac:dyDescent="0.25" r="1694" customHeight="1" ht="15.75">
      <c r="A1694" s="3"/>
      <c r="B1694" s="3"/>
      <c r="C1694" s="3"/>
      <c r="D1694" s="3"/>
      <c r="E1694" s="3"/>
      <c r="F1694" s="3"/>
      <c r="G1694" s="3"/>
      <c r="H1694" s="60"/>
      <c r="I1694" s="3"/>
      <c r="J1694" s="55"/>
      <c r="K1694" s="56"/>
      <c r="L1694" s="56"/>
      <c r="M1694" s="57"/>
      <c r="N1694" s="3"/>
      <c r="O1694" s="3"/>
      <c r="P1694" s="51"/>
      <c r="Q1694" s="5"/>
    </row>
    <row x14ac:dyDescent="0.25" r="1695" customHeight="1" ht="15.75">
      <c r="A1695" s="3"/>
      <c r="B1695" s="3"/>
      <c r="C1695" s="3"/>
      <c r="D1695" s="3"/>
      <c r="E1695" s="3"/>
      <c r="F1695" s="3"/>
      <c r="G1695" s="3"/>
      <c r="H1695" s="60"/>
      <c r="I1695" s="3"/>
      <c r="J1695" s="55"/>
      <c r="K1695" s="56"/>
      <c r="L1695" s="56"/>
      <c r="M1695" s="57"/>
      <c r="N1695" s="3"/>
      <c r="O1695" s="3"/>
      <c r="P1695" s="51"/>
      <c r="Q1695" s="5"/>
    </row>
    <row x14ac:dyDescent="0.25" r="1696" customHeight="1" ht="15.75">
      <c r="A1696" s="3"/>
      <c r="B1696" s="3"/>
      <c r="C1696" s="3"/>
      <c r="D1696" s="3"/>
      <c r="E1696" s="3"/>
      <c r="F1696" s="3"/>
      <c r="G1696" s="3"/>
      <c r="H1696" s="60"/>
      <c r="I1696" s="3"/>
      <c r="J1696" s="55"/>
      <c r="K1696" s="56"/>
      <c r="L1696" s="56"/>
      <c r="M1696" s="57"/>
      <c r="N1696" s="3"/>
      <c r="O1696" s="3"/>
      <c r="P1696" s="51"/>
      <c r="Q1696" s="5"/>
    </row>
    <row x14ac:dyDescent="0.25" r="1697" customHeight="1" ht="15.75">
      <c r="A1697" s="3"/>
      <c r="B1697" s="3"/>
      <c r="C1697" s="3"/>
      <c r="D1697" s="3"/>
      <c r="E1697" s="3"/>
      <c r="F1697" s="3"/>
      <c r="G1697" s="3"/>
      <c r="H1697" s="60"/>
      <c r="I1697" s="3"/>
      <c r="J1697" s="55"/>
      <c r="K1697" s="56"/>
      <c r="L1697" s="56"/>
      <c r="M1697" s="57"/>
      <c r="N1697" s="3"/>
      <c r="O1697" s="3"/>
      <c r="P1697" s="51"/>
      <c r="Q1697" s="5"/>
    </row>
    <row x14ac:dyDescent="0.25" r="1698" customHeight="1" ht="15.75">
      <c r="A1698" s="3"/>
      <c r="B1698" s="3"/>
      <c r="C1698" s="3"/>
      <c r="D1698" s="3"/>
      <c r="E1698" s="3"/>
      <c r="F1698" s="3"/>
      <c r="G1698" s="3"/>
      <c r="H1698" s="60"/>
      <c r="I1698" s="3"/>
      <c r="J1698" s="55"/>
      <c r="K1698" s="56"/>
      <c r="L1698" s="56"/>
      <c r="M1698" s="57"/>
      <c r="N1698" s="3"/>
      <c r="O1698" s="3"/>
      <c r="P1698" s="51"/>
      <c r="Q1698" s="5"/>
    </row>
    <row x14ac:dyDescent="0.25" r="1699" customHeight="1" ht="15.75">
      <c r="A1699" s="3"/>
      <c r="B1699" s="3"/>
      <c r="C1699" s="3"/>
      <c r="D1699" s="3"/>
      <c r="E1699" s="3"/>
      <c r="F1699" s="3"/>
      <c r="G1699" s="3"/>
      <c r="H1699" s="60"/>
      <c r="I1699" s="3"/>
      <c r="J1699" s="55"/>
      <c r="K1699" s="56"/>
      <c r="L1699" s="56"/>
      <c r="M1699" s="57"/>
      <c r="N1699" s="3"/>
      <c r="O1699" s="3"/>
      <c r="P1699" s="51"/>
      <c r="Q1699" s="5"/>
    </row>
    <row x14ac:dyDescent="0.25" r="1700" customHeight="1" ht="15.75">
      <c r="A1700" s="3"/>
      <c r="B1700" s="3"/>
      <c r="C1700" s="3"/>
      <c r="D1700" s="3"/>
      <c r="E1700" s="3"/>
      <c r="F1700" s="3"/>
      <c r="G1700" s="3"/>
      <c r="H1700" s="60"/>
      <c r="I1700" s="3"/>
      <c r="J1700" s="55"/>
      <c r="K1700" s="56"/>
      <c r="L1700" s="56"/>
      <c r="M1700" s="57"/>
      <c r="N1700" s="3"/>
      <c r="O1700" s="3"/>
      <c r="P1700" s="51"/>
      <c r="Q1700" s="5"/>
    </row>
    <row x14ac:dyDescent="0.25" r="1701" customHeight="1" ht="15.75">
      <c r="A1701" s="3"/>
      <c r="B1701" s="3"/>
      <c r="C1701" s="3"/>
      <c r="D1701" s="3"/>
      <c r="E1701" s="3"/>
      <c r="F1701" s="3"/>
      <c r="G1701" s="3"/>
      <c r="H1701" s="60"/>
      <c r="I1701" s="3"/>
      <c r="J1701" s="55"/>
      <c r="K1701" s="56"/>
      <c r="L1701" s="56"/>
      <c r="M1701" s="57"/>
      <c r="N1701" s="3"/>
      <c r="O1701" s="3"/>
      <c r="P1701" s="51"/>
      <c r="Q1701" s="5"/>
    </row>
    <row x14ac:dyDescent="0.25" r="1702" customHeight="1" ht="15.75">
      <c r="A1702" s="3"/>
      <c r="B1702" s="3"/>
      <c r="C1702" s="3"/>
      <c r="D1702" s="3"/>
      <c r="E1702" s="3"/>
      <c r="F1702" s="3"/>
      <c r="G1702" s="3"/>
      <c r="H1702" s="60"/>
      <c r="I1702" s="3"/>
      <c r="J1702" s="55"/>
      <c r="K1702" s="56"/>
      <c r="L1702" s="56"/>
      <c r="M1702" s="57"/>
      <c r="N1702" s="3"/>
      <c r="O1702" s="3"/>
      <c r="P1702" s="51"/>
      <c r="Q1702" s="5"/>
    </row>
    <row x14ac:dyDescent="0.25" r="1703" customHeight="1" ht="15.75">
      <c r="A1703" s="3"/>
      <c r="B1703" s="3"/>
      <c r="C1703" s="3"/>
      <c r="D1703" s="3"/>
      <c r="E1703" s="3"/>
      <c r="F1703" s="3"/>
      <c r="G1703" s="3"/>
      <c r="H1703" s="60"/>
      <c r="I1703" s="3"/>
      <c r="J1703" s="55"/>
      <c r="K1703" s="56"/>
      <c r="L1703" s="56"/>
      <c r="M1703" s="57"/>
      <c r="N1703" s="3"/>
      <c r="O1703" s="3"/>
      <c r="P1703" s="51"/>
      <c r="Q1703" s="5"/>
    </row>
    <row x14ac:dyDescent="0.25" r="1704" customHeight="1" ht="15.75">
      <c r="A1704" s="3"/>
      <c r="B1704" s="3"/>
      <c r="C1704" s="3"/>
      <c r="D1704" s="3"/>
      <c r="E1704" s="3"/>
      <c r="F1704" s="3"/>
      <c r="G1704" s="3"/>
      <c r="H1704" s="60"/>
      <c r="I1704" s="3"/>
      <c r="J1704" s="55"/>
      <c r="K1704" s="56"/>
      <c r="L1704" s="56"/>
      <c r="M1704" s="57"/>
      <c r="N1704" s="3"/>
      <c r="O1704" s="3"/>
      <c r="P1704" s="51"/>
      <c r="Q1704" s="5"/>
    </row>
    <row x14ac:dyDescent="0.25" r="1705" customHeight="1" ht="15.75">
      <c r="A1705" s="3"/>
      <c r="B1705" s="3"/>
      <c r="C1705" s="3"/>
      <c r="D1705" s="3"/>
      <c r="E1705" s="3"/>
      <c r="F1705" s="3"/>
      <c r="G1705" s="3"/>
      <c r="H1705" s="60"/>
      <c r="I1705" s="3"/>
      <c r="J1705" s="55"/>
      <c r="K1705" s="56"/>
      <c r="L1705" s="56"/>
      <c r="M1705" s="57"/>
      <c r="N1705" s="3"/>
      <c r="O1705" s="3"/>
      <c r="P1705" s="51"/>
      <c r="Q1705" s="5"/>
    </row>
    <row x14ac:dyDescent="0.25" r="1706" customHeight="1" ht="15.75">
      <c r="A1706" s="3"/>
      <c r="B1706" s="3"/>
      <c r="C1706" s="3"/>
      <c r="D1706" s="3"/>
      <c r="E1706" s="3"/>
      <c r="F1706" s="3"/>
      <c r="G1706" s="3"/>
      <c r="H1706" s="60"/>
      <c r="I1706" s="3"/>
      <c r="J1706" s="55"/>
      <c r="K1706" s="56"/>
      <c r="L1706" s="56"/>
      <c r="M1706" s="57"/>
      <c r="N1706" s="3"/>
      <c r="O1706" s="3"/>
      <c r="P1706" s="51"/>
      <c r="Q1706" s="5"/>
    </row>
    <row x14ac:dyDescent="0.25" r="1707" customHeight="1" ht="15.75">
      <c r="A1707" s="3"/>
      <c r="B1707" s="3"/>
      <c r="C1707" s="3"/>
      <c r="D1707" s="3"/>
      <c r="E1707" s="3"/>
      <c r="F1707" s="3"/>
      <c r="G1707" s="3"/>
      <c r="H1707" s="60"/>
      <c r="I1707" s="3"/>
      <c r="J1707" s="55"/>
      <c r="K1707" s="56"/>
      <c r="L1707" s="56"/>
      <c r="M1707" s="57"/>
      <c r="N1707" s="3"/>
      <c r="O1707" s="3"/>
      <c r="P1707" s="51"/>
      <c r="Q1707" s="5"/>
    </row>
    <row x14ac:dyDescent="0.25" r="1708" customHeight="1" ht="15.75">
      <c r="A1708" s="3"/>
      <c r="B1708" s="3"/>
      <c r="C1708" s="3"/>
      <c r="D1708" s="3"/>
      <c r="E1708" s="3"/>
      <c r="F1708" s="3"/>
      <c r="G1708" s="3"/>
      <c r="H1708" s="60"/>
      <c r="I1708" s="3"/>
      <c r="J1708" s="55"/>
      <c r="K1708" s="56"/>
      <c r="L1708" s="56"/>
      <c r="M1708" s="57"/>
      <c r="N1708" s="3"/>
      <c r="O1708" s="3"/>
      <c r="P1708" s="51"/>
      <c r="Q1708" s="5"/>
    </row>
    <row x14ac:dyDescent="0.25" r="1709" customHeight="1" ht="15.75">
      <c r="A1709" s="3"/>
      <c r="B1709" s="3"/>
      <c r="C1709" s="3"/>
      <c r="D1709" s="3"/>
      <c r="E1709" s="3"/>
      <c r="F1709" s="3"/>
      <c r="G1709" s="3"/>
      <c r="H1709" s="60"/>
      <c r="I1709" s="3"/>
      <c r="J1709" s="55"/>
      <c r="K1709" s="56"/>
      <c r="L1709" s="56"/>
      <c r="M1709" s="57"/>
      <c r="N1709" s="3"/>
      <c r="O1709" s="3"/>
      <c r="P1709" s="51"/>
      <c r="Q1709" s="5"/>
    </row>
    <row x14ac:dyDescent="0.25" r="1710" customHeight="1" ht="15.75">
      <c r="A1710" s="3"/>
      <c r="B1710" s="3"/>
      <c r="C1710" s="3"/>
      <c r="D1710" s="3"/>
      <c r="E1710" s="3"/>
      <c r="F1710" s="3"/>
      <c r="G1710" s="3"/>
      <c r="H1710" s="60"/>
      <c r="I1710" s="3"/>
      <c r="J1710" s="55"/>
      <c r="K1710" s="56"/>
      <c r="L1710" s="56"/>
      <c r="M1710" s="57"/>
      <c r="N1710" s="3"/>
      <c r="O1710" s="3"/>
      <c r="P1710" s="51"/>
      <c r="Q1710" s="5"/>
    </row>
    <row x14ac:dyDescent="0.25" r="1711" customHeight="1" ht="15.75">
      <c r="A1711" s="3"/>
      <c r="B1711" s="3"/>
      <c r="C1711" s="3"/>
      <c r="D1711" s="3"/>
      <c r="E1711" s="3"/>
      <c r="F1711" s="3"/>
      <c r="G1711" s="3"/>
      <c r="H1711" s="60"/>
      <c r="I1711" s="3"/>
      <c r="J1711" s="55"/>
      <c r="K1711" s="56"/>
      <c r="L1711" s="56"/>
      <c r="M1711" s="57"/>
      <c r="N1711" s="3"/>
      <c r="O1711" s="3"/>
      <c r="P1711" s="51"/>
      <c r="Q1711" s="5"/>
    </row>
    <row x14ac:dyDescent="0.25" r="1712" customHeight="1" ht="15.75">
      <c r="A1712" s="3"/>
      <c r="B1712" s="3"/>
      <c r="C1712" s="3"/>
      <c r="D1712" s="3"/>
      <c r="E1712" s="3"/>
      <c r="F1712" s="3"/>
      <c r="G1712" s="3"/>
      <c r="H1712" s="60"/>
      <c r="I1712" s="3"/>
      <c r="J1712" s="55"/>
      <c r="K1712" s="56"/>
      <c r="L1712" s="56"/>
      <c r="M1712" s="57"/>
      <c r="N1712" s="3"/>
      <c r="O1712" s="3"/>
      <c r="P1712" s="51"/>
      <c r="Q1712" s="5"/>
    </row>
    <row x14ac:dyDescent="0.25" r="1713" customHeight="1" ht="15.75">
      <c r="A1713" s="3"/>
      <c r="B1713" s="3"/>
      <c r="C1713" s="3"/>
      <c r="D1713" s="3"/>
      <c r="E1713" s="3"/>
      <c r="F1713" s="3"/>
      <c r="G1713" s="3"/>
      <c r="H1713" s="60"/>
      <c r="I1713" s="3"/>
      <c r="J1713" s="55"/>
      <c r="K1713" s="56"/>
      <c r="L1713" s="56"/>
      <c r="M1713" s="57"/>
      <c r="N1713" s="3"/>
      <c r="O1713" s="3"/>
      <c r="P1713" s="51"/>
      <c r="Q1713" s="5"/>
    </row>
    <row x14ac:dyDescent="0.25" r="1714" customHeight="1" ht="15.75">
      <c r="A1714" s="3"/>
      <c r="B1714" s="3"/>
      <c r="C1714" s="3"/>
      <c r="D1714" s="3"/>
      <c r="E1714" s="3"/>
      <c r="F1714" s="3"/>
      <c r="G1714" s="3"/>
      <c r="H1714" s="60"/>
      <c r="I1714" s="3"/>
      <c r="J1714" s="55"/>
      <c r="K1714" s="56"/>
      <c r="L1714" s="56"/>
      <c r="M1714" s="57"/>
      <c r="N1714" s="3"/>
      <c r="O1714" s="3"/>
      <c r="P1714" s="51"/>
      <c r="Q1714" s="5"/>
    </row>
    <row x14ac:dyDescent="0.25" r="1715" customHeight="1" ht="15.75">
      <c r="A1715" s="3"/>
      <c r="B1715" s="3"/>
      <c r="C1715" s="3"/>
      <c r="D1715" s="3"/>
      <c r="E1715" s="3"/>
      <c r="F1715" s="3"/>
      <c r="G1715" s="3"/>
      <c r="H1715" s="60"/>
      <c r="I1715" s="3"/>
      <c r="J1715" s="55"/>
      <c r="K1715" s="56"/>
      <c r="L1715" s="56"/>
      <c r="M1715" s="57"/>
      <c r="N1715" s="3"/>
      <c r="O1715" s="3"/>
      <c r="P1715" s="51"/>
      <c r="Q1715" s="5"/>
    </row>
    <row x14ac:dyDescent="0.25" r="1716" customHeight="1" ht="15.75">
      <c r="A1716" s="3"/>
      <c r="B1716" s="3"/>
      <c r="C1716" s="3"/>
      <c r="D1716" s="3"/>
      <c r="E1716" s="3"/>
      <c r="F1716" s="3"/>
      <c r="G1716" s="3"/>
      <c r="H1716" s="60"/>
      <c r="I1716" s="3"/>
      <c r="J1716" s="55"/>
      <c r="K1716" s="56"/>
      <c r="L1716" s="56"/>
      <c r="M1716" s="57"/>
      <c r="N1716" s="3"/>
      <c r="O1716" s="3"/>
      <c r="P1716" s="51"/>
      <c r="Q1716" s="5"/>
    </row>
    <row x14ac:dyDescent="0.25" r="1717" customHeight="1" ht="15.75">
      <c r="A1717" s="3"/>
      <c r="B1717" s="3"/>
      <c r="C1717" s="3"/>
      <c r="D1717" s="3"/>
      <c r="E1717" s="3"/>
      <c r="F1717" s="3"/>
      <c r="G1717" s="3"/>
      <c r="H1717" s="60"/>
      <c r="I1717" s="3"/>
      <c r="J1717" s="55"/>
      <c r="K1717" s="56"/>
      <c r="L1717" s="56"/>
      <c r="M1717" s="57"/>
      <c r="N1717" s="3"/>
      <c r="O1717" s="3"/>
      <c r="P1717" s="51"/>
      <c r="Q1717" s="5"/>
    </row>
    <row x14ac:dyDescent="0.25" r="1718" customHeight="1" ht="15.75">
      <c r="A1718" s="3"/>
      <c r="B1718" s="3"/>
      <c r="C1718" s="3"/>
      <c r="D1718" s="3"/>
      <c r="E1718" s="3"/>
      <c r="F1718" s="3"/>
      <c r="G1718" s="3"/>
      <c r="H1718" s="60"/>
      <c r="I1718" s="3"/>
      <c r="J1718" s="55"/>
      <c r="K1718" s="56"/>
      <c r="L1718" s="56"/>
      <c r="M1718" s="57"/>
      <c r="N1718" s="3"/>
      <c r="O1718" s="3"/>
      <c r="P1718" s="51"/>
      <c r="Q1718" s="5"/>
    </row>
    <row x14ac:dyDescent="0.25" r="1719" customHeight="1" ht="15.75">
      <c r="A1719" s="3"/>
      <c r="B1719" s="3"/>
      <c r="C1719" s="3"/>
      <c r="D1719" s="3"/>
      <c r="E1719" s="3"/>
      <c r="F1719" s="3"/>
      <c r="G1719" s="3"/>
      <c r="H1719" s="60"/>
      <c r="I1719" s="3"/>
      <c r="J1719" s="55"/>
      <c r="K1719" s="56"/>
      <c r="L1719" s="56"/>
      <c r="M1719" s="57"/>
      <c r="N1719" s="3"/>
      <c r="O1719" s="3"/>
      <c r="P1719" s="51"/>
      <c r="Q1719" s="5"/>
    </row>
    <row x14ac:dyDescent="0.25" r="1720" customHeight="1" ht="15.75">
      <c r="A1720" s="3"/>
      <c r="B1720" s="3"/>
      <c r="C1720" s="3"/>
      <c r="D1720" s="3"/>
      <c r="E1720" s="3"/>
      <c r="F1720" s="3"/>
      <c r="G1720" s="3"/>
      <c r="H1720" s="60"/>
      <c r="I1720" s="3"/>
      <c r="J1720" s="55"/>
      <c r="K1720" s="56"/>
      <c r="L1720" s="56"/>
      <c r="M1720" s="57"/>
      <c r="N1720" s="3"/>
      <c r="O1720" s="3"/>
      <c r="P1720" s="51"/>
      <c r="Q1720" s="5"/>
    </row>
    <row x14ac:dyDescent="0.25" r="1721" customHeight="1" ht="15.75">
      <c r="A1721" s="3"/>
      <c r="B1721" s="3"/>
      <c r="C1721" s="3"/>
      <c r="D1721" s="3"/>
      <c r="E1721" s="3"/>
      <c r="F1721" s="3"/>
      <c r="G1721" s="3"/>
      <c r="H1721" s="60"/>
      <c r="I1721" s="3"/>
      <c r="J1721" s="55"/>
      <c r="K1721" s="56"/>
      <c r="L1721" s="56"/>
      <c r="M1721" s="57"/>
      <c r="N1721" s="3"/>
      <c r="O1721" s="3"/>
      <c r="P1721" s="51"/>
      <c r="Q1721" s="5"/>
    </row>
    <row x14ac:dyDescent="0.25" r="1722" customHeight="1" ht="15.75">
      <c r="A1722" s="3"/>
      <c r="B1722" s="3"/>
      <c r="C1722" s="3"/>
      <c r="D1722" s="3"/>
      <c r="E1722" s="3"/>
      <c r="F1722" s="3"/>
      <c r="G1722" s="3"/>
      <c r="H1722" s="60"/>
      <c r="I1722" s="3"/>
      <c r="J1722" s="55"/>
      <c r="K1722" s="56"/>
      <c r="L1722" s="56"/>
      <c r="M1722" s="57"/>
      <c r="N1722" s="3"/>
      <c r="O1722" s="3"/>
      <c r="P1722" s="51"/>
      <c r="Q1722" s="5"/>
    </row>
    <row x14ac:dyDescent="0.25" r="1723" customHeight="1" ht="15.75">
      <c r="A1723" s="3"/>
      <c r="B1723" s="3"/>
      <c r="C1723" s="3"/>
      <c r="D1723" s="3"/>
      <c r="E1723" s="3"/>
      <c r="F1723" s="3"/>
      <c r="G1723" s="3"/>
      <c r="H1723" s="60"/>
      <c r="I1723" s="3"/>
      <c r="J1723" s="55"/>
      <c r="K1723" s="56"/>
      <c r="L1723" s="56"/>
      <c r="M1723" s="57"/>
      <c r="N1723" s="3"/>
      <c r="O1723" s="3"/>
      <c r="P1723" s="51"/>
      <c r="Q1723" s="5"/>
    </row>
    <row x14ac:dyDescent="0.25" r="1724" customHeight="1" ht="15.75">
      <c r="A1724" s="3"/>
      <c r="B1724" s="3"/>
      <c r="C1724" s="3"/>
      <c r="D1724" s="3"/>
      <c r="E1724" s="3"/>
      <c r="F1724" s="3"/>
      <c r="G1724" s="3"/>
      <c r="H1724" s="60"/>
      <c r="I1724" s="3"/>
      <c r="J1724" s="55"/>
      <c r="K1724" s="56"/>
      <c r="L1724" s="56"/>
      <c r="M1724" s="57"/>
      <c r="N1724" s="3"/>
      <c r="O1724" s="3"/>
      <c r="P1724" s="51"/>
      <c r="Q1724" s="5"/>
    </row>
    <row x14ac:dyDescent="0.25" r="1725" customHeight="1" ht="15.75">
      <c r="A1725" s="3"/>
      <c r="B1725" s="3"/>
      <c r="C1725" s="3"/>
      <c r="D1725" s="3"/>
      <c r="E1725" s="3"/>
      <c r="F1725" s="3"/>
      <c r="G1725" s="3"/>
      <c r="H1725" s="60"/>
      <c r="I1725" s="3"/>
      <c r="J1725" s="55"/>
      <c r="K1725" s="56"/>
      <c r="L1725" s="56"/>
      <c r="M1725" s="57"/>
      <c r="N1725" s="3"/>
      <c r="O1725" s="3"/>
      <c r="P1725" s="51"/>
      <c r="Q1725" s="5"/>
    </row>
    <row x14ac:dyDescent="0.25" r="1726" customHeight="1" ht="15.75">
      <c r="A1726" s="3"/>
      <c r="B1726" s="3"/>
      <c r="C1726" s="3"/>
      <c r="D1726" s="3"/>
      <c r="E1726" s="3"/>
      <c r="F1726" s="3"/>
      <c r="G1726" s="3"/>
      <c r="H1726" s="60"/>
      <c r="I1726" s="3"/>
      <c r="J1726" s="55"/>
      <c r="K1726" s="56"/>
      <c r="L1726" s="56"/>
      <c r="M1726" s="57"/>
      <c r="N1726" s="3"/>
      <c r="O1726" s="3"/>
      <c r="P1726" s="51"/>
      <c r="Q1726" s="5"/>
    </row>
    <row x14ac:dyDescent="0.25" r="1727" customHeight="1" ht="15.75">
      <c r="A1727" s="3"/>
      <c r="B1727" s="3"/>
      <c r="C1727" s="3"/>
      <c r="D1727" s="3"/>
      <c r="E1727" s="3"/>
      <c r="F1727" s="3"/>
      <c r="G1727" s="3"/>
      <c r="H1727" s="60"/>
      <c r="I1727" s="3"/>
      <c r="J1727" s="55"/>
      <c r="K1727" s="56"/>
      <c r="L1727" s="56"/>
      <c r="M1727" s="57"/>
      <c r="N1727" s="3"/>
      <c r="O1727" s="3"/>
      <c r="P1727" s="51"/>
      <c r="Q1727" s="5"/>
    </row>
    <row x14ac:dyDescent="0.25" r="1728" customHeight="1" ht="15.75">
      <c r="A1728" s="3"/>
      <c r="B1728" s="3"/>
      <c r="C1728" s="3"/>
      <c r="D1728" s="3"/>
      <c r="E1728" s="3"/>
      <c r="F1728" s="3"/>
      <c r="G1728" s="3"/>
      <c r="H1728" s="60"/>
      <c r="I1728" s="3"/>
      <c r="J1728" s="55"/>
      <c r="K1728" s="56"/>
      <c r="L1728" s="56"/>
      <c r="M1728" s="57"/>
      <c r="N1728" s="3"/>
      <c r="O1728" s="3"/>
      <c r="P1728" s="51"/>
      <c r="Q1728" s="5"/>
    </row>
    <row x14ac:dyDescent="0.25" r="1729" customHeight="1" ht="15.75">
      <c r="A1729" s="3"/>
      <c r="B1729" s="3"/>
      <c r="C1729" s="3"/>
      <c r="D1729" s="3"/>
      <c r="E1729" s="3"/>
      <c r="F1729" s="3"/>
      <c r="G1729" s="3"/>
      <c r="H1729" s="60"/>
      <c r="I1729" s="3"/>
      <c r="J1729" s="55"/>
      <c r="K1729" s="56"/>
      <c r="L1729" s="56"/>
      <c r="M1729" s="57"/>
      <c r="N1729" s="3"/>
      <c r="O1729" s="3"/>
      <c r="P1729" s="51"/>
      <c r="Q1729" s="5"/>
    </row>
    <row x14ac:dyDescent="0.25" r="1730" customHeight="1" ht="15.75">
      <c r="A1730" s="3"/>
      <c r="B1730" s="3"/>
      <c r="C1730" s="3"/>
      <c r="D1730" s="3"/>
      <c r="E1730" s="3"/>
      <c r="F1730" s="3"/>
      <c r="G1730" s="3"/>
      <c r="H1730" s="60"/>
      <c r="I1730" s="3"/>
      <c r="J1730" s="55"/>
      <c r="K1730" s="56"/>
      <c r="L1730" s="56"/>
      <c r="M1730" s="57"/>
      <c r="N1730" s="3"/>
      <c r="O1730" s="3"/>
      <c r="P1730" s="51"/>
      <c r="Q1730" s="5"/>
    </row>
    <row x14ac:dyDescent="0.25" r="1731" customHeight="1" ht="15.75">
      <c r="A1731" s="3"/>
      <c r="B1731" s="3"/>
      <c r="C1731" s="3"/>
      <c r="D1731" s="3"/>
      <c r="E1731" s="3"/>
      <c r="F1731" s="3"/>
      <c r="G1731" s="3"/>
      <c r="H1731" s="60"/>
      <c r="I1731" s="3"/>
      <c r="J1731" s="55"/>
      <c r="K1731" s="56"/>
      <c r="L1731" s="56"/>
      <c r="M1731" s="57"/>
      <c r="N1731" s="3"/>
      <c r="O1731" s="3"/>
      <c r="P1731" s="51"/>
      <c r="Q1731" s="5"/>
    </row>
    <row x14ac:dyDescent="0.25" r="1732" customHeight="1" ht="15.75">
      <c r="A1732" s="3"/>
      <c r="B1732" s="3"/>
      <c r="C1732" s="3"/>
      <c r="D1732" s="3"/>
      <c r="E1732" s="3"/>
      <c r="F1732" s="3"/>
      <c r="G1732" s="3"/>
      <c r="H1732" s="60"/>
      <c r="I1732" s="3"/>
      <c r="J1732" s="55"/>
      <c r="K1732" s="56"/>
      <c r="L1732" s="56"/>
      <c r="M1732" s="57"/>
      <c r="N1732" s="3"/>
      <c r="O1732" s="3"/>
      <c r="P1732" s="51"/>
      <c r="Q1732" s="5"/>
    </row>
    <row x14ac:dyDescent="0.25" r="1733" customHeight="1" ht="15.75">
      <c r="A1733" s="3"/>
      <c r="B1733" s="3"/>
      <c r="C1733" s="3"/>
      <c r="D1733" s="3"/>
      <c r="E1733" s="3"/>
      <c r="F1733" s="3"/>
      <c r="G1733" s="3"/>
      <c r="H1733" s="60"/>
      <c r="I1733" s="3"/>
      <c r="J1733" s="55"/>
      <c r="K1733" s="56"/>
      <c r="L1733" s="56"/>
      <c r="M1733" s="57"/>
      <c r="N1733" s="3"/>
      <c r="O1733" s="3"/>
      <c r="P1733" s="51"/>
      <c r="Q1733" s="5"/>
    </row>
    <row x14ac:dyDescent="0.25" r="1734" customHeight="1" ht="15.75">
      <c r="A1734" s="3"/>
      <c r="B1734" s="3"/>
      <c r="C1734" s="3"/>
      <c r="D1734" s="3"/>
      <c r="E1734" s="3"/>
      <c r="F1734" s="3"/>
      <c r="G1734" s="3"/>
      <c r="H1734" s="60"/>
      <c r="I1734" s="3"/>
      <c r="J1734" s="55"/>
      <c r="K1734" s="56"/>
      <c r="L1734" s="56"/>
      <c r="M1734" s="57"/>
      <c r="N1734" s="3"/>
      <c r="O1734" s="3"/>
      <c r="P1734" s="51"/>
      <c r="Q1734" s="5"/>
    </row>
    <row x14ac:dyDescent="0.25" r="1735" customHeight="1" ht="15.75">
      <c r="A1735" s="3"/>
      <c r="B1735" s="3"/>
      <c r="C1735" s="3"/>
      <c r="D1735" s="3"/>
      <c r="E1735" s="3"/>
      <c r="F1735" s="3"/>
      <c r="G1735" s="3"/>
      <c r="H1735" s="60"/>
      <c r="I1735" s="3"/>
      <c r="J1735" s="55"/>
      <c r="K1735" s="56"/>
      <c r="L1735" s="56"/>
      <c r="M1735" s="57"/>
      <c r="N1735" s="3"/>
      <c r="O1735" s="3"/>
      <c r="P1735" s="51"/>
      <c r="Q1735" s="5"/>
    </row>
    <row x14ac:dyDescent="0.25" r="1736" customHeight="1" ht="15.75">
      <c r="A1736" s="3"/>
      <c r="B1736" s="3"/>
      <c r="C1736" s="3"/>
      <c r="D1736" s="3"/>
      <c r="E1736" s="3"/>
      <c r="F1736" s="3"/>
      <c r="G1736" s="3"/>
      <c r="H1736" s="60"/>
      <c r="I1736" s="3"/>
      <c r="J1736" s="55"/>
      <c r="K1736" s="56"/>
      <c r="L1736" s="56"/>
      <c r="M1736" s="57"/>
      <c r="N1736" s="3"/>
      <c r="O1736" s="3"/>
      <c r="P1736" s="51"/>
      <c r="Q1736" s="5"/>
    </row>
    <row x14ac:dyDescent="0.25" r="1737" customHeight="1" ht="15.75">
      <c r="A1737" s="3"/>
      <c r="B1737" s="3"/>
      <c r="C1737" s="3"/>
      <c r="D1737" s="3"/>
      <c r="E1737" s="3"/>
      <c r="F1737" s="3"/>
      <c r="G1737" s="3"/>
      <c r="H1737" s="60"/>
      <c r="I1737" s="3"/>
      <c r="J1737" s="55"/>
      <c r="K1737" s="56"/>
      <c r="L1737" s="56"/>
      <c r="M1737" s="57"/>
      <c r="N1737" s="3"/>
      <c r="O1737" s="3"/>
      <c r="P1737" s="51"/>
      <c r="Q1737" s="5"/>
    </row>
    <row x14ac:dyDescent="0.25" r="1738" customHeight="1" ht="15.75">
      <c r="A1738" s="3"/>
      <c r="B1738" s="3"/>
      <c r="C1738" s="3"/>
      <c r="D1738" s="3"/>
      <c r="E1738" s="3"/>
      <c r="F1738" s="3"/>
      <c r="G1738" s="3"/>
      <c r="H1738" s="60"/>
      <c r="I1738" s="3"/>
      <c r="J1738" s="55"/>
      <c r="K1738" s="56"/>
      <c r="L1738" s="56"/>
      <c r="M1738" s="57"/>
      <c r="N1738" s="3"/>
      <c r="O1738" s="3"/>
      <c r="P1738" s="51"/>
      <c r="Q1738" s="5"/>
    </row>
    <row x14ac:dyDescent="0.25" r="1739" customHeight="1" ht="15.75">
      <c r="A1739" s="3"/>
      <c r="B1739" s="3"/>
      <c r="C1739" s="3"/>
      <c r="D1739" s="3"/>
      <c r="E1739" s="3"/>
      <c r="F1739" s="3"/>
      <c r="G1739" s="3"/>
      <c r="H1739" s="60"/>
      <c r="I1739" s="3"/>
      <c r="J1739" s="55"/>
      <c r="K1739" s="56"/>
      <c r="L1739" s="56"/>
      <c r="M1739" s="57"/>
      <c r="N1739" s="3"/>
      <c r="O1739" s="3"/>
      <c r="P1739" s="51"/>
      <c r="Q1739" s="5"/>
    </row>
    <row x14ac:dyDescent="0.25" r="1740" customHeight="1" ht="15.75">
      <c r="A1740" s="3"/>
      <c r="B1740" s="3"/>
      <c r="C1740" s="3"/>
      <c r="D1740" s="3"/>
      <c r="E1740" s="3"/>
      <c r="F1740" s="3"/>
      <c r="G1740" s="3"/>
      <c r="H1740" s="60"/>
      <c r="I1740" s="3"/>
      <c r="J1740" s="55"/>
      <c r="K1740" s="56"/>
      <c r="L1740" s="56"/>
      <c r="M1740" s="57"/>
      <c r="N1740" s="3"/>
      <c r="O1740" s="3"/>
      <c r="P1740" s="51"/>
      <c r="Q1740" s="5"/>
    </row>
    <row x14ac:dyDescent="0.25" r="1741" customHeight="1" ht="15.75">
      <c r="A1741" s="3"/>
      <c r="B1741" s="3"/>
      <c r="C1741" s="3"/>
      <c r="D1741" s="3"/>
      <c r="E1741" s="3"/>
      <c r="F1741" s="3"/>
      <c r="G1741" s="3"/>
      <c r="H1741" s="60"/>
      <c r="I1741" s="3"/>
      <c r="J1741" s="55"/>
      <c r="K1741" s="56"/>
      <c r="L1741" s="56"/>
      <c r="M1741" s="57"/>
      <c r="N1741" s="3"/>
      <c r="O1741" s="3"/>
      <c r="P1741" s="51"/>
      <c r="Q1741" s="5"/>
    </row>
    <row x14ac:dyDescent="0.25" r="1742" customHeight="1" ht="15.75">
      <c r="A1742" s="3"/>
      <c r="B1742" s="3"/>
      <c r="C1742" s="3"/>
      <c r="D1742" s="3"/>
      <c r="E1742" s="3"/>
      <c r="F1742" s="3"/>
      <c r="G1742" s="3"/>
      <c r="H1742" s="60"/>
      <c r="I1742" s="3"/>
      <c r="J1742" s="55"/>
      <c r="K1742" s="56"/>
      <c r="L1742" s="56"/>
      <c r="M1742" s="57"/>
      <c r="N1742" s="3"/>
      <c r="O1742" s="3"/>
      <c r="P1742" s="51"/>
      <c r="Q1742" s="5"/>
    </row>
    <row x14ac:dyDescent="0.25" r="1743" customHeight="1" ht="15.75">
      <c r="A1743" s="3"/>
      <c r="B1743" s="3"/>
      <c r="C1743" s="3"/>
      <c r="D1743" s="3"/>
      <c r="E1743" s="3"/>
      <c r="F1743" s="3"/>
      <c r="G1743" s="3"/>
      <c r="H1743" s="60"/>
      <c r="I1743" s="3"/>
      <c r="J1743" s="55"/>
      <c r="K1743" s="56"/>
      <c r="L1743" s="56"/>
      <c r="M1743" s="57"/>
      <c r="N1743" s="3"/>
      <c r="O1743" s="3"/>
      <c r="P1743" s="51"/>
      <c r="Q1743" s="5"/>
    </row>
    <row x14ac:dyDescent="0.25" r="1744" customHeight="1" ht="15.75">
      <c r="A1744" s="3"/>
      <c r="B1744" s="3"/>
      <c r="C1744" s="3"/>
      <c r="D1744" s="3"/>
      <c r="E1744" s="3"/>
      <c r="F1744" s="3"/>
      <c r="G1744" s="3"/>
      <c r="H1744" s="60"/>
      <c r="I1744" s="3"/>
      <c r="J1744" s="55"/>
      <c r="K1744" s="56"/>
      <c r="L1744" s="56"/>
      <c r="M1744" s="57"/>
      <c r="N1744" s="3"/>
      <c r="O1744" s="3"/>
      <c r="P1744" s="51"/>
      <c r="Q1744" s="5"/>
    </row>
    <row x14ac:dyDescent="0.25" r="1745" customHeight="1" ht="15.75">
      <c r="A1745" s="3"/>
      <c r="B1745" s="3"/>
      <c r="C1745" s="3"/>
      <c r="D1745" s="3"/>
      <c r="E1745" s="3"/>
      <c r="F1745" s="3"/>
      <c r="G1745" s="3"/>
      <c r="H1745" s="60"/>
      <c r="I1745" s="3"/>
      <c r="J1745" s="55"/>
      <c r="K1745" s="56"/>
      <c r="L1745" s="56"/>
      <c r="M1745" s="57"/>
      <c r="N1745" s="3"/>
      <c r="O1745" s="3"/>
      <c r="P1745" s="51"/>
      <c r="Q1745" s="5"/>
    </row>
    <row x14ac:dyDescent="0.25" r="1746" customHeight="1" ht="15.75">
      <c r="A1746" s="3"/>
      <c r="B1746" s="3"/>
      <c r="C1746" s="3"/>
      <c r="D1746" s="3"/>
      <c r="E1746" s="3"/>
      <c r="F1746" s="3"/>
      <c r="G1746" s="3"/>
      <c r="H1746" s="60"/>
      <c r="I1746" s="3"/>
      <c r="J1746" s="55"/>
      <c r="K1746" s="56"/>
      <c r="L1746" s="56"/>
      <c r="M1746" s="57"/>
      <c r="N1746" s="3"/>
      <c r="O1746" s="3"/>
      <c r="P1746" s="51"/>
      <c r="Q1746" s="5"/>
    </row>
    <row x14ac:dyDescent="0.25" r="1747" customHeight="1" ht="15.75">
      <c r="A1747" s="3"/>
      <c r="B1747" s="3"/>
      <c r="C1747" s="3"/>
      <c r="D1747" s="3"/>
      <c r="E1747" s="3"/>
      <c r="F1747" s="3"/>
      <c r="G1747" s="3"/>
      <c r="H1747" s="60"/>
      <c r="I1747" s="3"/>
      <c r="J1747" s="55"/>
      <c r="K1747" s="56"/>
      <c r="L1747" s="56"/>
      <c r="M1747" s="57"/>
      <c r="N1747" s="3"/>
      <c r="O1747" s="3"/>
      <c r="P1747" s="51"/>
      <c r="Q1747" s="5"/>
    </row>
    <row x14ac:dyDescent="0.25" r="1748" customHeight="1" ht="15.75">
      <c r="A1748" s="3"/>
      <c r="B1748" s="3"/>
      <c r="C1748" s="3"/>
      <c r="D1748" s="3"/>
      <c r="E1748" s="3"/>
      <c r="F1748" s="3"/>
      <c r="G1748" s="3"/>
      <c r="H1748" s="60"/>
      <c r="I1748" s="3"/>
      <c r="J1748" s="55"/>
      <c r="K1748" s="56"/>
      <c r="L1748" s="56"/>
      <c r="M1748" s="57"/>
      <c r="N1748" s="3"/>
      <c r="O1748" s="3"/>
      <c r="P1748" s="51"/>
      <c r="Q1748" s="5"/>
    </row>
    <row x14ac:dyDescent="0.25" r="1749" customHeight="1" ht="15.75">
      <c r="A1749" s="3"/>
      <c r="B1749" s="3"/>
      <c r="C1749" s="3"/>
      <c r="D1749" s="3"/>
      <c r="E1749" s="3"/>
      <c r="F1749" s="3"/>
      <c r="G1749" s="3"/>
      <c r="H1749" s="60"/>
      <c r="I1749" s="3"/>
      <c r="J1749" s="55"/>
      <c r="K1749" s="56"/>
      <c r="L1749" s="56"/>
      <c r="M1749" s="57"/>
      <c r="N1749" s="3"/>
      <c r="O1749" s="3"/>
      <c r="P1749" s="51"/>
      <c r="Q1749" s="5"/>
    </row>
    <row x14ac:dyDescent="0.25" r="1750" customHeight="1" ht="15.75">
      <c r="A1750" s="3"/>
      <c r="B1750" s="3"/>
      <c r="C1750" s="3"/>
      <c r="D1750" s="3"/>
      <c r="E1750" s="3"/>
      <c r="F1750" s="3"/>
      <c r="G1750" s="3"/>
      <c r="H1750" s="60"/>
      <c r="I1750" s="3"/>
      <c r="J1750" s="55"/>
      <c r="K1750" s="56"/>
      <c r="L1750" s="56"/>
      <c r="M1750" s="57"/>
      <c r="N1750" s="3"/>
      <c r="O1750" s="3"/>
      <c r="P1750" s="51"/>
      <c r="Q1750" s="5"/>
    </row>
    <row x14ac:dyDescent="0.25" r="1751" customHeight="1" ht="15.75">
      <c r="A1751" s="3"/>
      <c r="B1751" s="3"/>
      <c r="C1751" s="3"/>
      <c r="D1751" s="3"/>
      <c r="E1751" s="3"/>
      <c r="F1751" s="3"/>
      <c r="G1751" s="3"/>
      <c r="H1751" s="60"/>
      <c r="I1751" s="3"/>
      <c r="J1751" s="55"/>
      <c r="K1751" s="56"/>
      <c r="L1751" s="56"/>
      <c r="M1751" s="57"/>
      <c r="N1751" s="3"/>
      <c r="O1751" s="3"/>
      <c r="P1751" s="51"/>
      <c r="Q1751" s="5"/>
    </row>
    <row x14ac:dyDescent="0.25" r="1752" customHeight="1" ht="15.75">
      <c r="A1752" s="3"/>
      <c r="B1752" s="3"/>
      <c r="C1752" s="3"/>
      <c r="D1752" s="3"/>
      <c r="E1752" s="3"/>
      <c r="F1752" s="3"/>
      <c r="G1752" s="3"/>
      <c r="H1752" s="60"/>
      <c r="I1752" s="3"/>
      <c r="J1752" s="55"/>
      <c r="K1752" s="56"/>
      <c r="L1752" s="56"/>
      <c r="M1752" s="57"/>
      <c r="N1752" s="3"/>
      <c r="O1752" s="3"/>
      <c r="P1752" s="51"/>
      <c r="Q1752" s="5"/>
    </row>
    <row x14ac:dyDescent="0.25" r="1753" customHeight="1" ht="15.75">
      <c r="A1753" s="3"/>
      <c r="B1753" s="3"/>
      <c r="C1753" s="3"/>
      <c r="D1753" s="3"/>
      <c r="E1753" s="3"/>
      <c r="F1753" s="3"/>
      <c r="G1753" s="3"/>
      <c r="H1753" s="60"/>
      <c r="I1753" s="3"/>
      <c r="J1753" s="55"/>
      <c r="K1753" s="56"/>
      <c r="L1753" s="56"/>
      <c r="M1753" s="57"/>
      <c r="N1753" s="3"/>
      <c r="O1753" s="3"/>
      <c r="P1753" s="51"/>
      <c r="Q1753" s="5"/>
    </row>
    <row x14ac:dyDescent="0.25" r="1754" customHeight="1" ht="15.75">
      <c r="A1754" s="3"/>
      <c r="B1754" s="3"/>
      <c r="C1754" s="3"/>
      <c r="D1754" s="3"/>
      <c r="E1754" s="3"/>
      <c r="F1754" s="3"/>
      <c r="G1754" s="3"/>
      <c r="H1754" s="60"/>
      <c r="I1754" s="3"/>
      <c r="J1754" s="55"/>
      <c r="K1754" s="56"/>
      <c r="L1754" s="56"/>
      <c r="M1754" s="57"/>
      <c r="N1754" s="3"/>
      <c r="O1754" s="3"/>
      <c r="P1754" s="51"/>
      <c r="Q1754" s="5"/>
    </row>
    <row x14ac:dyDescent="0.25" r="1755" customHeight="1" ht="15.75">
      <c r="A1755" s="3"/>
      <c r="B1755" s="3"/>
      <c r="C1755" s="3"/>
      <c r="D1755" s="3"/>
      <c r="E1755" s="3"/>
      <c r="F1755" s="3"/>
      <c r="G1755" s="3"/>
      <c r="H1755" s="60"/>
      <c r="I1755" s="3"/>
      <c r="J1755" s="55"/>
      <c r="K1755" s="56"/>
      <c r="L1755" s="56"/>
      <c r="M1755" s="57"/>
      <c r="N1755" s="3"/>
      <c r="O1755" s="3"/>
      <c r="P1755" s="51"/>
      <c r="Q1755" s="5"/>
    </row>
    <row x14ac:dyDescent="0.25" r="1756" customHeight="1" ht="15.75">
      <c r="A1756" s="3"/>
      <c r="B1756" s="3"/>
      <c r="C1756" s="3"/>
      <c r="D1756" s="3"/>
      <c r="E1756" s="3"/>
      <c r="F1756" s="3"/>
      <c r="G1756" s="3"/>
      <c r="H1756" s="60"/>
      <c r="I1756" s="3"/>
      <c r="J1756" s="55"/>
      <c r="K1756" s="56"/>
      <c r="L1756" s="56"/>
      <c r="M1756" s="57"/>
      <c r="N1756" s="3"/>
      <c r="O1756" s="3"/>
      <c r="P1756" s="51"/>
      <c r="Q1756" s="5"/>
    </row>
    <row x14ac:dyDescent="0.25" r="1757" customHeight="1" ht="15.75">
      <c r="A1757" s="3"/>
      <c r="B1757" s="3"/>
      <c r="C1757" s="3"/>
      <c r="D1757" s="3"/>
      <c r="E1757" s="3"/>
      <c r="F1757" s="3"/>
      <c r="G1757" s="3"/>
      <c r="H1757" s="60"/>
      <c r="I1757" s="3"/>
      <c r="J1757" s="55"/>
      <c r="K1757" s="56"/>
      <c r="L1757" s="56"/>
      <c r="M1757" s="57"/>
      <c r="N1757" s="3"/>
      <c r="O1757" s="3"/>
      <c r="P1757" s="51"/>
      <c r="Q1757" s="5"/>
    </row>
    <row x14ac:dyDescent="0.25" r="1758" customHeight="1" ht="15.75">
      <c r="A1758" s="3"/>
      <c r="B1758" s="3"/>
      <c r="C1758" s="3"/>
      <c r="D1758" s="3"/>
      <c r="E1758" s="3"/>
      <c r="F1758" s="3"/>
      <c r="G1758" s="3"/>
      <c r="H1758" s="60"/>
      <c r="I1758" s="3"/>
      <c r="J1758" s="55"/>
      <c r="K1758" s="56"/>
      <c r="L1758" s="56"/>
      <c r="M1758" s="57"/>
      <c r="N1758" s="3"/>
      <c r="O1758" s="3"/>
      <c r="P1758" s="51"/>
      <c r="Q1758" s="5"/>
    </row>
    <row x14ac:dyDescent="0.25" r="1759" customHeight="1" ht="15.75">
      <c r="A1759" s="3"/>
      <c r="B1759" s="3"/>
      <c r="C1759" s="3"/>
      <c r="D1759" s="3"/>
      <c r="E1759" s="3"/>
      <c r="F1759" s="3"/>
      <c r="G1759" s="3"/>
      <c r="H1759" s="60"/>
      <c r="I1759" s="3"/>
      <c r="J1759" s="55"/>
      <c r="K1759" s="56"/>
      <c r="L1759" s="56"/>
      <c r="M1759" s="57"/>
      <c r="N1759" s="3"/>
      <c r="O1759" s="3"/>
      <c r="P1759" s="51"/>
      <c r="Q1759" s="5"/>
    </row>
    <row x14ac:dyDescent="0.25" r="1760" customHeight="1" ht="15.75">
      <c r="A1760" s="3"/>
      <c r="B1760" s="3"/>
      <c r="C1760" s="3"/>
      <c r="D1760" s="3"/>
      <c r="E1760" s="3"/>
      <c r="F1760" s="3"/>
      <c r="G1760" s="3"/>
      <c r="H1760" s="60"/>
      <c r="I1760" s="3"/>
      <c r="J1760" s="55"/>
      <c r="K1760" s="56"/>
      <c r="L1760" s="56"/>
      <c r="M1760" s="57"/>
      <c r="N1760" s="3"/>
      <c r="O1760" s="3"/>
      <c r="P1760" s="51"/>
      <c r="Q1760" s="5"/>
    </row>
    <row x14ac:dyDescent="0.25" r="1761" customHeight="1" ht="15.75">
      <c r="A1761" s="3"/>
      <c r="B1761" s="3"/>
      <c r="C1761" s="3"/>
      <c r="D1761" s="3"/>
      <c r="E1761" s="3"/>
      <c r="F1761" s="3"/>
      <c r="G1761" s="3"/>
      <c r="H1761" s="60"/>
      <c r="I1761" s="3"/>
      <c r="J1761" s="55"/>
      <c r="K1761" s="56"/>
      <c r="L1761" s="56"/>
      <c r="M1761" s="57"/>
      <c r="N1761" s="3"/>
      <c r="O1761" s="3"/>
      <c r="P1761" s="51"/>
      <c r="Q1761" s="5"/>
    </row>
    <row x14ac:dyDescent="0.25" r="1762" customHeight="1" ht="15.75">
      <c r="A1762" s="3"/>
      <c r="B1762" s="3"/>
      <c r="C1762" s="3"/>
      <c r="D1762" s="3"/>
      <c r="E1762" s="3"/>
      <c r="F1762" s="3"/>
      <c r="G1762" s="3"/>
      <c r="H1762" s="60"/>
      <c r="I1762" s="3"/>
      <c r="J1762" s="55"/>
      <c r="K1762" s="56"/>
      <c r="L1762" s="56"/>
      <c r="M1762" s="57"/>
      <c r="N1762" s="3"/>
      <c r="O1762" s="3"/>
      <c r="P1762" s="51"/>
      <c r="Q1762" s="5"/>
    </row>
    <row x14ac:dyDescent="0.25" r="1763" customHeight="1" ht="15.75">
      <c r="A1763" s="3"/>
      <c r="B1763" s="3"/>
      <c r="C1763" s="3"/>
      <c r="D1763" s="3"/>
      <c r="E1763" s="3"/>
      <c r="F1763" s="3"/>
      <c r="G1763" s="3"/>
      <c r="H1763" s="60"/>
      <c r="I1763" s="3"/>
      <c r="J1763" s="55"/>
      <c r="K1763" s="56"/>
      <c r="L1763" s="56"/>
      <c r="M1763" s="57"/>
      <c r="N1763" s="3"/>
      <c r="O1763" s="3"/>
      <c r="P1763" s="51"/>
      <c r="Q1763" s="5"/>
    </row>
    <row x14ac:dyDescent="0.25" r="1764" customHeight="1" ht="15.75">
      <c r="A1764" s="3"/>
      <c r="B1764" s="3"/>
      <c r="C1764" s="3"/>
      <c r="D1764" s="3"/>
      <c r="E1764" s="3"/>
      <c r="F1764" s="3"/>
      <c r="G1764" s="3"/>
      <c r="H1764" s="60"/>
      <c r="I1764" s="3"/>
      <c r="J1764" s="55"/>
      <c r="K1764" s="56"/>
      <c r="L1764" s="56"/>
      <c r="M1764" s="57"/>
      <c r="N1764" s="3"/>
      <c r="O1764" s="3"/>
      <c r="P1764" s="51"/>
      <c r="Q1764" s="5"/>
    </row>
    <row x14ac:dyDescent="0.25" r="1765" customHeight="1" ht="15.75">
      <c r="A1765" s="3"/>
      <c r="B1765" s="3"/>
      <c r="C1765" s="3"/>
      <c r="D1765" s="3"/>
      <c r="E1765" s="3"/>
      <c r="F1765" s="3"/>
      <c r="G1765" s="3"/>
      <c r="H1765" s="60"/>
      <c r="I1765" s="3"/>
      <c r="J1765" s="55"/>
      <c r="K1765" s="56"/>
      <c r="L1765" s="56"/>
      <c r="M1765" s="57"/>
      <c r="N1765" s="3"/>
      <c r="O1765" s="3"/>
      <c r="P1765" s="51"/>
      <c r="Q1765" s="5"/>
    </row>
    <row x14ac:dyDescent="0.25" r="1766" customHeight="1" ht="15.75">
      <c r="A1766" s="3"/>
      <c r="B1766" s="3"/>
      <c r="C1766" s="3"/>
      <c r="D1766" s="3"/>
      <c r="E1766" s="3"/>
      <c r="F1766" s="3"/>
      <c r="G1766" s="3"/>
      <c r="H1766" s="60"/>
      <c r="I1766" s="3"/>
      <c r="J1766" s="55"/>
      <c r="K1766" s="56"/>
      <c r="L1766" s="56"/>
      <c r="M1766" s="57"/>
      <c r="N1766" s="3"/>
      <c r="O1766" s="3"/>
      <c r="P1766" s="51"/>
      <c r="Q1766" s="5"/>
    </row>
    <row x14ac:dyDescent="0.25" r="1767" customHeight="1" ht="15.75">
      <c r="A1767" s="3"/>
      <c r="B1767" s="3"/>
      <c r="C1767" s="3"/>
      <c r="D1767" s="3"/>
      <c r="E1767" s="3"/>
      <c r="F1767" s="3"/>
      <c r="G1767" s="3"/>
      <c r="H1767" s="60"/>
      <c r="I1767" s="3"/>
      <c r="J1767" s="55"/>
      <c r="K1767" s="56"/>
      <c r="L1767" s="56"/>
      <c r="M1767" s="57"/>
      <c r="N1767" s="3"/>
      <c r="O1767" s="3"/>
      <c r="P1767" s="51"/>
      <c r="Q1767" s="5"/>
    </row>
    <row x14ac:dyDescent="0.25" r="1768" customHeight="1" ht="15.75">
      <c r="A1768" s="3"/>
      <c r="B1768" s="3"/>
      <c r="C1768" s="3"/>
      <c r="D1768" s="3"/>
      <c r="E1768" s="3"/>
      <c r="F1768" s="3"/>
      <c r="G1768" s="3"/>
      <c r="H1768" s="60"/>
      <c r="I1768" s="3"/>
      <c r="J1768" s="55"/>
      <c r="K1768" s="56"/>
      <c r="L1768" s="56"/>
      <c r="M1768" s="57"/>
      <c r="N1768" s="3"/>
      <c r="O1768" s="3"/>
      <c r="P1768" s="51"/>
      <c r="Q1768" s="5"/>
    </row>
    <row x14ac:dyDescent="0.25" r="1769" customHeight="1" ht="15.75">
      <c r="A1769" s="3"/>
      <c r="B1769" s="3"/>
      <c r="C1769" s="3"/>
      <c r="D1769" s="3"/>
      <c r="E1769" s="3"/>
      <c r="F1769" s="3"/>
      <c r="G1769" s="3"/>
      <c r="H1769" s="60"/>
      <c r="I1769" s="3"/>
      <c r="J1769" s="55"/>
      <c r="K1769" s="56"/>
      <c r="L1769" s="56"/>
      <c r="M1769" s="57"/>
      <c r="N1769" s="3"/>
      <c r="O1769" s="3"/>
      <c r="P1769" s="51"/>
      <c r="Q1769" s="5"/>
    </row>
    <row x14ac:dyDescent="0.25" r="1770" customHeight="1" ht="15.75">
      <c r="A1770" s="3"/>
      <c r="B1770" s="3"/>
      <c r="C1770" s="3"/>
      <c r="D1770" s="3"/>
      <c r="E1770" s="3"/>
      <c r="F1770" s="3"/>
      <c r="G1770" s="3"/>
      <c r="H1770" s="60"/>
      <c r="I1770" s="3"/>
      <c r="J1770" s="55"/>
      <c r="K1770" s="56"/>
      <c r="L1770" s="56"/>
      <c r="M1770" s="57"/>
      <c r="N1770" s="3"/>
      <c r="O1770" s="3"/>
      <c r="P1770" s="51"/>
      <c r="Q1770" s="5"/>
    </row>
    <row x14ac:dyDescent="0.25" r="1771" customHeight="1" ht="15.75">
      <c r="A1771" s="3"/>
      <c r="B1771" s="3"/>
      <c r="C1771" s="3"/>
      <c r="D1771" s="3"/>
      <c r="E1771" s="3"/>
      <c r="F1771" s="3"/>
      <c r="G1771" s="3"/>
      <c r="H1771" s="60"/>
      <c r="I1771" s="3"/>
      <c r="J1771" s="55"/>
      <c r="K1771" s="56"/>
      <c r="L1771" s="56"/>
      <c r="M1771" s="57"/>
      <c r="N1771" s="3"/>
      <c r="O1771" s="3"/>
      <c r="P1771" s="51"/>
      <c r="Q1771" s="5"/>
    </row>
    <row x14ac:dyDescent="0.25" r="1772" customHeight="1" ht="15.75">
      <c r="A1772" s="3"/>
      <c r="B1772" s="3"/>
      <c r="C1772" s="3"/>
      <c r="D1772" s="3"/>
      <c r="E1772" s="3"/>
      <c r="F1772" s="3"/>
      <c r="G1772" s="3"/>
      <c r="H1772" s="60"/>
      <c r="I1772" s="3"/>
      <c r="J1772" s="55"/>
      <c r="K1772" s="56"/>
      <c r="L1772" s="56"/>
      <c r="M1772" s="57"/>
      <c r="N1772" s="3"/>
      <c r="O1772" s="3"/>
      <c r="P1772" s="51"/>
      <c r="Q1772" s="5"/>
    </row>
    <row x14ac:dyDescent="0.25" r="1773" customHeight="1" ht="15.75">
      <c r="A1773" s="3"/>
      <c r="B1773" s="3"/>
      <c r="C1773" s="3"/>
      <c r="D1773" s="3"/>
      <c r="E1773" s="3"/>
      <c r="F1773" s="3"/>
      <c r="G1773" s="3"/>
      <c r="H1773" s="60"/>
      <c r="I1773" s="3"/>
      <c r="J1773" s="55"/>
      <c r="K1773" s="56"/>
      <c r="L1773" s="56"/>
      <c r="M1773" s="57"/>
      <c r="N1773" s="3"/>
      <c r="O1773" s="3"/>
      <c r="P1773" s="51"/>
      <c r="Q1773" s="5"/>
    </row>
    <row x14ac:dyDescent="0.25" r="1774" customHeight="1" ht="15.75">
      <c r="A1774" s="3"/>
      <c r="B1774" s="3"/>
      <c r="C1774" s="3"/>
      <c r="D1774" s="3"/>
      <c r="E1774" s="3"/>
      <c r="F1774" s="3"/>
      <c r="G1774" s="3"/>
      <c r="H1774" s="60"/>
      <c r="I1774" s="3"/>
      <c r="J1774" s="55"/>
      <c r="K1774" s="56"/>
      <c r="L1774" s="56"/>
      <c r="M1774" s="57"/>
      <c r="N1774" s="3"/>
      <c r="O1774" s="3"/>
      <c r="P1774" s="51"/>
      <c r="Q1774" s="5"/>
    </row>
    <row x14ac:dyDescent="0.25" r="1775" customHeight="1" ht="15.75">
      <c r="A1775" s="3"/>
      <c r="B1775" s="3"/>
      <c r="C1775" s="3"/>
      <c r="D1775" s="3"/>
      <c r="E1775" s="3"/>
      <c r="F1775" s="3"/>
      <c r="G1775" s="3"/>
      <c r="H1775" s="60"/>
      <c r="I1775" s="3"/>
      <c r="J1775" s="55"/>
      <c r="K1775" s="56"/>
      <c r="L1775" s="56"/>
      <c r="M1775" s="57"/>
      <c r="N1775" s="3"/>
      <c r="O1775" s="3"/>
      <c r="P1775" s="51"/>
      <c r="Q1775" s="5"/>
    </row>
    <row x14ac:dyDescent="0.25" r="1776" customHeight="1" ht="15.75">
      <c r="A1776" s="3"/>
      <c r="B1776" s="3"/>
      <c r="C1776" s="3"/>
      <c r="D1776" s="3"/>
      <c r="E1776" s="3"/>
      <c r="F1776" s="3"/>
      <c r="G1776" s="3"/>
      <c r="H1776" s="60"/>
      <c r="I1776" s="3"/>
      <c r="J1776" s="55"/>
      <c r="K1776" s="56"/>
      <c r="L1776" s="56"/>
      <c r="M1776" s="57"/>
      <c r="N1776" s="3"/>
      <c r="O1776" s="3"/>
      <c r="P1776" s="51"/>
      <c r="Q1776" s="5"/>
    </row>
    <row x14ac:dyDescent="0.25" r="1777" customHeight="1" ht="15.75">
      <c r="A1777" s="3"/>
      <c r="B1777" s="3"/>
      <c r="C1777" s="3"/>
      <c r="D1777" s="3"/>
      <c r="E1777" s="3"/>
      <c r="F1777" s="3"/>
      <c r="G1777" s="3"/>
      <c r="H1777" s="60"/>
      <c r="I1777" s="3"/>
      <c r="J1777" s="55"/>
      <c r="K1777" s="56"/>
      <c r="L1777" s="56"/>
      <c r="M1777" s="57"/>
      <c r="N1777" s="3"/>
      <c r="O1777" s="3"/>
      <c r="P1777" s="51"/>
      <c r="Q1777" s="5"/>
    </row>
    <row x14ac:dyDescent="0.25" r="1778" customHeight="1" ht="15.75">
      <c r="A1778" s="3"/>
      <c r="B1778" s="3"/>
      <c r="C1778" s="3"/>
      <c r="D1778" s="3"/>
      <c r="E1778" s="3"/>
      <c r="F1778" s="3"/>
      <c r="G1778" s="3"/>
      <c r="H1778" s="60"/>
      <c r="I1778" s="3"/>
      <c r="J1778" s="55"/>
      <c r="K1778" s="56"/>
      <c r="L1778" s="56"/>
      <c r="M1778" s="57"/>
      <c r="N1778" s="3"/>
      <c r="O1778" s="3"/>
      <c r="P1778" s="51"/>
      <c r="Q1778" s="5"/>
    </row>
    <row x14ac:dyDescent="0.25" r="1779" customHeight="1" ht="15.75">
      <c r="A1779" s="3"/>
      <c r="B1779" s="3"/>
      <c r="C1779" s="3"/>
      <c r="D1779" s="3"/>
      <c r="E1779" s="3"/>
      <c r="F1779" s="3"/>
      <c r="G1779" s="3"/>
      <c r="H1779" s="60"/>
      <c r="I1779" s="3"/>
      <c r="J1779" s="55"/>
      <c r="K1779" s="56"/>
      <c r="L1779" s="56"/>
      <c r="M1779" s="57"/>
      <c r="N1779" s="3"/>
      <c r="O1779" s="3"/>
      <c r="P1779" s="51"/>
      <c r="Q1779" s="5"/>
    </row>
    <row x14ac:dyDescent="0.25" r="1780" customHeight="1" ht="15.75">
      <c r="A1780" s="3"/>
      <c r="B1780" s="3"/>
      <c r="C1780" s="3"/>
      <c r="D1780" s="3"/>
      <c r="E1780" s="3"/>
      <c r="F1780" s="3"/>
      <c r="G1780" s="3"/>
      <c r="H1780" s="60"/>
      <c r="I1780" s="3"/>
      <c r="J1780" s="55"/>
      <c r="K1780" s="56"/>
      <c r="L1780" s="56"/>
      <c r="M1780" s="57"/>
      <c r="N1780" s="3"/>
      <c r="O1780" s="3"/>
      <c r="P1780" s="51"/>
      <c r="Q1780" s="5"/>
    </row>
    <row x14ac:dyDescent="0.25" r="1781" customHeight="1" ht="15.75">
      <c r="A1781" s="3"/>
      <c r="B1781" s="3"/>
      <c r="C1781" s="3"/>
      <c r="D1781" s="3"/>
      <c r="E1781" s="3"/>
      <c r="F1781" s="3"/>
      <c r="G1781" s="3"/>
      <c r="H1781" s="60"/>
      <c r="I1781" s="3"/>
      <c r="J1781" s="55"/>
      <c r="K1781" s="56"/>
      <c r="L1781" s="56"/>
      <c r="M1781" s="57"/>
      <c r="N1781" s="3"/>
      <c r="O1781" s="3"/>
      <c r="P1781" s="51"/>
      <c r="Q1781" s="5"/>
    </row>
    <row x14ac:dyDescent="0.25" r="1782" customHeight="1" ht="15.75">
      <c r="A1782" s="3"/>
      <c r="B1782" s="3"/>
      <c r="C1782" s="3"/>
      <c r="D1782" s="3"/>
      <c r="E1782" s="3"/>
      <c r="F1782" s="3"/>
      <c r="G1782" s="3"/>
      <c r="H1782" s="60"/>
      <c r="I1782" s="3"/>
      <c r="J1782" s="55"/>
      <c r="K1782" s="56"/>
      <c r="L1782" s="56"/>
      <c r="M1782" s="57"/>
      <c r="N1782" s="3"/>
      <c r="O1782" s="3"/>
      <c r="P1782" s="51"/>
      <c r="Q1782" s="5"/>
    </row>
    <row x14ac:dyDescent="0.25" r="1783" customHeight="1" ht="15.75">
      <c r="A1783" s="3"/>
      <c r="B1783" s="3"/>
      <c r="C1783" s="3"/>
      <c r="D1783" s="3"/>
      <c r="E1783" s="3"/>
      <c r="F1783" s="3"/>
      <c r="G1783" s="3"/>
      <c r="H1783" s="60"/>
      <c r="I1783" s="3"/>
      <c r="J1783" s="55"/>
      <c r="K1783" s="56"/>
      <c r="L1783" s="56"/>
      <c r="M1783" s="57"/>
      <c r="N1783" s="3"/>
      <c r="O1783" s="3"/>
      <c r="P1783" s="51"/>
      <c r="Q1783" s="5"/>
    </row>
    <row x14ac:dyDescent="0.25" r="1784" customHeight="1" ht="15.75">
      <c r="A1784" s="3"/>
      <c r="B1784" s="3"/>
      <c r="C1784" s="3"/>
      <c r="D1784" s="3"/>
      <c r="E1784" s="3"/>
      <c r="F1784" s="3"/>
      <c r="G1784" s="3"/>
      <c r="H1784" s="60"/>
      <c r="I1784" s="3"/>
      <c r="J1784" s="55"/>
      <c r="K1784" s="56"/>
      <c r="L1784" s="56"/>
      <c r="M1784" s="57"/>
      <c r="N1784" s="3"/>
      <c r="O1784" s="3"/>
      <c r="P1784" s="51"/>
      <c r="Q1784" s="5"/>
    </row>
    <row x14ac:dyDescent="0.25" r="1785" customHeight="1" ht="15.75">
      <c r="A1785" s="3"/>
      <c r="B1785" s="3"/>
      <c r="C1785" s="3"/>
      <c r="D1785" s="3"/>
      <c r="E1785" s="3"/>
      <c r="F1785" s="3"/>
      <c r="G1785" s="3"/>
      <c r="H1785" s="60"/>
      <c r="I1785" s="3"/>
      <c r="J1785" s="55"/>
      <c r="K1785" s="56"/>
      <c r="L1785" s="56"/>
      <c r="M1785" s="57"/>
      <c r="N1785" s="3"/>
      <c r="O1785" s="3"/>
      <c r="P1785" s="51"/>
      <c r="Q1785" s="5"/>
    </row>
    <row x14ac:dyDescent="0.25" r="1786" customHeight="1" ht="15.75">
      <c r="A1786" s="3"/>
      <c r="B1786" s="3"/>
      <c r="C1786" s="3"/>
      <c r="D1786" s="3"/>
      <c r="E1786" s="3"/>
      <c r="F1786" s="3"/>
      <c r="G1786" s="3"/>
      <c r="H1786" s="60"/>
      <c r="I1786" s="3"/>
      <c r="J1786" s="55"/>
      <c r="K1786" s="56"/>
      <c r="L1786" s="56"/>
      <c r="M1786" s="57"/>
      <c r="N1786" s="3"/>
      <c r="O1786" s="3"/>
      <c r="P1786" s="51"/>
      <c r="Q1786" s="5"/>
    </row>
    <row x14ac:dyDescent="0.25" r="1787" customHeight="1" ht="15.75">
      <c r="A1787" s="3"/>
      <c r="B1787" s="3"/>
      <c r="C1787" s="3"/>
      <c r="D1787" s="3"/>
      <c r="E1787" s="3"/>
      <c r="F1787" s="3"/>
      <c r="G1787" s="3"/>
      <c r="H1787" s="60"/>
      <c r="I1787" s="3"/>
      <c r="J1787" s="55"/>
      <c r="K1787" s="56"/>
      <c r="L1787" s="56"/>
      <c r="M1787" s="57"/>
      <c r="N1787" s="3"/>
      <c r="O1787" s="3"/>
      <c r="P1787" s="51"/>
      <c r="Q1787" s="5"/>
    </row>
    <row x14ac:dyDescent="0.25" r="1788" customHeight="1" ht="15.75">
      <c r="A1788" s="3"/>
      <c r="B1788" s="3"/>
      <c r="C1788" s="3"/>
      <c r="D1788" s="3"/>
      <c r="E1788" s="3"/>
      <c r="F1788" s="3"/>
      <c r="G1788" s="3"/>
      <c r="H1788" s="60"/>
      <c r="I1788" s="3"/>
      <c r="J1788" s="55"/>
      <c r="K1788" s="56"/>
      <c r="L1788" s="56"/>
      <c r="M1788" s="57"/>
      <c r="N1788" s="3"/>
      <c r="O1788" s="3"/>
      <c r="P1788" s="51"/>
      <c r="Q1788" s="5"/>
    </row>
    <row x14ac:dyDescent="0.25" r="1789" customHeight="1" ht="15.75">
      <c r="A1789" s="3"/>
      <c r="B1789" s="3"/>
      <c r="C1789" s="3"/>
      <c r="D1789" s="3"/>
      <c r="E1789" s="3"/>
      <c r="F1789" s="3"/>
      <c r="G1789" s="3"/>
      <c r="H1789" s="60"/>
      <c r="I1789" s="3"/>
      <c r="J1789" s="55"/>
      <c r="K1789" s="56"/>
      <c r="L1789" s="56"/>
      <c r="M1789" s="57"/>
      <c r="N1789" s="3"/>
      <c r="O1789" s="3"/>
      <c r="P1789" s="51"/>
      <c r="Q1789" s="5"/>
    </row>
    <row x14ac:dyDescent="0.25" r="1790" customHeight="1" ht="15.75">
      <c r="A1790" s="3"/>
      <c r="B1790" s="3"/>
      <c r="C1790" s="3"/>
      <c r="D1790" s="3"/>
      <c r="E1790" s="3"/>
      <c r="F1790" s="3"/>
      <c r="G1790" s="3"/>
      <c r="H1790" s="60"/>
      <c r="I1790" s="3"/>
      <c r="J1790" s="55"/>
      <c r="K1790" s="56"/>
      <c r="L1790" s="56"/>
      <c r="M1790" s="57"/>
      <c r="N1790" s="3"/>
      <c r="O1790" s="3"/>
      <c r="P1790" s="51"/>
      <c r="Q1790" s="5"/>
    </row>
    <row x14ac:dyDescent="0.25" r="1791" customHeight="1" ht="15.75">
      <c r="A1791" s="3"/>
      <c r="B1791" s="3"/>
      <c r="C1791" s="3"/>
      <c r="D1791" s="3"/>
      <c r="E1791" s="3"/>
      <c r="F1791" s="3"/>
      <c r="G1791" s="3"/>
      <c r="H1791" s="60"/>
      <c r="I1791" s="3"/>
      <c r="J1791" s="55"/>
      <c r="K1791" s="56"/>
      <c r="L1791" s="56"/>
      <c r="M1791" s="57"/>
      <c r="N1791" s="3"/>
      <c r="O1791" s="3"/>
      <c r="P1791" s="51"/>
      <c r="Q1791" s="5"/>
    </row>
    <row x14ac:dyDescent="0.25" r="1792" customHeight="1" ht="15.75">
      <c r="A1792" s="3"/>
      <c r="B1792" s="3"/>
      <c r="C1792" s="3"/>
      <c r="D1792" s="3"/>
      <c r="E1792" s="3"/>
      <c r="F1792" s="3"/>
      <c r="G1792" s="3"/>
      <c r="H1792" s="60"/>
      <c r="I1792" s="3"/>
      <c r="J1792" s="55"/>
      <c r="K1792" s="56"/>
      <c r="L1792" s="56"/>
      <c r="M1792" s="57"/>
      <c r="N1792" s="3"/>
      <c r="O1792" s="3"/>
      <c r="P1792" s="51"/>
      <c r="Q1792" s="5"/>
    </row>
    <row x14ac:dyDescent="0.25" r="1793" customHeight="1" ht="15.75">
      <c r="A1793" s="3"/>
      <c r="B1793" s="3"/>
      <c r="C1793" s="3"/>
      <c r="D1793" s="3"/>
      <c r="E1793" s="3"/>
      <c r="F1793" s="3"/>
      <c r="G1793" s="3"/>
      <c r="H1793" s="60"/>
      <c r="I1793" s="3"/>
      <c r="J1793" s="55"/>
      <c r="K1793" s="56"/>
      <c r="L1793" s="56"/>
      <c r="M1793" s="57"/>
      <c r="N1793" s="3"/>
      <c r="O1793" s="3"/>
      <c r="P1793" s="51"/>
      <c r="Q1793" s="5"/>
    </row>
    <row x14ac:dyDescent="0.25" r="1794" customHeight="1" ht="15.75">
      <c r="A1794" s="3"/>
      <c r="B1794" s="3"/>
      <c r="C1794" s="3"/>
      <c r="D1794" s="3"/>
      <c r="E1794" s="3"/>
      <c r="F1794" s="3"/>
      <c r="G1794" s="3"/>
      <c r="H1794" s="60"/>
      <c r="I1794" s="3"/>
      <c r="J1794" s="55"/>
      <c r="K1794" s="56"/>
      <c r="L1794" s="56"/>
      <c r="M1794" s="57"/>
      <c r="N1794" s="3"/>
      <c r="O1794" s="3"/>
      <c r="P1794" s="51"/>
      <c r="Q1794" s="5"/>
    </row>
    <row x14ac:dyDescent="0.25" r="1795" customHeight="1" ht="15.75">
      <c r="A1795" s="3"/>
      <c r="B1795" s="3"/>
      <c r="C1795" s="3"/>
      <c r="D1795" s="3"/>
      <c r="E1795" s="3"/>
      <c r="F1795" s="3"/>
      <c r="G1795" s="3"/>
      <c r="H1795" s="60"/>
      <c r="I1795" s="3"/>
      <c r="J1795" s="55"/>
      <c r="K1795" s="56"/>
      <c r="L1795" s="56"/>
      <c r="M1795" s="57"/>
      <c r="N1795" s="3"/>
      <c r="O1795" s="3"/>
      <c r="P1795" s="51"/>
      <c r="Q1795" s="5"/>
    </row>
    <row x14ac:dyDescent="0.25" r="1796" customHeight="1" ht="15.75">
      <c r="A1796" s="3"/>
      <c r="B1796" s="3"/>
      <c r="C1796" s="3"/>
      <c r="D1796" s="3"/>
      <c r="E1796" s="3"/>
      <c r="F1796" s="3"/>
      <c r="G1796" s="3"/>
      <c r="H1796" s="60"/>
      <c r="I1796" s="3"/>
      <c r="J1796" s="55"/>
      <c r="K1796" s="56"/>
      <c r="L1796" s="56"/>
      <c r="M1796" s="57"/>
      <c r="N1796" s="3"/>
      <c r="O1796" s="3"/>
      <c r="P1796" s="51"/>
      <c r="Q1796" s="5"/>
    </row>
    <row x14ac:dyDescent="0.25" r="1797" customHeight="1" ht="15.75">
      <c r="A1797" s="3"/>
      <c r="B1797" s="3"/>
      <c r="C1797" s="3"/>
      <c r="D1797" s="3"/>
      <c r="E1797" s="3"/>
      <c r="F1797" s="3"/>
      <c r="G1797" s="3"/>
      <c r="H1797" s="60"/>
      <c r="I1797" s="3"/>
      <c r="J1797" s="55"/>
      <c r="K1797" s="56"/>
      <c r="L1797" s="56"/>
      <c r="M1797" s="57"/>
      <c r="N1797" s="3"/>
      <c r="O1797" s="3"/>
      <c r="P1797" s="51"/>
      <c r="Q1797" s="5"/>
    </row>
    <row x14ac:dyDescent="0.25" r="1798" customHeight="1" ht="15.75">
      <c r="A1798" s="3"/>
      <c r="B1798" s="3"/>
      <c r="C1798" s="3"/>
      <c r="D1798" s="3"/>
      <c r="E1798" s="3"/>
      <c r="F1798" s="3"/>
      <c r="G1798" s="3"/>
      <c r="H1798" s="60"/>
      <c r="I1798" s="3"/>
      <c r="J1798" s="55"/>
      <c r="K1798" s="56"/>
      <c r="L1798" s="56"/>
      <c r="M1798" s="57"/>
      <c r="N1798" s="3"/>
      <c r="O1798" s="3"/>
      <c r="P1798" s="51"/>
      <c r="Q1798" s="5"/>
    </row>
    <row x14ac:dyDescent="0.25" r="1799" customHeight="1" ht="15.75">
      <c r="A1799" s="3"/>
      <c r="B1799" s="3"/>
      <c r="C1799" s="3"/>
      <c r="D1799" s="3"/>
      <c r="E1799" s="3"/>
      <c r="F1799" s="3"/>
      <c r="G1799" s="3"/>
      <c r="H1799" s="60"/>
      <c r="I1799" s="3"/>
      <c r="J1799" s="55"/>
      <c r="K1799" s="56"/>
      <c r="L1799" s="56"/>
      <c r="M1799" s="57"/>
      <c r="N1799" s="3"/>
      <c r="O1799" s="3"/>
      <c r="P1799" s="51"/>
      <c r="Q1799" s="5"/>
    </row>
    <row x14ac:dyDescent="0.25" r="1800" customHeight="1" ht="15.75">
      <c r="A1800" s="3"/>
      <c r="B1800" s="3"/>
      <c r="C1800" s="3"/>
      <c r="D1800" s="3"/>
      <c r="E1800" s="3"/>
      <c r="F1800" s="3"/>
      <c r="G1800" s="3"/>
      <c r="H1800" s="60"/>
      <c r="I1800" s="3"/>
      <c r="J1800" s="55"/>
      <c r="K1800" s="56"/>
      <c r="L1800" s="56"/>
      <c r="M1800" s="57"/>
      <c r="N1800" s="3"/>
      <c r="O1800" s="3"/>
      <c r="P1800" s="51"/>
      <c r="Q1800" s="5"/>
    </row>
    <row x14ac:dyDescent="0.25" r="1801" customHeight="1" ht="15.75">
      <c r="A1801" s="3"/>
      <c r="B1801" s="3"/>
      <c r="C1801" s="3"/>
      <c r="D1801" s="3"/>
      <c r="E1801" s="3"/>
      <c r="F1801" s="3"/>
      <c r="G1801" s="3"/>
      <c r="H1801" s="60"/>
      <c r="I1801" s="3"/>
      <c r="J1801" s="55"/>
      <c r="K1801" s="56"/>
      <c r="L1801" s="56"/>
      <c r="M1801" s="57"/>
      <c r="N1801" s="3"/>
      <c r="O1801" s="3"/>
      <c r="P1801" s="51"/>
      <c r="Q1801" s="5"/>
    </row>
    <row x14ac:dyDescent="0.25" r="1802" customHeight="1" ht="15.75">
      <c r="A1802" s="3"/>
      <c r="B1802" s="3"/>
      <c r="C1802" s="3"/>
      <c r="D1802" s="3"/>
      <c r="E1802" s="3"/>
      <c r="F1802" s="3"/>
      <c r="G1802" s="3"/>
      <c r="H1802" s="60"/>
      <c r="I1802" s="3"/>
      <c r="J1802" s="55"/>
      <c r="K1802" s="56"/>
      <c r="L1802" s="56"/>
      <c r="M1802" s="57"/>
      <c r="N1802" s="3"/>
      <c r="O1802" s="3"/>
      <c r="P1802" s="51"/>
      <c r="Q1802" s="5"/>
    </row>
    <row x14ac:dyDescent="0.25" r="1803" customHeight="1" ht="15.75">
      <c r="A1803" s="3"/>
      <c r="B1803" s="3"/>
      <c r="C1803" s="3"/>
      <c r="D1803" s="3"/>
      <c r="E1803" s="3"/>
      <c r="F1803" s="3"/>
      <c r="G1803" s="3"/>
      <c r="H1803" s="60"/>
      <c r="I1803" s="3"/>
      <c r="J1803" s="55"/>
      <c r="K1803" s="56"/>
      <c r="L1803" s="56"/>
      <c r="M1803" s="57"/>
      <c r="N1803" s="3"/>
      <c r="O1803" s="3"/>
      <c r="P1803" s="51"/>
      <c r="Q1803" s="5"/>
    </row>
    <row x14ac:dyDescent="0.25" r="1804" customHeight="1" ht="15.75">
      <c r="A1804" s="3"/>
      <c r="B1804" s="3"/>
      <c r="C1804" s="3"/>
      <c r="D1804" s="3"/>
      <c r="E1804" s="3"/>
      <c r="F1804" s="3"/>
      <c r="G1804" s="3"/>
      <c r="H1804" s="60"/>
      <c r="I1804" s="3"/>
      <c r="J1804" s="55"/>
      <c r="K1804" s="56"/>
      <c r="L1804" s="56"/>
      <c r="M1804" s="57"/>
      <c r="N1804" s="3"/>
      <c r="O1804" s="3"/>
      <c r="P1804" s="51"/>
      <c r="Q1804" s="5"/>
    </row>
    <row x14ac:dyDescent="0.25" r="1805" customHeight="1" ht="15.75">
      <c r="A1805" s="3"/>
      <c r="B1805" s="3"/>
      <c r="C1805" s="3"/>
      <c r="D1805" s="3"/>
      <c r="E1805" s="3"/>
      <c r="F1805" s="3"/>
      <c r="G1805" s="3"/>
      <c r="H1805" s="60"/>
      <c r="I1805" s="3"/>
      <c r="J1805" s="55"/>
      <c r="K1805" s="56"/>
      <c r="L1805" s="56"/>
      <c r="M1805" s="57"/>
      <c r="N1805" s="3"/>
      <c r="O1805" s="3"/>
      <c r="P1805" s="51"/>
      <c r="Q1805" s="5"/>
    </row>
    <row x14ac:dyDescent="0.25" r="1806" customHeight="1" ht="15.75">
      <c r="A1806" s="3"/>
      <c r="B1806" s="3"/>
      <c r="C1806" s="3"/>
      <c r="D1806" s="3"/>
      <c r="E1806" s="3"/>
      <c r="F1806" s="3"/>
      <c r="G1806" s="3"/>
      <c r="H1806" s="60"/>
      <c r="I1806" s="3"/>
      <c r="J1806" s="55"/>
      <c r="K1806" s="56"/>
      <c r="L1806" s="56"/>
      <c r="M1806" s="57"/>
      <c r="N1806" s="3"/>
      <c r="O1806" s="3"/>
      <c r="P1806" s="51"/>
      <c r="Q1806" s="5"/>
    </row>
    <row x14ac:dyDescent="0.25" r="1807" customHeight="1" ht="15.75">
      <c r="A1807" s="3"/>
      <c r="B1807" s="3"/>
      <c r="C1807" s="3"/>
      <c r="D1807" s="3"/>
      <c r="E1807" s="3"/>
      <c r="F1807" s="3"/>
      <c r="G1807" s="3"/>
      <c r="H1807" s="60"/>
      <c r="I1807" s="3"/>
      <c r="J1807" s="55"/>
      <c r="K1807" s="56"/>
      <c r="L1807" s="56"/>
      <c r="M1807" s="57"/>
      <c r="N1807" s="3"/>
      <c r="O1807" s="3"/>
      <c r="P1807" s="51"/>
      <c r="Q1807" s="5"/>
    </row>
    <row x14ac:dyDescent="0.25" r="1808" customHeight="1" ht="15.75">
      <c r="A1808" s="3"/>
      <c r="B1808" s="3"/>
      <c r="C1808" s="3"/>
      <c r="D1808" s="3"/>
      <c r="E1808" s="3"/>
      <c r="F1808" s="3"/>
      <c r="G1808" s="3"/>
      <c r="H1808" s="60"/>
      <c r="I1808" s="3"/>
      <c r="J1808" s="55"/>
      <c r="K1808" s="56"/>
      <c r="L1808" s="56"/>
      <c r="M1808" s="57"/>
      <c r="N1808" s="3"/>
      <c r="O1808" s="3"/>
      <c r="P1808" s="51"/>
      <c r="Q1808" s="5"/>
    </row>
    <row x14ac:dyDescent="0.25" r="1809" customHeight="1" ht="15.75">
      <c r="A1809" s="3"/>
      <c r="B1809" s="3"/>
      <c r="C1809" s="3"/>
      <c r="D1809" s="3"/>
      <c r="E1809" s="3"/>
      <c r="F1809" s="3"/>
      <c r="G1809" s="3"/>
      <c r="H1809" s="60"/>
      <c r="I1809" s="3"/>
      <c r="J1809" s="55"/>
      <c r="K1809" s="56"/>
      <c r="L1809" s="56"/>
      <c r="M1809" s="57"/>
      <c r="N1809" s="3"/>
      <c r="O1809" s="3"/>
      <c r="P1809" s="51"/>
      <c r="Q1809" s="5"/>
    </row>
    <row x14ac:dyDescent="0.25" r="1810" customHeight="1" ht="15.75">
      <c r="A1810" s="3"/>
      <c r="B1810" s="3"/>
      <c r="C1810" s="3"/>
      <c r="D1810" s="3"/>
      <c r="E1810" s="3"/>
      <c r="F1810" s="3"/>
      <c r="G1810" s="3"/>
      <c r="H1810" s="60"/>
      <c r="I1810" s="3"/>
      <c r="J1810" s="55"/>
      <c r="K1810" s="56"/>
      <c r="L1810" s="56"/>
      <c r="M1810" s="57"/>
      <c r="N1810" s="3"/>
      <c r="O1810" s="3"/>
      <c r="P1810" s="51"/>
      <c r="Q1810" s="5"/>
    </row>
    <row x14ac:dyDescent="0.25" r="1811" customHeight="1" ht="15.75">
      <c r="A1811" s="3"/>
      <c r="B1811" s="3"/>
      <c r="C1811" s="3"/>
      <c r="D1811" s="3"/>
      <c r="E1811" s="3"/>
      <c r="F1811" s="3"/>
      <c r="G1811" s="3"/>
      <c r="H1811" s="60"/>
      <c r="I1811" s="3"/>
      <c r="J1811" s="55"/>
      <c r="K1811" s="56"/>
      <c r="L1811" s="56"/>
      <c r="M1811" s="57"/>
      <c r="N1811" s="3"/>
      <c r="O1811" s="3"/>
      <c r="P1811" s="51"/>
      <c r="Q1811" s="5"/>
    </row>
    <row x14ac:dyDescent="0.25" r="1812" customHeight="1" ht="15.75">
      <c r="A1812" s="3"/>
      <c r="B1812" s="3"/>
      <c r="C1812" s="3"/>
      <c r="D1812" s="3"/>
      <c r="E1812" s="3"/>
      <c r="F1812" s="3"/>
      <c r="G1812" s="3"/>
      <c r="H1812" s="60"/>
      <c r="I1812" s="3"/>
      <c r="J1812" s="55"/>
      <c r="K1812" s="56"/>
      <c r="L1812" s="56"/>
      <c r="M1812" s="57"/>
      <c r="N1812" s="3"/>
      <c r="O1812" s="3"/>
      <c r="P1812" s="51"/>
      <c r="Q1812" s="5"/>
    </row>
    <row x14ac:dyDescent="0.25" r="1813" customHeight="1" ht="15.75">
      <c r="A1813" s="3"/>
      <c r="B1813" s="3"/>
      <c r="C1813" s="3"/>
      <c r="D1813" s="3"/>
      <c r="E1813" s="3"/>
      <c r="F1813" s="3"/>
      <c r="G1813" s="3"/>
      <c r="H1813" s="60"/>
      <c r="I1813" s="3"/>
      <c r="J1813" s="55"/>
      <c r="K1813" s="56"/>
      <c r="L1813" s="56"/>
      <c r="M1813" s="57"/>
      <c r="N1813" s="3"/>
      <c r="O1813" s="3"/>
      <c r="P1813" s="51"/>
      <c r="Q1813" s="5"/>
    </row>
    <row x14ac:dyDescent="0.25" r="1814" customHeight="1" ht="15.75">
      <c r="A1814" s="3"/>
      <c r="B1814" s="3"/>
      <c r="C1814" s="3"/>
      <c r="D1814" s="3"/>
      <c r="E1814" s="3"/>
      <c r="F1814" s="3"/>
      <c r="G1814" s="3"/>
      <c r="H1814" s="60"/>
      <c r="I1814" s="3"/>
      <c r="J1814" s="55"/>
      <c r="K1814" s="56"/>
      <c r="L1814" s="56"/>
      <c r="M1814" s="57"/>
      <c r="N1814" s="3"/>
      <c r="O1814" s="3"/>
      <c r="P1814" s="51"/>
      <c r="Q1814" s="5"/>
    </row>
    <row x14ac:dyDescent="0.25" r="1815" customHeight="1" ht="15.75">
      <c r="A1815" s="3"/>
      <c r="B1815" s="3"/>
      <c r="C1815" s="3"/>
      <c r="D1815" s="3"/>
      <c r="E1815" s="3"/>
      <c r="F1815" s="3"/>
      <c r="G1815" s="3"/>
      <c r="H1815" s="60"/>
      <c r="I1815" s="3"/>
      <c r="J1815" s="55"/>
      <c r="K1815" s="56"/>
      <c r="L1815" s="56"/>
      <c r="M1815" s="57"/>
      <c r="N1815" s="3"/>
      <c r="O1815" s="3"/>
      <c r="P1815" s="51"/>
      <c r="Q1815" s="5"/>
    </row>
    <row x14ac:dyDescent="0.25" r="1816" customHeight="1" ht="15.75">
      <c r="A1816" s="3"/>
      <c r="B1816" s="3"/>
      <c r="C1816" s="3"/>
      <c r="D1816" s="3"/>
      <c r="E1816" s="3"/>
      <c r="F1816" s="3"/>
      <c r="G1816" s="3"/>
      <c r="H1816" s="60"/>
      <c r="I1816" s="3"/>
      <c r="J1816" s="55"/>
      <c r="K1816" s="56"/>
      <c r="L1816" s="56"/>
      <c r="M1816" s="57"/>
      <c r="N1816" s="3"/>
      <c r="O1816" s="3"/>
      <c r="P1816" s="51"/>
      <c r="Q1816" s="5"/>
    </row>
    <row x14ac:dyDescent="0.25" r="1817" customHeight="1" ht="15.75">
      <c r="A1817" s="3"/>
      <c r="B1817" s="3"/>
      <c r="C1817" s="3"/>
      <c r="D1817" s="3"/>
      <c r="E1817" s="3"/>
      <c r="F1817" s="3"/>
      <c r="G1817" s="3"/>
      <c r="H1817" s="60"/>
      <c r="I1817" s="3"/>
      <c r="J1817" s="55"/>
      <c r="K1817" s="56"/>
      <c r="L1817" s="56"/>
      <c r="M1817" s="57"/>
      <c r="N1817" s="3"/>
      <c r="O1817" s="3"/>
      <c r="P1817" s="51"/>
      <c r="Q1817" s="5"/>
    </row>
    <row x14ac:dyDescent="0.25" r="1818" customHeight="1" ht="15.75">
      <c r="A1818" s="3"/>
      <c r="B1818" s="3"/>
      <c r="C1818" s="3"/>
      <c r="D1818" s="3"/>
      <c r="E1818" s="3"/>
      <c r="F1818" s="3"/>
      <c r="G1818" s="3"/>
      <c r="H1818" s="60"/>
      <c r="I1818" s="3"/>
      <c r="J1818" s="55"/>
      <c r="K1818" s="56"/>
      <c r="L1818" s="56"/>
      <c r="M1818" s="57"/>
      <c r="N1818" s="3"/>
      <c r="O1818" s="3"/>
      <c r="P1818" s="51"/>
      <c r="Q1818" s="5"/>
    </row>
    <row x14ac:dyDescent="0.25" r="1819" customHeight="1" ht="15.75">
      <c r="A1819" s="3"/>
      <c r="B1819" s="3"/>
      <c r="C1819" s="3"/>
      <c r="D1819" s="3"/>
      <c r="E1819" s="3"/>
      <c r="F1819" s="3"/>
      <c r="G1819" s="3"/>
      <c r="H1819" s="60"/>
      <c r="I1819" s="3"/>
      <c r="J1819" s="55"/>
      <c r="K1819" s="56"/>
      <c r="L1819" s="56"/>
      <c r="M1819" s="57"/>
      <c r="N1819" s="3"/>
      <c r="O1819" s="3"/>
      <c r="P1819" s="51"/>
      <c r="Q1819" s="5"/>
    </row>
    <row x14ac:dyDescent="0.25" r="1820" customHeight="1" ht="15.75">
      <c r="A1820" s="3"/>
      <c r="B1820" s="3"/>
      <c r="C1820" s="3"/>
      <c r="D1820" s="3"/>
      <c r="E1820" s="3"/>
      <c r="F1820" s="3"/>
      <c r="G1820" s="3"/>
      <c r="H1820" s="60"/>
      <c r="I1820" s="3"/>
      <c r="J1820" s="55"/>
      <c r="K1820" s="56"/>
      <c r="L1820" s="56"/>
      <c r="M1820" s="57"/>
      <c r="N1820" s="3"/>
      <c r="O1820" s="3"/>
      <c r="P1820" s="51"/>
      <c r="Q1820" s="5"/>
    </row>
    <row x14ac:dyDescent="0.25" r="1821" customHeight="1" ht="15.75">
      <c r="A1821" s="3"/>
      <c r="B1821" s="3"/>
      <c r="C1821" s="3"/>
      <c r="D1821" s="3"/>
      <c r="E1821" s="3"/>
      <c r="F1821" s="3"/>
      <c r="G1821" s="3"/>
      <c r="H1821" s="60"/>
      <c r="I1821" s="3"/>
      <c r="J1821" s="55"/>
      <c r="K1821" s="56"/>
      <c r="L1821" s="56"/>
      <c r="M1821" s="57"/>
      <c r="N1821" s="3"/>
      <c r="O1821" s="3"/>
      <c r="P1821" s="51"/>
      <c r="Q1821" s="5"/>
    </row>
    <row x14ac:dyDescent="0.25" r="1822" customHeight="1" ht="15.75">
      <c r="A1822" s="3"/>
      <c r="B1822" s="3"/>
      <c r="C1822" s="3"/>
      <c r="D1822" s="3"/>
      <c r="E1822" s="3"/>
      <c r="F1822" s="3"/>
      <c r="G1822" s="3"/>
      <c r="H1822" s="60"/>
      <c r="I1822" s="3"/>
      <c r="J1822" s="55"/>
      <c r="K1822" s="56"/>
      <c r="L1822" s="56"/>
      <c r="M1822" s="57"/>
      <c r="N1822" s="3"/>
      <c r="O1822" s="3"/>
      <c r="P1822" s="51"/>
      <c r="Q1822" s="5"/>
    </row>
    <row x14ac:dyDescent="0.25" r="1823" customHeight="1" ht="15.75">
      <c r="A1823" s="3"/>
      <c r="B1823" s="3"/>
      <c r="C1823" s="3"/>
      <c r="D1823" s="3"/>
      <c r="E1823" s="3"/>
      <c r="F1823" s="3"/>
      <c r="G1823" s="3"/>
      <c r="H1823" s="60"/>
      <c r="I1823" s="3"/>
      <c r="J1823" s="55"/>
      <c r="K1823" s="56"/>
      <c r="L1823" s="56"/>
      <c r="M1823" s="57"/>
      <c r="N1823" s="3"/>
      <c r="O1823" s="3"/>
      <c r="P1823" s="51"/>
      <c r="Q1823" s="5"/>
    </row>
    <row x14ac:dyDescent="0.25" r="1824" customHeight="1" ht="15.75">
      <c r="A1824" s="3"/>
      <c r="B1824" s="3"/>
      <c r="C1824" s="3"/>
      <c r="D1824" s="3"/>
      <c r="E1824" s="3"/>
      <c r="F1824" s="3"/>
      <c r="G1824" s="3"/>
      <c r="H1824" s="60"/>
      <c r="I1824" s="3"/>
      <c r="J1824" s="55"/>
      <c r="K1824" s="56"/>
      <c r="L1824" s="56"/>
      <c r="M1824" s="57"/>
      <c r="N1824" s="3"/>
      <c r="O1824" s="3"/>
      <c r="P1824" s="51"/>
      <c r="Q1824" s="5"/>
    </row>
    <row x14ac:dyDescent="0.25" r="1825" customHeight="1" ht="15.75">
      <c r="A1825" s="3"/>
      <c r="B1825" s="3"/>
      <c r="C1825" s="3"/>
      <c r="D1825" s="3"/>
      <c r="E1825" s="3"/>
      <c r="F1825" s="3"/>
      <c r="G1825" s="3"/>
      <c r="H1825" s="60"/>
      <c r="I1825" s="3"/>
      <c r="J1825" s="55"/>
      <c r="K1825" s="56"/>
      <c r="L1825" s="56"/>
      <c r="M1825" s="57"/>
      <c r="N1825" s="3"/>
      <c r="O1825" s="3"/>
      <c r="P1825" s="51"/>
      <c r="Q1825" s="5"/>
    </row>
    <row x14ac:dyDescent="0.25" r="1826" customHeight="1" ht="15.75">
      <c r="A1826" s="3"/>
      <c r="B1826" s="3"/>
      <c r="C1826" s="3"/>
      <c r="D1826" s="3"/>
      <c r="E1826" s="3"/>
      <c r="F1826" s="3"/>
      <c r="G1826" s="3"/>
      <c r="H1826" s="60"/>
      <c r="I1826" s="3"/>
      <c r="J1826" s="55"/>
      <c r="K1826" s="56"/>
      <c r="L1826" s="56"/>
      <c r="M1826" s="57"/>
      <c r="N1826" s="3"/>
      <c r="O1826" s="3"/>
      <c r="P1826" s="51"/>
      <c r="Q1826" s="5"/>
    </row>
    <row x14ac:dyDescent="0.25" r="1827" customHeight="1" ht="15.75">
      <c r="A1827" s="3"/>
      <c r="B1827" s="3"/>
      <c r="C1827" s="3"/>
      <c r="D1827" s="3"/>
      <c r="E1827" s="3"/>
      <c r="F1827" s="3"/>
      <c r="G1827" s="3"/>
      <c r="H1827" s="60"/>
      <c r="I1827" s="3"/>
      <c r="J1827" s="55"/>
      <c r="K1827" s="56"/>
      <c r="L1827" s="56"/>
      <c r="M1827" s="57"/>
      <c r="N1827" s="3"/>
      <c r="O1827" s="3"/>
      <c r="P1827" s="51"/>
      <c r="Q1827" s="5"/>
    </row>
    <row x14ac:dyDescent="0.25" r="1828" customHeight="1" ht="15.75">
      <c r="A1828" s="3"/>
      <c r="B1828" s="3"/>
      <c r="C1828" s="3"/>
      <c r="D1828" s="3"/>
      <c r="E1828" s="3"/>
      <c r="F1828" s="3"/>
      <c r="G1828" s="3"/>
      <c r="H1828" s="60"/>
      <c r="I1828" s="3"/>
      <c r="J1828" s="55"/>
      <c r="K1828" s="56"/>
      <c r="L1828" s="56"/>
      <c r="M1828" s="57"/>
      <c r="N1828" s="3"/>
      <c r="O1828" s="3"/>
      <c r="P1828" s="51"/>
      <c r="Q1828" s="5"/>
    </row>
    <row x14ac:dyDescent="0.25" r="1829" customHeight="1" ht="15.75">
      <c r="A1829" s="3"/>
      <c r="B1829" s="3"/>
      <c r="C1829" s="3"/>
      <c r="D1829" s="3"/>
      <c r="E1829" s="3"/>
      <c r="F1829" s="3"/>
      <c r="G1829" s="3"/>
      <c r="H1829" s="60"/>
      <c r="I1829" s="3"/>
      <c r="J1829" s="55"/>
      <c r="K1829" s="56"/>
      <c r="L1829" s="56"/>
      <c r="M1829" s="57"/>
      <c r="N1829" s="3"/>
      <c r="O1829" s="3"/>
      <c r="P1829" s="51"/>
      <c r="Q1829" s="5"/>
    </row>
    <row x14ac:dyDescent="0.25" r="1830" customHeight="1" ht="15.75">
      <c r="A1830" s="3"/>
      <c r="B1830" s="3"/>
      <c r="C1830" s="3"/>
      <c r="D1830" s="3"/>
      <c r="E1830" s="3"/>
      <c r="F1830" s="3"/>
      <c r="G1830" s="3"/>
      <c r="H1830" s="60"/>
      <c r="I1830" s="3"/>
      <c r="J1830" s="55"/>
      <c r="K1830" s="56"/>
      <c r="L1830" s="56"/>
      <c r="M1830" s="57"/>
      <c r="N1830" s="3"/>
      <c r="O1830" s="3"/>
      <c r="P1830" s="51"/>
      <c r="Q1830" s="5"/>
    </row>
    <row x14ac:dyDescent="0.25" r="1831" customHeight="1" ht="15.75">
      <c r="A1831" s="3"/>
      <c r="B1831" s="3"/>
      <c r="C1831" s="3"/>
      <c r="D1831" s="3"/>
      <c r="E1831" s="3"/>
      <c r="F1831" s="3"/>
      <c r="G1831" s="3"/>
      <c r="H1831" s="60"/>
      <c r="I1831" s="3"/>
      <c r="J1831" s="55"/>
      <c r="K1831" s="56"/>
      <c r="L1831" s="56"/>
      <c r="M1831" s="57"/>
      <c r="N1831" s="3"/>
      <c r="O1831" s="3"/>
      <c r="P1831" s="51"/>
      <c r="Q1831" s="5"/>
    </row>
    <row x14ac:dyDescent="0.25" r="1832" customHeight="1" ht="15.75">
      <c r="A1832" s="3"/>
      <c r="B1832" s="3"/>
      <c r="C1832" s="3"/>
      <c r="D1832" s="3"/>
      <c r="E1832" s="3"/>
      <c r="F1832" s="3"/>
      <c r="G1832" s="3"/>
      <c r="H1832" s="60"/>
      <c r="I1832" s="3"/>
      <c r="J1832" s="55"/>
      <c r="K1832" s="56"/>
      <c r="L1832" s="56"/>
      <c r="M1832" s="57"/>
      <c r="N1832" s="3"/>
      <c r="O1832" s="3"/>
      <c r="P1832" s="51"/>
      <c r="Q1832" s="5"/>
    </row>
    <row x14ac:dyDescent="0.25" r="1833" customHeight="1" ht="15.75">
      <c r="A1833" s="3"/>
      <c r="B1833" s="3"/>
      <c r="C1833" s="3"/>
      <c r="D1833" s="3"/>
      <c r="E1833" s="3"/>
      <c r="F1833" s="3"/>
      <c r="G1833" s="3"/>
      <c r="H1833" s="60"/>
      <c r="I1833" s="3"/>
      <c r="J1833" s="55"/>
      <c r="K1833" s="56"/>
      <c r="L1833" s="56"/>
      <c r="M1833" s="57"/>
      <c r="N1833" s="3"/>
      <c r="O1833" s="3"/>
      <c r="P1833" s="51"/>
      <c r="Q1833" s="5"/>
    </row>
    <row x14ac:dyDescent="0.25" r="1834" customHeight="1" ht="15.75">
      <c r="A1834" s="3"/>
      <c r="B1834" s="3"/>
      <c r="C1834" s="3"/>
      <c r="D1834" s="3"/>
      <c r="E1834" s="3"/>
      <c r="F1834" s="3"/>
      <c r="G1834" s="3"/>
      <c r="H1834" s="60"/>
      <c r="I1834" s="3"/>
      <c r="J1834" s="55"/>
      <c r="K1834" s="56"/>
      <c r="L1834" s="56"/>
      <c r="M1834" s="57"/>
      <c r="N1834" s="3"/>
      <c r="O1834" s="3"/>
      <c r="P1834" s="51"/>
      <c r="Q1834" s="5"/>
    </row>
    <row x14ac:dyDescent="0.25" r="1835" customHeight="1" ht="15.75">
      <c r="A1835" s="3"/>
      <c r="B1835" s="3"/>
      <c r="C1835" s="3"/>
      <c r="D1835" s="3"/>
      <c r="E1835" s="3"/>
      <c r="F1835" s="3"/>
      <c r="G1835" s="3"/>
      <c r="H1835" s="60"/>
      <c r="I1835" s="3"/>
      <c r="J1835" s="55"/>
      <c r="K1835" s="56"/>
      <c r="L1835" s="56"/>
      <c r="M1835" s="57"/>
      <c r="N1835" s="3"/>
      <c r="O1835" s="3"/>
      <c r="P1835" s="51"/>
      <c r="Q1835" s="5"/>
    </row>
    <row x14ac:dyDescent="0.25" r="1836" customHeight="1" ht="15.75">
      <c r="A1836" s="3"/>
      <c r="B1836" s="3"/>
      <c r="C1836" s="3"/>
      <c r="D1836" s="3"/>
      <c r="E1836" s="3"/>
      <c r="F1836" s="3"/>
      <c r="G1836" s="3"/>
      <c r="H1836" s="60"/>
      <c r="I1836" s="3"/>
      <c r="J1836" s="55"/>
      <c r="K1836" s="56"/>
      <c r="L1836" s="56"/>
      <c r="M1836" s="57"/>
      <c r="N1836" s="3"/>
      <c r="O1836" s="3"/>
      <c r="P1836" s="51"/>
      <c r="Q1836" s="5"/>
    </row>
    <row x14ac:dyDescent="0.25" r="1837" customHeight="1" ht="15.75">
      <c r="A1837" s="3"/>
      <c r="B1837" s="3"/>
      <c r="C1837" s="3"/>
      <c r="D1837" s="3"/>
      <c r="E1837" s="3"/>
      <c r="F1837" s="3"/>
      <c r="G1837" s="3"/>
      <c r="H1837" s="60"/>
      <c r="I1837" s="3"/>
      <c r="J1837" s="55"/>
      <c r="K1837" s="56"/>
      <c r="L1837" s="56"/>
      <c r="M1837" s="57"/>
      <c r="N1837" s="3"/>
      <c r="O1837" s="3"/>
      <c r="P1837" s="51"/>
      <c r="Q1837" s="5"/>
    </row>
    <row x14ac:dyDescent="0.25" r="1838" customHeight="1" ht="15.75">
      <c r="A1838" s="3"/>
      <c r="B1838" s="3"/>
      <c r="C1838" s="3"/>
      <c r="D1838" s="3"/>
      <c r="E1838" s="3"/>
      <c r="F1838" s="3"/>
      <c r="G1838" s="3"/>
      <c r="H1838" s="60"/>
      <c r="I1838" s="3"/>
      <c r="J1838" s="55"/>
      <c r="K1838" s="56"/>
      <c r="L1838" s="56"/>
      <c r="M1838" s="57"/>
      <c r="N1838" s="3"/>
      <c r="O1838" s="3"/>
      <c r="P1838" s="51"/>
      <c r="Q1838" s="5"/>
    </row>
    <row x14ac:dyDescent="0.25" r="1839" customHeight="1" ht="15.75">
      <c r="A1839" s="3"/>
      <c r="B1839" s="3"/>
      <c r="C1839" s="3"/>
      <c r="D1839" s="3"/>
      <c r="E1839" s="3"/>
      <c r="F1839" s="3"/>
      <c r="G1839" s="3"/>
      <c r="H1839" s="60"/>
      <c r="I1839" s="3"/>
      <c r="J1839" s="55"/>
      <c r="K1839" s="56"/>
      <c r="L1839" s="56"/>
      <c r="M1839" s="57"/>
      <c r="N1839" s="3"/>
      <c r="O1839" s="3"/>
      <c r="P1839" s="51"/>
      <c r="Q1839" s="5"/>
    </row>
    <row x14ac:dyDescent="0.25" r="1840" customHeight="1" ht="15.75">
      <c r="A1840" s="3"/>
      <c r="B1840" s="3"/>
      <c r="C1840" s="3"/>
      <c r="D1840" s="3"/>
      <c r="E1840" s="3"/>
      <c r="F1840" s="3"/>
      <c r="G1840" s="3"/>
      <c r="H1840" s="60"/>
      <c r="I1840" s="3"/>
      <c r="J1840" s="55"/>
      <c r="K1840" s="56"/>
      <c r="L1840" s="56"/>
      <c r="M1840" s="57"/>
      <c r="N1840" s="3"/>
      <c r="O1840" s="3"/>
      <c r="P1840" s="51"/>
      <c r="Q1840" s="5"/>
    </row>
    <row x14ac:dyDescent="0.25" r="1841" customHeight="1" ht="15.75">
      <c r="A1841" s="3"/>
      <c r="B1841" s="3"/>
      <c r="C1841" s="3"/>
      <c r="D1841" s="3"/>
      <c r="E1841" s="3"/>
      <c r="F1841" s="3"/>
      <c r="G1841" s="3"/>
      <c r="H1841" s="60"/>
      <c r="I1841" s="3"/>
      <c r="J1841" s="55"/>
      <c r="K1841" s="56"/>
      <c r="L1841" s="56"/>
      <c r="M1841" s="57"/>
      <c r="N1841" s="3"/>
      <c r="O1841" s="3"/>
      <c r="P1841" s="51"/>
      <c r="Q1841" s="5"/>
    </row>
    <row x14ac:dyDescent="0.25" r="1842" customHeight="1" ht="15.75">
      <c r="A1842" s="3"/>
      <c r="B1842" s="3"/>
      <c r="C1842" s="3"/>
      <c r="D1842" s="3"/>
      <c r="E1842" s="3"/>
      <c r="F1842" s="3"/>
      <c r="G1842" s="3"/>
      <c r="H1842" s="60"/>
      <c r="I1842" s="3"/>
      <c r="J1842" s="55"/>
      <c r="K1842" s="56"/>
      <c r="L1842" s="56"/>
      <c r="M1842" s="57"/>
      <c r="N1842" s="3"/>
      <c r="O1842" s="3"/>
      <c r="P1842" s="51"/>
      <c r="Q1842" s="5"/>
    </row>
    <row x14ac:dyDescent="0.25" r="1843" customHeight="1" ht="15.75">
      <c r="A1843" s="3"/>
      <c r="B1843" s="3"/>
      <c r="C1843" s="3"/>
      <c r="D1843" s="3"/>
      <c r="E1843" s="3"/>
      <c r="F1843" s="3"/>
      <c r="G1843" s="3"/>
      <c r="H1843" s="60"/>
      <c r="I1843" s="3"/>
      <c r="J1843" s="55"/>
      <c r="K1843" s="56"/>
      <c r="L1843" s="56"/>
      <c r="M1843" s="57"/>
      <c r="N1843" s="3"/>
      <c r="O1843" s="3"/>
      <c r="P1843" s="51"/>
      <c r="Q1843" s="5"/>
    </row>
    <row x14ac:dyDescent="0.25" r="1844" customHeight="1" ht="15.75">
      <c r="A1844" s="3"/>
      <c r="B1844" s="3"/>
      <c r="C1844" s="3"/>
      <c r="D1844" s="3"/>
      <c r="E1844" s="3"/>
      <c r="F1844" s="3"/>
      <c r="G1844" s="3"/>
      <c r="H1844" s="60"/>
      <c r="I1844" s="3"/>
      <c r="J1844" s="55"/>
      <c r="K1844" s="56"/>
      <c r="L1844" s="56"/>
      <c r="M1844" s="57"/>
      <c r="N1844" s="3"/>
      <c r="O1844" s="3"/>
      <c r="P1844" s="51"/>
      <c r="Q1844" s="5"/>
    </row>
    <row x14ac:dyDescent="0.25" r="1845" customHeight="1" ht="15.75">
      <c r="A1845" s="3"/>
      <c r="B1845" s="3"/>
      <c r="C1845" s="3"/>
      <c r="D1845" s="3"/>
      <c r="E1845" s="3"/>
      <c r="F1845" s="3"/>
      <c r="G1845" s="3"/>
      <c r="H1845" s="60"/>
      <c r="I1845" s="3"/>
      <c r="J1845" s="55"/>
      <c r="K1845" s="56"/>
      <c r="L1845" s="56"/>
      <c r="M1845" s="57"/>
      <c r="N1845" s="3"/>
      <c r="O1845" s="3"/>
      <c r="P1845" s="51"/>
      <c r="Q1845" s="5"/>
    </row>
    <row x14ac:dyDescent="0.25" r="1846" customHeight="1" ht="15.75">
      <c r="A1846" s="3"/>
      <c r="B1846" s="3"/>
      <c r="C1846" s="3"/>
      <c r="D1846" s="3"/>
      <c r="E1846" s="3"/>
      <c r="F1846" s="3"/>
      <c r="G1846" s="3"/>
      <c r="H1846" s="60"/>
      <c r="I1846" s="3"/>
      <c r="J1846" s="55"/>
      <c r="K1846" s="56"/>
      <c r="L1846" s="56"/>
      <c r="M1846" s="57"/>
      <c r="N1846" s="3"/>
      <c r="O1846" s="3"/>
      <c r="P1846" s="51"/>
      <c r="Q1846" s="5"/>
    </row>
    <row x14ac:dyDescent="0.25" r="1847" customHeight="1" ht="15.75">
      <c r="A1847" s="3"/>
      <c r="B1847" s="3"/>
      <c r="C1847" s="3"/>
      <c r="D1847" s="3"/>
      <c r="E1847" s="3"/>
      <c r="F1847" s="3"/>
      <c r="G1847" s="3"/>
      <c r="H1847" s="60"/>
      <c r="I1847" s="3"/>
      <c r="J1847" s="55"/>
      <c r="K1847" s="56"/>
      <c r="L1847" s="56"/>
      <c r="M1847" s="57"/>
      <c r="N1847" s="3"/>
      <c r="O1847" s="3"/>
      <c r="P1847" s="51"/>
      <c r="Q1847" s="5"/>
    </row>
    <row x14ac:dyDescent="0.25" r="1848" customHeight="1" ht="15.75">
      <c r="A1848" s="3"/>
      <c r="B1848" s="3"/>
      <c r="C1848" s="3"/>
      <c r="D1848" s="3"/>
      <c r="E1848" s="3"/>
      <c r="F1848" s="3"/>
      <c r="G1848" s="3"/>
      <c r="H1848" s="60"/>
      <c r="I1848" s="3"/>
      <c r="J1848" s="55"/>
      <c r="K1848" s="56"/>
      <c r="L1848" s="56"/>
      <c r="M1848" s="57"/>
      <c r="N1848" s="3"/>
      <c r="O1848" s="3"/>
      <c r="P1848" s="51"/>
      <c r="Q1848" s="5"/>
    </row>
    <row x14ac:dyDescent="0.25" r="1849" customHeight="1" ht="15.75">
      <c r="A1849" s="3"/>
      <c r="B1849" s="3"/>
      <c r="C1849" s="3"/>
      <c r="D1849" s="3"/>
      <c r="E1849" s="3"/>
      <c r="F1849" s="3"/>
      <c r="G1849" s="3"/>
      <c r="H1849" s="60"/>
      <c r="I1849" s="3"/>
      <c r="J1849" s="55"/>
      <c r="K1849" s="56"/>
      <c r="L1849" s="56"/>
      <c r="M1849" s="57"/>
      <c r="N1849" s="3"/>
      <c r="O1849" s="3"/>
      <c r="P1849" s="51"/>
      <c r="Q1849" s="5"/>
    </row>
    <row x14ac:dyDescent="0.25" r="1850" customHeight="1" ht="15.75">
      <c r="A1850" s="3"/>
      <c r="B1850" s="3"/>
      <c r="C1850" s="3"/>
      <c r="D1850" s="3"/>
      <c r="E1850" s="3"/>
      <c r="F1850" s="3"/>
      <c r="G1850" s="3"/>
      <c r="H1850" s="60"/>
      <c r="I1850" s="3"/>
      <c r="J1850" s="55"/>
      <c r="K1850" s="56"/>
      <c r="L1850" s="56"/>
      <c r="M1850" s="57"/>
      <c r="N1850" s="3"/>
      <c r="O1850" s="3"/>
      <c r="P1850" s="51"/>
      <c r="Q1850" s="5"/>
    </row>
    <row x14ac:dyDescent="0.25" r="1851" customHeight="1" ht="15.75">
      <c r="A1851" s="3"/>
      <c r="B1851" s="3"/>
      <c r="C1851" s="3"/>
      <c r="D1851" s="3"/>
      <c r="E1851" s="3"/>
      <c r="F1851" s="3"/>
      <c r="G1851" s="3"/>
      <c r="H1851" s="60"/>
      <c r="I1851" s="3"/>
      <c r="J1851" s="55"/>
      <c r="K1851" s="56"/>
      <c r="L1851" s="56"/>
      <c r="M1851" s="57"/>
      <c r="N1851" s="3"/>
      <c r="O1851" s="3"/>
      <c r="P1851" s="51"/>
      <c r="Q1851" s="5"/>
    </row>
    <row x14ac:dyDescent="0.25" r="1852" customHeight="1" ht="15.75">
      <c r="A1852" s="3"/>
      <c r="B1852" s="3"/>
      <c r="C1852" s="3"/>
      <c r="D1852" s="3"/>
      <c r="E1852" s="3"/>
      <c r="F1852" s="3"/>
      <c r="G1852" s="3"/>
      <c r="H1852" s="60"/>
      <c r="I1852" s="3"/>
      <c r="J1852" s="55"/>
      <c r="K1852" s="56"/>
      <c r="L1852" s="56"/>
      <c r="M1852" s="57"/>
      <c r="N1852" s="3"/>
      <c r="O1852" s="3"/>
      <c r="P1852" s="51"/>
      <c r="Q1852" s="5"/>
    </row>
    <row x14ac:dyDescent="0.25" r="1853" customHeight="1" ht="15.75">
      <c r="A1853" s="3"/>
      <c r="B1853" s="3"/>
      <c r="C1853" s="3"/>
      <c r="D1853" s="3"/>
      <c r="E1853" s="3"/>
      <c r="F1853" s="3"/>
      <c r="G1853" s="3"/>
      <c r="H1853" s="60"/>
      <c r="I1853" s="3"/>
      <c r="J1853" s="55"/>
      <c r="K1853" s="56"/>
      <c r="L1853" s="56"/>
      <c r="M1853" s="57"/>
      <c r="N1853" s="3"/>
      <c r="O1853" s="3"/>
      <c r="P1853" s="51"/>
      <c r="Q1853" s="5"/>
    </row>
    <row x14ac:dyDescent="0.25" r="1854" customHeight="1" ht="15.75">
      <c r="A1854" s="3"/>
      <c r="B1854" s="3"/>
      <c r="C1854" s="3"/>
      <c r="D1854" s="3"/>
      <c r="E1854" s="3"/>
      <c r="F1854" s="3"/>
      <c r="G1854" s="3"/>
      <c r="H1854" s="60"/>
      <c r="I1854" s="3"/>
      <c r="J1854" s="55"/>
      <c r="K1854" s="56"/>
      <c r="L1854" s="56"/>
      <c r="M1854" s="57"/>
      <c r="N1854" s="3"/>
      <c r="O1854" s="3"/>
      <c r="P1854" s="51"/>
      <c r="Q1854" s="5"/>
    </row>
    <row x14ac:dyDescent="0.25" r="1855" customHeight="1" ht="15.75">
      <c r="A1855" s="3"/>
      <c r="B1855" s="3"/>
      <c r="C1855" s="3"/>
      <c r="D1855" s="3"/>
      <c r="E1855" s="3"/>
      <c r="F1855" s="3"/>
      <c r="G1855" s="3"/>
      <c r="H1855" s="60"/>
      <c r="I1855" s="3"/>
      <c r="J1855" s="55"/>
      <c r="K1855" s="56"/>
      <c r="L1855" s="56"/>
      <c r="M1855" s="57"/>
      <c r="N1855" s="3"/>
      <c r="O1855" s="3"/>
      <c r="P1855" s="51"/>
      <c r="Q1855" s="5"/>
    </row>
    <row x14ac:dyDescent="0.25" r="1856" customHeight="1" ht="15.75">
      <c r="A1856" s="3"/>
      <c r="B1856" s="3"/>
      <c r="C1856" s="3"/>
      <c r="D1856" s="3"/>
      <c r="E1856" s="3"/>
      <c r="F1856" s="3"/>
      <c r="G1856" s="3"/>
      <c r="H1856" s="60"/>
      <c r="I1856" s="3"/>
      <c r="J1856" s="55"/>
      <c r="K1856" s="56"/>
      <c r="L1856" s="56"/>
      <c r="M1856" s="57"/>
      <c r="N1856" s="3"/>
      <c r="O1856" s="3"/>
      <c r="P1856" s="51"/>
      <c r="Q1856" s="5"/>
    </row>
    <row x14ac:dyDescent="0.25" r="1857" customHeight="1" ht="15.75">
      <c r="A1857" s="3"/>
      <c r="B1857" s="3"/>
      <c r="C1857" s="3"/>
      <c r="D1857" s="3"/>
      <c r="E1857" s="3"/>
      <c r="F1857" s="3"/>
      <c r="G1857" s="3"/>
      <c r="H1857" s="60"/>
      <c r="I1857" s="3"/>
      <c r="J1857" s="55"/>
      <c r="K1857" s="56"/>
      <c r="L1857" s="56"/>
      <c r="M1857" s="57"/>
      <c r="N1857" s="3"/>
      <c r="O1857" s="3"/>
      <c r="P1857" s="51"/>
      <c r="Q1857" s="5"/>
    </row>
    <row x14ac:dyDescent="0.25" r="1858" customHeight="1" ht="15.75">
      <c r="A1858" s="3"/>
      <c r="B1858" s="3"/>
      <c r="C1858" s="3"/>
      <c r="D1858" s="3"/>
      <c r="E1858" s="3"/>
      <c r="F1858" s="3"/>
      <c r="G1858" s="3"/>
      <c r="H1858" s="60"/>
      <c r="I1858" s="3"/>
      <c r="J1858" s="55"/>
      <c r="K1858" s="56"/>
      <c r="L1858" s="56"/>
      <c r="M1858" s="57"/>
      <c r="N1858" s="3"/>
      <c r="O1858" s="3"/>
      <c r="P1858" s="51"/>
      <c r="Q1858" s="5"/>
    </row>
    <row x14ac:dyDescent="0.25" r="1859" customHeight="1" ht="15.75">
      <c r="A1859" s="3"/>
      <c r="B1859" s="3"/>
      <c r="C1859" s="3"/>
      <c r="D1859" s="3"/>
      <c r="E1859" s="3"/>
      <c r="F1859" s="3"/>
      <c r="G1859" s="3"/>
      <c r="H1859" s="60"/>
      <c r="I1859" s="3"/>
      <c r="J1859" s="55"/>
      <c r="K1859" s="56"/>
      <c r="L1859" s="56"/>
      <c r="M1859" s="57"/>
      <c r="N1859" s="3"/>
      <c r="O1859" s="3"/>
      <c r="P1859" s="51"/>
      <c r="Q1859" s="5"/>
    </row>
    <row x14ac:dyDescent="0.25" r="1860" customHeight="1" ht="15.75">
      <c r="A1860" s="3"/>
      <c r="B1860" s="3"/>
      <c r="C1860" s="3"/>
      <c r="D1860" s="3"/>
      <c r="E1860" s="3"/>
      <c r="F1860" s="3"/>
      <c r="G1860" s="3"/>
      <c r="H1860" s="60"/>
      <c r="I1860" s="3"/>
      <c r="J1860" s="55"/>
      <c r="K1860" s="56"/>
      <c r="L1860" s="56"/>
      <c r="M1860" s="57"/>
      <c r="N1860" s="3"/>
      <c r="O1860" s="3"/>
      <c r="P1860" s="51"/>
      <c r="Q1860" s="5"/>
    </row>
    <row x14ac:dyDescent="0.25" r="1861" customHeight="1" ht="15.75">
      <c r="A1861" s="3"/>
      <c r="B1861" s="3"/>
      <c r="C1861" s="3"/>
      <c r="D1861" s="3"/>
      <c r="E1861" s="3"/>
      <c r="F1861" s="3"/>
      <c r="G1861" s="3"/>
      <c r="H1861" s="60"/>
      <c r="I1861" s="3"/>
      <c r="J1861" s="55"/>
      <c r="K1861" s="56"/>
      <c r="L1861" s="56"/>
      <c r="M1861" s="57"/>
      <c r="N1861" s="3"/>
      <c r="O1861" s="3"/>
      <c r="P1861" s="51"/>
      <c r="Q1861" s="5"/>
    </row>
    <row x14ac:dyDescent="0.25" r="1862" customHeight="1" ht="15.75">
      <c r="A1862" s="3"/>
      <c r="B1862" s="3"/>
      <c r="C1862" s="3"/>
      <c r="D1862" s="3"/>
      <c r="E1862" s="3"/>
      <c r="F1862" s="3"/>
      <c r="G1862" s="3"/>
      <c r="H1862" s="60"/>
      <c r="I1862" s="3"/>
      <c r="J1862" s="55"/>
      <c r="K1862" s="56"/>
      <c r="L1862" s="56"/>
      <c r="M1862" s="57"/>
      <c r="N1862" s="3"/>
      <c r="O1862" s="3"/>
      <c r="P1862" s="51"/>
      <c r="Q1862" s="5"/>
    </row>
    <row x14ac:dyDescent="0.25" r="1863" customHeight="1" ht="15.75">
      <c r="A1863" s="3"/>
      <c r="B1863" s="3"/>
      <c r="C1863" s="3"/>
      <c r="D1863" s="3"/>
      <c r="E1863" s="3"/>
      <c r="F1863" s="3"/>
      <c r="G1863" s="3"/>
      <c r="H1863" s="60"/>
      <c r="I1863" s="3"/>
      <c r="J1863" s="55"/>
      <c r="K1863" s="56"/>
      <c r="L1863" s="56"/>
      <c r="M1863" s="57"/>
      <c r="N1863" s="3"/>
      <c r="O1863" s="3"/>
      <c r="P1863" s="51"/>
      <c r="Q1863" s="5"/>
    </row>
    <row x14ac:dyDescent="0.25" r="1864" customHeight="1" ht="15.75">
      <c r="A1864" s="3"/>
      <c r="B1864" s="3"/>
      <c r="C1864" s="3"/>
      <c r="D1864" s="3"/>
      <c r="E1864" s="3"/>
      <c r="F1864" s="3"/>
      <c r="G1864" s="3"/>
      <c r="H1864" s="60"/>
      <c r="I1864" s="3"/>
      <c r="J1864" s="55"/>
      <c r="K1864" s="56"/>
      <c r="L1864" s="56"/>
      <c r="M1864" s="57"/>
      <c r="N1864" s="3"/>
      <c r="O1864" s="3"/>
      <c r="P1864" s="51"/>
      <c r="Q1864" s="5"/>
    </row>
    <row x14ac:dyDescent="0.25" r="1865" customHeight="1" ht="15.75">
      <c r="A1865" s="3"/>
      <c r="B1865" s="3"/>
      <c r="C1865" s="3"/>
      <c r="D1865" s="3"/>
      <c r="E1865" s="3"/>
      <c r="F1865" s="3"/>
      <c r="G1865" s="3"/>
      <c r="H1865" s="60"/>
      <c r="I1865" s="3"/>
      <c r="J1865" s="55"/>
      <c r="K1865" s="56"/>
      <c r="L1865" s="56"/>
      <c r="M1865" s="57"/>
      <c r="N1865" s="3"/>
      <c r="O1865" s="3"/>
      <c r="P1865" s="51"/>
      <c r="Q1865" s="5"/>
    </row>
    <row x14ac:dyDescent="0.25" r="1866" customHeight="1" ht="15.75">
      <c r="A1866" s="3"/>
      <c r="B1866" s="3"/>
      <c r="C1866" s="3"/>
      <c r="D1866" s="3"/>
      <c r="E1866" s="3"/>
      <c r="F1866" s="3"/>
      <c r="G1866" s="3"/>
      <c r="H1866" s="60"/>
      <c r="I1866" s="3"/>
      <c r="J1866" s="55"/>
      <c r="K1866" s="56"/>
      <c r="L1866" s="56"/>
      <c r="M1866" s="57"/>
      <c r="N1866" s="3"/>
      <c r="O1866" s="3"/>
      <c r="P1866" s="51"/>
      <c r="Q1866" s="5"/>
    </row>
    <row x14ac:dyDescent="0.25" r="1867" customHeight="1" ht="15.75">
      <c r="A1867" s="3"/>
      <c r="B1867" s="3"/>
      <c r="C1867" s="3"/>
      <c r="D1867" s="3"/>
      <c r="E1867" s="3"/>
      <c r="F1867" s="3"/>
      <c r="G1867" s="3"/>
      <c r="H1867" s="60"/>
      <c r="I1867" s="3"/>
      <c r="J1867" s="55"/>
      <c r="K1867" s="56"/>
      <c r="L1867" s="56"/>
      <c r="M1867" s="57"/>
      <c r="N1867" s="3"/>
      <c r="O1867" s="3"/>
      <c r="P1867" s="51"/>
      <c r="Q1867" s="5"/>
    </row>
    <row x14ac:dyDescent="0.25" r="1868" customHeight="1" ht="15.75">
      <c r="A1868" s="3"/>
      <c r="B1868" s="3"/>
      <c r="C1868" s="3"/>
      <c r="D1868" s="3"/>
      <c r="E1868" s="3"/>
      <c r="F1868" s="3"/>
      <c r="G1868" s="3"/>
      <c r="H1868" s="60"/>
      <c r="I1868" s="3"/>
      <c r="J1868" s="55"/>
      <c r="K1868" s="56"/>
      <c r="L1868" s="56"/>
      <c r="M1868" s="57"/>
      <c r="N1868" s="3"/>
      <c r="O1868" s="3"/>
      <c r="P1868" s="51"/>
      <c r="Q1868" s="5"/>
    </row>
    <row x14ac:dyDescent="0.25" r="1869" customHeight="1" ht="15.75">
      <c r="A1869" s="3"/>
      <c r="B1869" s="3"/>
      <c r="C1869" s="3"/>
      <c r="D1869" s="3"/>
      <c r="E1869" s="3"/>
      <c r="F1869" s="3"/>
      <c r="G1869" s="3"/>
      <c r="H1869" s="60"/>
      <c r="I1869" s="3"/>
      <c r="J1869" s="55"/>
      <c r="K1869" s="56"/>
      <c r="L1869" s="56"/>
      <c r="M1869" s="57"/>
      <c r="N1869" s="3"/>
      <c r="O1869" s="3"/>
      <c r="P1869" s="51"/>
      <c r="Q1869" s="5"/>
    </row>
    <row x14ac:dyDescent="0.25" r="1870" customHeight="1" ht="15.75">
      <c r="A1870" s="3"/>
      <c r="B1870" s="3"/>
      <c r="C1870" s="3"/>
      <c r="D1870" s="3"/>
      <c r="E1870" s="3"/>
      <c r="F1870" s="3"/>
      <c r="G1870" s="3"/>
      <c r="H1870" s="60"/>
      <c r="I1870" s="3"/>
      <c r="J1870" s="55"/>
      <c r="K1870" s="56"/>
      <c r="L1870" s="56"/>
      <c r="M1870" s="57"/>
      <c r="N1870" s="3"/>
      <c r="O1870" s="3"/>
      <c r="P1870" s="51"/>
      <c r="Q1870" s="5"/>
    </row>
    <row x14ac:dyDescent="0.25" r="1871" customHeight="1" ht="15.75">
      <c r="A1871" s="3"/>
      <c r="B1871" s="3"/>
      <c r="C1871" s="3"/>
      <c r="D1871" s="3"/>
      <c r="E1871" s="3"/>
      <c r="F1871" s="3"/>
      <c r="G1871" s="3"/>
      <c r="H1871" s="60"/>
      <c r="I1871" s="3"/>
      <c r="J1871" s="55"/>
      <c r="K1871" s="56"/>
      <c r="L1871" s="56"/>
      <c r="M1871" s="57"/>
      <c r="N1871" s="3"/>
      <c r="O1871" s="3"/>
      <c r="P1871" s="51"/>
      <c r="Q1871" s="5"/>
    </row>
    <row x14ac:dyDescent="0.25" r="1872" customHeight="1" ht="15.75">
      <c r="A1872" s="3"/>
      <c r="B1872" s="3"/>
      <c r="C1872" s="3"/>
      <c r="D1872" s="3"/>
      <c r="E1872" s="3"/>
      <c r="F1872" s="3"/>
      <c r="G1872" s="3"/>
      <c r="H1872" s="60"/>
      <c r="I1872" s="3"/>
      <c r="J1872" s="55"/>
      <c r="K1872" s="56"/>
      <c r="L1872" s="56"/>
      <c r="M1872" s="57"/>
      <c r="N1872" s="3"/>
      <c r="O1872" s="3"/>
      <c r="P1872" s="51"/>
      <c r="Q1872" s="5"/>
    </row>
    <row x14ac:dyDescent="0.25" r="1873" customHeight="1" ht="15.75">
      <c r="A1873" s="3"/>
      <c r="B1873" s="3"/>
      <c r="C1873" s="3"/>
      <c r="D1873" s="3"/>
      <c r="E1873" s="3"/>
      <c r="F1873" s="3"/>
      <c r="G1873" s="3"/>
      <c r="H1873" s="60"/>
      <c r="I1873" s="3"/>
      <c r="J1873" s="55"/>
      <c r="K1873" s="56"/>
      <c r="L1873" s="56"/>
      <c r="M1873" s="57"/>
      <c r="N1873" s="3"/>
      <c r="O1873" s="3"/>
      <c r="P1873" s="51"/>
      <c r="Q1873" s="5"/>
    </row>
    <row x14ac:dyDescent="0.25" r="1874" customHeight="1" ht="15.75">
      <c r="A1874" s="3"/>
      <c r="B1874" s="3"/>
      <c r="C1874" s="3"/>
      <c r="D1874" s="3"/>
      <c r="E1874" s="3"/>
      <c r="F1874" s="3"/>
      <c r="G1874" s="3"/>
      <c r="H1874" s="60"/>
      <c r="I1874" s="3"/>
      <c r="J1874" s="55"/>
      <c r="K1874" s="56"/>
      <c r="L1874" s="56"/>
      <c r="M1874" s="57"/>
      <c r="N1874" s="3"/>
      <c r="O1874" s="3"/>
      <c r="P1874" s="51"/>
      <c r="Q1874" s="5"/>
    </row>
    <row x14ac:dyDescent="0.25" r="1875" customHeight="1" ht="15.75">
      <c r="A1875" s="3"/>
      <c r="B1875" s="3"/>
      <c r="C1875" s="3"/>
      <c r="D1875" s="3"/>
      <c r="E1875" s="3"/>
      <c r="F1875" s="3"/>
      <c r="G1875" s="3"/>
      <c r="H1875" s="60"/>
      <c r="I1875" s="3"/>
      <c r="J1875" s="55"/>
      <c r="K1875" s="56"/>
      <c r="L1875" s="56"/>
      <c r="M1875" s="57"/>
      <c r="N1875" s="3"/>
      <c r="O1875" s="3"/>
      <c r="P1875" s="51"/>
      <c r="Q1875" s="5"/>
    </row>
    <row x14ac:dyDescent="0.25" r="1876" customHeight="1" ht="15.75">
      <c r="A1876" s="3"/>
      <c r="B1876" s="3"/>
      <c r="C1876" s="3"/>
      <c r="D1876" s="3"/>
      <c r="E1876" s="3"/>
      <c r="F1876" s="3"/>
      <c r="G1876" s="3"/>
      <c r="H1876" s="60"/>
      <c r="I1876" s="3"/>
      <c r="J1876" s="55"/>
      <c r="K1876" s="56"/>
      <c r="L1876" s="56"/>
      <c r="M1876" s="57"/>
      <c r="N1876" s="3"/>
      <c r="O1876" s="3"/>
      <c r="P1876" s="51"/>
      <c r="Q1876" s="5"/>
    </row>
    <row x14ac:dyDescent="0.25" r="1877" customHeight="1" ht="15.75">
      <c r="A1877" s="3"/>
      <c r="B1877" s="3"/>
      <c r="C1877" s="3"/>
      <c r="D1877" s="3"/>
      <c r="E1877" s="3"/>
      <c r="F1877" s="3"/>
      <c r="G1877" s="3"/>
      <c r="H1877" s="60"/>
      <c r="I1877" s="3"/>
      <c r="J1877" s="55"/>
      <c r="K1877" s="56"/>
      <c r="L1877" s="56"/>
      <c r="M1877" s="57"/>
      <c r="N1877" s="3"/>
      <c r="O1877" s="3"/>
      <c r="P1877" s="51"/>
      <c r="Q1877" s="5"/>
    </row>
    <row x14ac:dyDescent="0.25" r="1878" customHeight="1" ht="15.75">
      <c r="A1878" s="3"/>
      <c r="B1878" s="3"/>
      <c r="C1878" s="3"/>
      <c r="D1878" s="3"/>
      <c r="E1878" s="3"/>
      <c r="F1878" s="3"/>
      <c r="G1878" s="3"/>
      <c r="H1878" s="60"/>
      <c r="I1878" s="3"/>
      <c r="J1878" s="55"/>
      <c r="K1878" s="56"/>
      <c r="L1878" s="56"/>
      <c r="M1878" s="57"/>
      <c r="N1878" s="3"/>
      <c r="O1878" s="3"/>
      <c r="P1878" s="51"/>
      <c r="Q1878" s="5"/>
    </row>
    <row x14ac:dyDescent="0.25" r="1879" customHeight="1" ht="15.75">
      <c r="A1879" s="3"/>
      <c r="B1879" s="3"/>
      <c r="C1879" s="3"/>
      <c r="D1879" s="3"/>
      <c r="E1879" s="3"/>
      <c r="F1879" s="3"/>
      <c r="G1879" s="3"/>
      <c r="H1879" s="60"/>
      <c r="I1879" s="3"/>
      <c r="J1879" s="55"/>
      <c r="K1879" s="56"/>
      <c r="L1879" s="56"/>
      <c r="M1879" s="57"/>
      <c r="N1879" s="3"/>
      <c r="O1879" s="3"/>
      <c r="P1879" s="51"/>
      <c r="Q1879" s="5"/>
    </row>
    <row x14ac:dyDescent="0.25" r="1880" customHeight="1" ht="15.75">
      <c r="A1880" s="3"/>
      <c r="B1880" s="3"/>
      <c r="C1880" s="3"/>
      <c r="D1880" s="3"/>
      <c r="E1880" s="3"/>
      <c r="F1880" s="3"/>
      <c r="G1880" s="3"/>
      <c r="H1880" s="60"/>
      <c r="I1880" s="3"/>
      <c r="J1880" s="55"/>
      <c r="K1880" s="56"/>
      <c r="L1880" s="56"/>
      <c r="M1880" s="57"/>
      <c r="N1880" s="3"/>
      <c r="O1880" s="3"/>
      <c r="P1880" s="51"/>
      <c r="Q1880" s="5"/>
    </row>
    <row x14ac:dyDescent="0.25" r="1881" customHeight="1" ht="15.75">
      <c r="A1881" s="3"/>
      <c r="B1881" s="3"/>
      <c r="C1881" s="3"/>
      <c r="D1881" s="3"/>
      <c r="E1881" s="3"/>
      <c r="F1881" s="3"/>
      <c r="G1881" s="3"/>
      <c r="H1881" s="60"/>
      <c r="I1881" s="3"/>
      <c r="J1881" s="55"/>
      <c r="K1881" s="56"/>
      <c r="L1881" s="56"/>
      <c r="M1881" s="57"/>
      <c r="N1881" s="3"/>
      <c r="O1881" s="3"/>
      <c r="P1881" s="51"/>
      <c r="Q1881" s="5"/>
    </row>
    <row x14ac:dyDescent="0.25" r="1882" customHeight="1" ht="15.75">
      <c r="A1882" s="3"/>
      <c r="B1882" s="3"/>
      <c r="C1882" s="3"/>
      <c r="D1882" s="3"/>
      <c r="E1882" s="3"/>
      <c r="F1882" s="3"/>
      <c r="G1882" s="3"/>
      <c r="H1882" s="60"/>
      <c r="I1882" s="3"/>
      <c r="J1882" s="55"/>
      <c r="K1882" s="56"/>
      <c r="L1882" s="56"/>
      <c r="M1882" s="57"/>
      <c r="N1882" s="3"/>
      <c r="O1882" s="3"/>
      <c r="P1882" s="51"/>
      <c r="Q1882" s="5"/>
    </row>
    <row x14ac:dyDescent="0.25" r="1883" customHeight="1" ht="15.75">
      <c r="A1883" s="3"/>
      <c r="B1883" s="3"/>
      <c r="C1883" s="3"/>
      <c r="D1883" s="3"/>
      <c r="E1883" s="3"/>
      <c r="F1883" s="3"/>
      <c r="G1883" s="3"/>
      <c r="H1883" s="60"/>
      <c r="I1883" s="3"/>
      <c r="J1883" s="55"/>
      <c r="K1883" s="56"/>
      <c r="L1883" s="56"/>
      <c r="M1883" s="57"/>
      <c r="N1883" s="3"/>
      <c r="O1883" s="3"/>
      <c r="P1883" s="51"/>
      <c r="Q1883" s="5"/>
    </row>
    <row x14ac:dyDescent="0.25" r="1884" customHeight="1" ht="15.75">
      <c r="A1884" s="3"/>
      <c r="B1884" s="3"/>
      <c r="C1884" s="3"/>
      <c r="D1884" s="3"/>
      <c r="E1884" s="3"/>
      <c r="F1884" s="3"/>
      <c r="G1884" s="3"/>
      <c r="H1884" s="60"/>
      <c r="I1884" s="3"/>
      <c r="J1884" s="55"/>
      <c r="K1884" s="56"/>
      <c r="L1884" s="56"/>
      <c r="M1884" s="57"/>
      <c r="N1884" s="3"/>
      <c r="O1884" s="3"/>
      <c r="P1884" s="51"/>
      <c r="Q1884" s="5"/>
    </row>
    <row x14ac:dyDescent="0.25" r="1885" customHeight="1" ht="15.75">
      <c r="A1885" s="3"/>
      <c r="B1885" s="3"/>
      <c r="C1885" s="3"/>
      <c r="D1885" s="3"/>
      <c r="E1885" s="3"/>
      <c r="F1885" s="3"/>
      <c r="G1885" s="3"/>
      <c r="H1885" s="60"/>
      <c r="I1885" s="3"/>
      <c r="J1885" s="55"/>
      <c r="K1885" s="56"/>
      <c r="L1885" s="56"/>
      <c r="M1885" s="57"/>
      <c r="N1885" s="3"/>
      <c r="O1885" s="3"/>
      <c r="P1885" s="51"/>
      <c r="Q1885" s="5"/>
    </row>
    <row x14ac:dyDescent="0.25" r="1886" customHeight="1" ht="15.75">
      <c r="A1886" s="3"/>
      <c r="B1886" s="3"/>
      <c r="C1886" s="3"/>
      <c r="D1886" s="3"/>
      <c r="E1886" s="3"/>
      <c r="F1886" s="3"/>
      <c r="G1886" s="3"/>
      <c r="H1886" s="60"/>
      <c r="I1886" s="3"/>
      <c r="J1886" s="55"/>
      <c r="K1886" s="56"/>
      <c r="L1886" s="56"/>
      <c r="M1886" s="57"/>
      <c r="N1886" s="3"/>
      <c r="O1886" s="3"/>
      <c r="P1886" s="51"/>
      <c r="Q1886" s="5"/>
    </row>
    <row x14ac:dyDescent="0.25" r="1887" customHeight="1" ht="15.75">
      <c r="A1887" s="3"/>
      <c r="B1887" s="3"/>
      <c r="C1887" s="3"/>
      <c r="D1887" s="3"/>
      <c r="E1887" s="3"/>
      <c r="F1887" s="3"/>
      <c r="G1887" s="3"/>
      <c r="H1887" s="60"/>
      <c r="I1887" s="3"/>
      <c r="J1887" s="55"/>
      <c r="K1887" s="56"/>
      <c r="L1887" s="56"/>
      <c r="M1887" s="57"/>
      <c r="N1887" s="3"/>
      <c r="O1887" s="3"/>
      <c r="P1887" s="51"/>
      <c r="Q1887" s="5"/>
    </row>
    <row x14ac:dyDescent="0.25" r="1888" customHeight="1" ht="15.75">
      <c r="A1888" s="3"/>
      <c r="B1888" s="3"/>
      <c r="C1888" s="3"/>
      <c r="D1888" s="3"/>
      <c r="E1888" s="3"/>
      <c r="F1888" s="3"/>
      <c r="G1888" s="3"/>
      <c r="H1888" s="60"/>
      <c r="I1888" s="3"/>
      <c r="J1888" s="55"/>
      <c r="K1888" s="56"/>
      <c r="L1888" s="56"/>
      <c r="M1888" s="57"/>
      <c r="N1888" s="3"/>
      <c r="O1888" s="3"/>
      <c r="P1888" s="51"/>
      <c r="Q1888" s="5"/>
    </row>
    <row x14ac:dyDescent="0.25" r="1889" customHeight="1" ht="15.75">
      <c r="A1889" s="3"/>
      <c r="B1889" s="3"/>
      <c r="C1889" s="3"/>
      <c r="D1889" s="3"/>
      <c r="E1889" s="3"/>
      <c r="F1889" s="3"/>
      <c r="G1889" s="3"/>
      <c r="H1889" s="60"/>
      <c r="I1889" s="3"/>
      <c r="J1889" s="55"/>
      <c r="K1889" s="56"/>
      <c r="L1889" s="56"/>
      <c r="M1889" s="57"/>
      <c r="N1889" s="3"/>
      <c r="O1889" s="3"/>
      <c r="P1889" s="51"/>
      <c r="Q1889" s="5"/>
    </row>
    <row x14ac:dyDescent="0.25" r="1890" customHeight="1" ht="15.75">
      <c r="A1890" s="3"/>
      <c r="B1890" s="3"/>
      <c r="C1890" s="3"/>
      <c r="D1890" s="3"/>
      <c r="E1890" s="3"/>
      <c r="F1890" s="3"/>
      <c r="G1890" s="3"/>
      <c r="H1890" s="60"/>
      <c r="I1890" s="3"/>
      <c r="J1890" s="55"/>
      <c r="K1890" s="56"/>
      <c r="L1890" s="56"/>
      <c r="M1890" s="57"/>
      <c r="N1890" s="3"/>
      <c r="O1890" s="3"/>
      <c r="P1890" s="51"/>
      <c r="Q1890" s="5"/>
    </row>
    <row x14ac:dyDescent="0.25" r="1891" customHeight="1" ht="15.75">
      <c r="A1891" s="3"/>
      <c r="B1891" s="3"/>
      <c r="C1891" s="3"/>
      <c r="D1891" s="3"/>
      <c r="E1891" s="3"/>
      <c r="F1891" s="3"/>
      <c r="G1891" s="3"/>
      <c r="H1891" s="60"/>
      <c r="I1891" s="3"/>
      <c r="J1891" s="55"/>
      <c r="K1891" s="56"/>
      <c r="L1891" s="56"/>
      <c r="M1891" s="57"/>
      <c r="N1891" s="3"/>
      <c r="O1891" s="3"/>
      <c r="P1891" s="51"/>
      <c r="Q1891" s="5"/>
    </row>
    <row x14ac:dyDescent="0.25" r="1892" customHeight="1" ht="15.75">
      <c r="A1892" s="3"/>
      <c r="B1892" s="3"/>
      <c r="C1892" s="3"/>
      <c r="D1892" s="3"/>
      <c r="E1892" s="3"/>
      <c r="F1892" s="3"/>
      <c r="G1892" s="3"/>
      <c r="H1892" s="60"/>
      <c r="I1892" s="3"/>
      <c r="J1892" s="55"/>
      <c r="K1892" s="56"/>
      <c r="L1892" s="56"/>
      <c r="M1892" s="57"/>
      <c r="N1892" s="3"/>
      <c r="O1892" s="3"/>
      <c r="P1892" s="51"/>
      <c r="Q1892" s="5"/>
    </row>
    <row x14ac:dyDescent="0.25" r="1893" customHeight="1" ht="15.75">
      <c r="A1893" s="3"/>
      <c r="B1893" s="3"/>
      <c r="C1893" s="3"/>
      <c r="D1893" s="3"/>
      <c r="E1893" s="3"/>
      <c r="F1893" s="3"/>
      <c r="G1893" s="3"/>
      <c r="H1893" s="60"/>
      <c r="I1893" s="3"/>
      <c r="J1893" s="55"/>
      <c r="K1893" s="56"/>
      <c r="L1893" s="56"/>
      <c r="M1893" s="57"/>
      <c r="N1893" s="3"/>
      <c r="O1893" s="3"/>
      <c r="P1893" s="51"/>
      <c r="Q1893" s="5"/>
    </row>
    <row x14ac:dyDescent="0.25" r="1894" customHeight="1" ht="15.75">
      <c r="A1894" s="3"/>
      <c r="B1894" s="3"/>
      <c r="C1894" s="3"/>
      <c r="D1894" s="3"/>
      <c r="E1894" s="3"/>
      <c r="F1894" s="3"/>
      <c r="G1894" s="3"/>
      <c r="H1894" s="60"/>
      <c r="I1894" s="3"/>
      <c r="J1894" s="55"/>
      <c r="K1894" s="56"/>
      <c r="L1894" s="56"/>
      <c r="M1894" s="57"/>
      <c r="N1894" s="3"/>
      <c r="O1894" s="3"/>
      <c r="P1894" s="51"/>
      <c r="Q1894" s="5"/>
    </row>
    <row x14ac:dyDescent="0.25" r="1895" customHeight="1" ht="15.75">
      <c r="A1895" s="3"/>
      <c r="B1895" s="3"/>
      <c r="C1895" s="3"/>
      <c r="D1895" s="3"/>
      <c r="E1895" s="3"/>
      <c r="F1895" s="3"/>
      <c r="G1895" s="3"/>
      <c r="H1895" s="60"/>
      <c r="I1895" s="3"/>
      <c r="J1895" s="55"/>
      <c r="K1895" s="56"/>
      <c r="L1895" s="56"/>
      <c r="M1895" s="57"/>
      <c r="N1895" s="3"/>
      <c r="O1895" s="3"/>
      <c r="P1895" s="51"/>
      <c r="Q1895" s="5"/>
    </row>
    <row x14ac:dyDescent="0.25" r="1896" customHeight="1" ht="15.75">
      <c r="A1896" s="3"/>
      <c r="B1896" s="3"/>
      <c r="C1896" s="3"/>
      <c r="D1896" s="3"/>
      <c r="E1896" s="3"/>
      <c r="F1896" s="3"/>
      <c r="G1896" s="3"/>
      <c r="H1896" s="60"/>
      <c r="I1896" s="3"/>
      <c r="J1896" s="55"/>
      <c r="K1896" s="56"/>
      <c r="L1896" s="56"/>
      <c r="M1896" s="57"/>
      <c r="N1896" s="3"/>
      <c r="O1896" s="3"/>
      <c r="P1896" s="51"/>
      <c r="Q1896" s="5"/>
    </row>
    <row x14ac:dyDescent="0.25" r="1897" customHeight="1" ht="15.75">
      <c r="A1897" s="3"/>
      <c r="B1897" s="3"/>
      <c r="C1897" s="3"/>
      <c r="D1897" s="3"/>
      <c r="E1897" s="3"/>
      <c r="F1897" s="3"/>
      <c r="G1897" s="3"/>
      <c r="H1897" s="60"/>
      <c r="I1897" s="3"/>
      <c r="J1897" s="55"/>
      <c r="K1897" s="56"/>
      <c r="L1897" s="56"/>
      <c r="M1897" s="57"/>
      <c r="N1897" s="3"/>
      <c r="O1897" s="3"/>
      <c r="P1897" s="51"/>
      <c r="Q1897" s="5"/>
    </row>
    <row x14ac:dyDescent="0.25" r="1898" customHeight="1" ht="15.75">
      <c r="A1898" s="3"/>
      <c r="B1898" s="3"/>
      <c r="C1898" s="3"/>
      <c r="D1898" s="3"/>
      <c r="E1898" s="3"/>
      <c r="F1898" s="3"/>
      <c r="G1898" s="3"/>
      <c r="H1898" s="60"/>
      <c r="I1898" s="3"/>
      <c r="J1898" s="55"/>
      <c r="K1898" s="56"/>
      <c r="L1898" s="56"/>
      <c r="M1898" s="57"/>
      <c r="N1898" s="3"/>
      <c r="O1898" s="3"/>
      <c r="P1898" s="51"/>
      <c r="Q1898" s="5"/>
    </row>
    <row x14ac:dyDescent="0.25" r="1899" customHeight="1" ht="15.75">
      <c r="A1899" s="3"/>
      <c r="B1899" s="3"/>
      <c r="C1899" s="3"/>
      <c r="D1899" s="3"/>
      <c r="E1899" s="3"/>
      <c r="F1899" s="3"/>
      <c r="G1899" s="3"/>
      <c r="H1899" s="60"/>
      <c r="I1899" s="3"/>
      <c r="J1899" s="55"/>
      <c r="K1899" s="56"/>
      <c r="L1899" s="56"/>
      <c r="M1899" s="57"/>
      <c r="N1899" s="3"/>
      <c r="O1899" s="3"/>
      <c r="P1899" s="51"/>
      <c r="Q1899" s="5"/>
    </row>
    <row x14ac:dyDescent="0.25" r="1900" customHeight="1" ht="15.75">
      <c r="A1900" s="3"/>
      <c r="B1900" s="3"/>
      <c r="C1900" s="3"/>
      <c r="D1900" s="3"/>
      <c r="E1900" s="3"/>
      <c r="F1900" s="3"/>
      <c r="G1900" s="3"/>
      <c r="H1900" s="60"/>
      <c r="I1900" s="3"/>
      <c r="J1900" s="55"/>
      <c r="K1900" s="56"/>
      <c r="L1900" s="56"/>
      <c r="M1900" s="57"/>
      <c r="N1900" s="3"/>
      <c r="O1900" s="3"/>
      <c r="P1900" s="51"/>
      <c r="Q1900" s="5"/>
    </row>
    <row x14ac:dyDescent="0.25" r="1901" customHeight="1" ht="15.75">
      <c r="A1901" s="3"/>
      <c r="B1901" s="3"/>
      <c r="C1901" s="3"/>
      <c r="D1901" s="3"/>
      <c r="E1901" s="3"/>
      <c r="F1901" s="3"/>
      <c r="G1901" s="3"/>
      <c r="H1901" s="60"/>
      <c r="I1901" s="3"/>
      <c r="J1901" s="55"/>
      <c r="K1901" s="56"/>
      <c r="L1901" s="56"/>
      <c r="M1901" s="57"/>
      <c r="N1901" s="3"/>
      <c r="O1901" s="3"/>
      <c r="P1901" s="51"/>
      <c r="Q1901" s="5"/>
    </row>
    <row x14ac:dyDescent="0.25" r="1902" customHeight="1" ht="15.75">
      <c r="A1902" s="3"/>
      <c r="B1902" s="3"/>
      <c r="C1902" s="3"/>
      <c r="D1902" s="3"/>
      <c r="E1902" s="3"/>
      <c r="F1902" s="3"/>
      <c r="G1902" s="3"/>
      <c r="H1902" s="60"/>
      <c r="I1902" s="3"/>
      <c r="J1902" s="55"/>
      <c r="K1902" s="56"/>
      <c r="L1902" s="56"/>
      <c r="M1902" s="57"/>
      <c r="N1902" s="3"/>
      <c r="O1902" s="3"/>
      <c r="P1902" s="51"/>
      <c r="Q1902" s="5"/>
    </row>
    <row x14ac:dyDescent="0.25" r="1903" customHeight="1" ht="15.75">
      <c r="A1903" s="3"/>
      <c r="B1903" s="3"/>
      <c r="C1903" s="3"/>
      <c r="D1903" s="3"/>
      <c r="E1903" s="3"/>
      <c r="F1903" s="3"/>
      <c r="G1903" s="3"/>
      <c r="H1903" s="60"/>
      <c r="I1903" s="3"/>
      <c r="J1903" s="55"/>
      <c r="K1903" s="56"/>
      <c r="L1903" s="56"/>
      <c r="M1903" s="57"/>
      <c r="N1903" s="3"/>
      <c r="O1903" s="3"/>
      <c r="P1903" s="51"/>
      <c r="Q1903" s="5"/>
    </row>
    <row x14ac:dyDescent="0.25" r="1904" customHeight="1" ht="15.75">
      <c r="A1904" s="3"/>
      <c r="B1904" s="3"/>
      <c r="C1904" s="3"/>
      <c r="D1904" s="3"/>
      <c r="E1904" s="3"/>
      <c r="F1904" s="3"/>
      <c r="G1904" s="3"/>
      <c r="H1904" s="60"/>
      <c r="I1904" s="3"/>
      <c r="J1904" s="55"/>
      <c r="K1904" s="56"/>
      <c r="L1904" s="56"/>
      <c r="M1904" s="57"/>
      <c r="N1904" s="3"/>
      <c r="O1904" s="3"/>
      <c r="P1904" s="51"/>
      <c r="Q1904" s="5"/>
    </row>
    <row x14ac:dyDescent="0.25" r="1905" customHeight="1" ht="15.75">
      <c r="A1905" s="3"/>
      <c r="B1905" s="3"/>
      <c r="C1905" s="3"/>
      <c r="D1905" s="3"/>
      <c r="E1905" s="3"/>
      <c r="F1905" s="3"/>
      <c r="G1905" s="3"/>
      <c r="H1905" s="60"/>
      <c r="I1905" s="3"/>
      <c r="J1905" s="55"/>
      <c r="K1905" s="56"/>
      <c r="L1905" s="56"/>
      <c r="M1905" s="57"/>
      <c r="N1905" s="3"/>
      <c r="O1905" s="3"/>
      <c r="P1905" s="51"/>
      <c r="Q1905" s="5"/>
    </row>
    <row x14ac:dyDescent="0.25" r="1906" customHeight="1" ht="15.75">
      <c r="A1906" s="3"/>
      <c r="B1906" s="3"/>
      <c r="C1906" s="3"/>
      <c r="D1906" s="3"/>
      <c r="E1906" s="3"/>
      <c r="F1906" s="3"/>
      <c r="G1906" s="3"/>
      <c r="H1906" s="60"/>
      <c r="I1906" s="3"/>
      <c r="J1906" s="55"/>
      <c r="K1906" s="56"/>
      <c r="L1906" s="56"/>
      <c r="M1906" s="57"/>
      <c r="N1906" s="3"/>
      <c r="O1906" s="3"/>
      <c r="P1906" s="51"/>
      <c r="Q1906" s="5"/>
    </row>
    <row x14ac:dyDescent="0.25" r="1907" customHeight="1" ht="15.75">
      <c r="A1907" s="3"/>
      <c r="B1907" s="3"/>
      <c r="C1907" s="3"/>
      <c r="D1907" s="3"/>
      <c r="E1907" s="3"/>
      <c r="F1907" s="3"/>
      <c r="G1907" s="3"/>
      <c r="H1907" s="60"/>
      <c r="I1907" s="3"/>
      <c r="J1907" s="55"/>
      <c r="K1907" s="56"/>
      <c r="L1907" s="56"/>
      <c r="M1907" s="57"/>
      <c r="N1907" s="3"/>
      <c r="O1907" s="3"/>
      <c r="P1907" s="51"/>
      <c r="Q1907" s="5"/>
    </row>
    <row x14ac:dyDescent="0.25" r="1908" customHeight="1" ht="15.75">
      <c r="A1908" s="3"/>
      <c r="B1908" s="3"/>
      <c r="C1908" s="3"/>
      <c r="D1908" s="3"/>
      <c r="E1908" s="3"/>
      <c r="F1908" s="3"/>
      <c r="G1908" s="3"/>
      <c r="H1908" s="60"/>
      <c r="I1908" s="3"/>
      <c r="J1908" s="55"/>
      <c r="K1908" s="56"/>
      <c r="L1908" s="56"/>
      <c r="M1908" s="57"/>
      <c r="N1908" s="3"/>
      <c r="O1908" s="3"/>
      <c r="P1908" s="51"/>
      <c r="Q1908" s="5"/>
    </row>
    <row x14ac:dyDescent="0.25" r="1909" customHeight="1" ht="15.75">
      <c r="A1909" s="3"/>
      <c r="B1909" s="3"/>
      <c r="C1909" s="3"/>
      <c r="D1909" s="3"/>
      <c r="E1909" s="3"/>
      <c r="F1909" s="3"/>
      <c r="G1909" s="3"/>
      <c r="H1909" s="60"/>
      <c r="I1909" s="3"/>
      <c r="J1909" s="55"/>
      <c r="K1909" s="56"/>
      <c r="L1909" s="56"/>
      <c r="M1909" s="57"/>
      <c r="N1909" s="3"/>
      <c r="O1909" s="3"/>
      <c r="P1909" s="51"/>
      <c r="Q1909" s="5"/>
    </row>
    <row x14ac:dyDescent="0.25" r="1910" customHeight="1" ht="15.75">
      <c r="A1910" s="3"/>
      <c r="B1910" s="3"/>
      <c r="C1910" s="3"/>
      <c r="D1910" s="3"/>
      <c r="E1910" s="3"/>
      <c r="F1910" s="3"/>
      <c r="G1910" s="3"/>
      <c r="H1910" s="60"/>
      <c r="I1910" s="3"/>
      <c r="J1910" s="55"/>
      <c r="K1910" s="56"/>
      <c r="L1910" s="56"/>
      <c r="M1910" s="57"/>
      <c r="N1910" s="3"/>
      <c r="O1910" s="3"/>
      <c r="P1910" s="51"/>
      <c r="Q1910" s="5"/>
    </row>
    <row x14ac:dyDescent="0.25" r="1911" customHeight="1" ht="15.75">
      <c r="A1911" s="3"/>
      <c r="B1911" s="3"/>
      <c r="C1911" s="3"/>
      <c r="D1911" s="3"/>
      <c r="E1911" s="3"/>
      <c r="F1911" s="3"/>
      <c r="G1911" s="3"/>
      <c r="H1911" s="60"/>
      <c r="I1911" s="3"/>
      <c r="J1911" s="55"/>
      <c r="K1911" s="56"/>
      <c r="L1911" s="56"/>
      <c r="M1911" s="57"/>
      <c r="N1911" s="3"/>
      <c r="O1911" s="3"/>
      <c r="P1911" s="51"/>
      <c r="Q1911" s="5"/>
    </row>
    <row x14ac:dyDescent="0.25" r="1912" customHeight="1" ht="15.75">
      <c r="A1912" s="3"/>
      <c r="B1912" s="3"/>
      <c r="C1912" s="3"/>
      <c r="D1912" s="3"/>
      <c r="E1912" s="3"/>
      <c r="F1912" s="3"/>
      <c r="G1912" s="3"/>
      <c r="H1912" s="60"/>
      <c r="I1912" s="3"/>
      <c r="J1912" s="55"/>
      <c r="K1912" s="56"/>
      <c r="L1912" s="56"/>
      <c r="M1912" s="57"/>
      <c r="N1912" s="3"/>
      <c r="O1912" s="3"/>
      <c r="P1912" s="51"/>
      <c r="Q1912" s="5"/>
    </row>
    <row x14ac:dyDescent="0.25" r="1913" customHeight="1" ht="15.75">
      <c r="A1913" s="3"/>
      <c r="B1913" s="3"/>
      <c r="C1913" s="3"/>
      <c r="D1913" s="3"/>
      <c r="E1913" s="3"/>
      <c r="F1913" s="3"/>
      <c r="G1913" s="3"/>
      <c r="H1913" s="60"/>
      <c r="I1913" s="3"/>
      <c r="J1913" s="55"/>
      <c r="K1913" s="56"/>
      <c r="L1913" s="56"/>
      <c r="M1913" s="57"/>
      <c r="N1913" s="3"/>
      <c r="O1913" s="3"/>
      <c r="P1913" s="51"/>
      <c r="Q1913" s="5"/>
    </row>
    <row x14ac:dyDescent="0.25" r="1914" customHeight="1" ht="15.75">
      <c r="A1914" s="3"/>
      <c r="B1914" s="3"/>
      <c r="C1914" s="3"/>
      <c r="D1914" s="3"/>
      <c r="E1914" s="3"/>
      <c r="F1914" s="3"/>
      <c r="G1914" s="3"/>
      <c r="H1914" s="60"/>
      <c r="I1914" s="3"/>
      <c r="J1914" s="55"/>
      <c r="K1914" s="56"/>
      <c r="L1914" s="56"/>
      <c r="M1914" s="57"/>
      <c r="N1914" s="3"/>
      <c r="O1914" s="3"/>
      <c r="P1914" s="51"/>
      <c r="Q1914" s="5"/>
    </row>
    <row x14ac:dyDescent="0.25" r="1915" customHeight="1" ht="15.75">
      <c r="A1915" s="3"/>
      <c r="B1915" s="3"/>
      <c r="C1915" s="3"/>
      <c r="D1915" s="3"/>
      <c r="E1915" s="3"/>
      <c r="F1915" s="3"/>
      <c r="G1915" s="3"/>
      <c r="H1915" s="60"/>
      <c r="I1915" s="3"/>
      <c r="J1915" s="55"/>
      <c r="K1915" s="56"/>
      <c r="L1915" s="56"/>
      <c r="M1915" s="57"/>
      <c r="N1915" s="3"/>
      <c r="O1915" s="3"/>
      <c r="P1915" s="51"/>
      <c r="Q1915" s="5"/>
    </row>
    <row x14ac:dyDescent="0.25" r="1916" customHeight="1" ht="15.75">
      <c r="A1916" s="3"/>
      <c r="B1916" s="3"/>
      <c r="C1916" s="3"/>
      <c r="D1916" s="3"/>
      <c r="E1916" s="3"/>
      <c r="F1916" s="3"/>
      <c r="G1916" s="3"/>
      <c r="H1916" s="60"/>
      <c r="I1916" s="3"/>
      <c r="J1916" s="55"/>
      <c r="K1916" s="56"/>
      <c r="L1916" s="56"/>
      <c r="M1916" s="57"/>
      <c r="N1916" s="3"/>
      <c r="O1916" s="3"/>
      <c r="P1916" s="51"/>
      <c r="Q1916" s="5"/>
    </row>
    <row x14ac:dyDescent="0.25" r="1917" customHeight="1" ht="15.75">
      <c r="A1917" s="3"/>
      <c r="B1917" s="3"/>
      <c r="C1917" s="3"/>
      <c r="D1917" s="3"/>
      <c r="E1917" s="3"/>
      <c r="F1917" s="3"/>
      <c r="G1917" s="3"/>
      <c r="H1917" s="60"/>
      <c r="I1917" s="3"/>
      <c r="J1917" s="55"/>
      <c r="K1917" s="56"/>
      <c r="L1917" s="56"/>
      <c r="M1917" s="57"/>
      <c r="N1917" s="3"/>
      <c r="O1917" s="3"/>
      <c r="P1917" s="51"/>
      <c r="Q1917" s="5"/>
    </row>
    <row x14ac:dyDescent="0.25" r="1918" customHeight="1" ht="15.75">
      <c r="A1918" s="3"/>
      <c r="B1918" s="3"/>
      <c r="C1918" s="3"/>
      <c r="D1918" s="3"/>
      <c r="E1918" s="3"/>
      <c r="F1918" s="3"/>
      <c r="G1918" s="3"/>
      <c r="H1918" s="60"/>
      <c r="I1918" s="3"/>
      <c r="J1918" s="55"/>
      <c r="K1918" s="56"/>
      <c r="L1918" s="56"/>
      <c r="M1918" s="57"/>
      <c r="N1918" s="3"/>
      <c r="O1918" s="3"/>
      <c r="P1918" s="51"/>
      <c r="Q1918" s="5"/>
    </row>
    <row x14ac:dyDescent="0.25" r="1919" customHeight="1" ht="15.75">
      <c r="A1919" s="3"/>
      <c r="B1919" s="3"/>
      <c r="C1919" s="3"/>
      <c r="D1919" s="3"/>
      <c r="E1919" s="3"/>
      <c r="F1919" s="3"/>
      <c r="G1919" s="3"/>
      <c r="H1919" s="60"/>
      <c r="I1919" s="3"/>
      <c r="J1919" s="55"/>
      <c r="K1919" s="56"/>
      <c r="L1919" s="56"/>
      <c r="M1919" s="57"/>
      <c r="N1919" s="3"/>
      <c r="O1919" s="3"/>
      <c r="P1919" s="51"/>
      <c r="Q1919" s="5"/>
    </row>
    <row x14ac:dyDescent="0.25" r="1920" customHeight="1" ht="15.75">
      <c r="A1920" s="3"/>
      <c r="B1920" s="3"/>
      <c r="C1920" s="3"/>
      <c r="D1920" s="3"/>
      <c r="E1920" s="3"/>
      <c r="F1920" s="3"/>
      <c r="G1920" s="3"/>
      <c r="H1920" s="60"/>
      <c r="I1920" s="3"/>
      <c r="J1920" s="55"/>
      <c r="K1920" s="56"/>
      <c r="L1920" s="56"/>
      <c r="M1920" s="57"/>
      <c r="N1920" s="3"/>
      <c r="O1920" s="3"/>
      <c r="P1920" s="51"/>
      <c r="Q1920" s="5"/>
    </row>
    <row x14ac:dyDescent="0.25" r="1921" customHeight="1" ht="15.75">
      <c r="A1921" s="3"/>
      <c r="B1921" s="3"/>
      <c r="C1921" s="3"/>
      <c r="D1921" s="3"/>
      <c r="E1921" s="3"/>
      <c r="F1921" s="3"/>
      <c r="G1921" s="3"/>
      <c r="H1921" s="60"/>
      <c r="I1921" s="3"/>
      <c r="J1921" s="55"/>
      <c r="K1921" s="56"/>
      <c r="L1921" s="56"/>
      <c r="M1921" s="57"/>
      <c r="N1921" s="3"/>
      <c r="O1921" s="3"/>
      <c r="P1921" s="51"/>
      <c r="Q1921" s="5"/>
    </row>
    <row x14ac:dyDescent="0.25" r="1922" customHeight="1" ht="15.75">
      <c r="A1922" s="3"/>
      <c r="B1922" s="3"/>
      <c r="C1922" s="3"/>
      <c r="D1922" s="3"/>
      <c r="E1922" s="3"/>
      <c r="F1922" s="3"/>
      <c r="G1922" s="3"/>
      <c r="H1922" s="60"/>
      <c r="I1922" s="3"/>
      <c r="J1922" s="55"/>
      <c r="K1922" s="56"/>
      <c r="L1922" s="56"/>
      <c r="M1922" s="57"/>
      <c r="N1922" s="3"/>
      <c r="O1922" s="3"/>
      <c r="P1922" s="51"/>
      <c r="Q1922" s="5"/>
    </row>
    <row x14ac:dyDescent="0.25" r="1923" customHeight="1" ht="15.75">
      <c r="A1923" s="3"/>
      <c r="B1923" s="3"/>
      <c r="C1923" s="3"/>
      <c r="D1923" s="3"/>
      <c r="E1923" s="3"/>
      <c r="F1923" s="3"/>
      <c r="G1923" s="3"/>
      <c r="H1923" s="60"/>
      <c r="I1923" s="3"/>
      <c r="J1923" s="55"/>
      <c r="K1923" s="56"/>
      <c r="L1923" s="56"/>
      <c r="M1923" s="57"/>
      <c r="N1923" s="3"/>
      <c r="O1923" s="3"/>
      <c r="P1923" s="51"/>
      <c r="Q1923" s="5"/>
    </row>
    <row x14ac:dyDescent="0.25" r="1924" customHeight="1" ht="15.75">
      <c r="A1924" s="3"/>
      <c r="B1924" s="3"/>
      <c r="C1924" s="3"/>
      <c r="D1924" s="3"/>
      <c r="E1924" s="3"/>
      <c r="F1924" s="3"/>
      <c r="G1924" s="3"/>
      <c r="H1924" s="60"/>
      <c r="I1924" s="3"/>
      <c r="J1924" s="55"/>
      <c r="K1924" s="56"/>
      <c r="L1924" s="56"/>
      <c r="M1924" s="57"/>
      <c r="N1924" s="3"/>
      <c r="O1924" s="3"/>
      <c r="P1924" s="51"/>
      <c r="Q1924" s="5"/>
    </row>
    <row x14ac:dyDescent="0.25" r="1925" customHeight="1" ht="15.75">
      <c r="A1925" s="3"/>
      <c r="B1925" s="3"/>
      <c r="C1925" s="3"/>
      <c r="D1925" s="3"/>
      <c r="E1925" s="3"/>
      <c r="F1925" s="3"/>
      <c r="G1925" s="3"/>
      <c r="H1925" s="60"/>
      <c r="I1925" s="3"/>
      <c r="J1925" s="55"/>
      <c r="K1925" s="56"/>
      <c r="L1925" s="56"/>
      <c r="M1925" s="57"/>
      <c r="N1925" s="3"/>
      <c r="O1925" s="3"/>
      <c r="P1925" s="51"/>
      <c r="Q1925" s="5"/>
    </row>
    <row x14ac:dyDescent="0.25" r="1926" customHeight="1" ht="15.75">
      <c r="A1926" s="3"/>
      <c r="B1926" s="3"/>
      <c r="C1926" s="3"/>
      <c r="D1926" s="3"/>
      <c r="E1926" s="3"/>
      <c r="F1926" s="3"/>
      <c r="G1926" s="3"/>
      <c r="H1926" s="60"/>
      <c r="I1926" s="3"/>
      <c r="J1926" s="55"/>
      <c r="K1926" s="56"/>
      <c r="L1926" s="56"/>
      <c r="M1926" s="57"/>
      <c r="N1926" s="3"/>
      <c r="O1926" s="3"/>
      <c r="P1926" s="51"/>
      <c r="Q1926" s="5"/>
    </row>
    <row x14ac:dyDescent="0.25" r="1927" customHeight="1" ht="15.75">
      <c r="A1927" s="3"/>
      <c r="B1927" s="3"/>
      <c r="C1927" s="3"/>
      <c r="D1927" s="3"/>
      <c r="E1927" s="3"/>
      <c r="F1927" s="3"/>
      <c r="G1927" s="3"/>
      <c r="H1927" s="60"/>
      <c r="I1927" s="3"/>
      <c r="J1927" s="55"/>
      <c r="K1927" s="56"/>
      <c r="L1927" s="56"/>
      <c r="M1927" s="57"/>
      <c r="N1927" s="3"/>
      <c r="O1927" s="3"/>
      <c r="P1927" s="51"/>
      <c r="Q1927" s="5"/>
    </row>
    <row x14ac:dyDescent="0.25" r="1928" customHeight="1" ht="15.75">
      <c r="A1928" s="3"/>
      <c r="B1928" s="3"/>
      <c r="C1928" s="3"/>
      <c r="D1928" s="3"/>
      <c r="E1928" s="3"/>
      <c r="F1928" s="3"/>
      <c r="G1928" s="3"/>
      <c r="H1928" s="60"/>
      <c r="I1928" s="3"/>
      <c r="J1928" s="55"/>
      <c r="K1928" s="56"/>
      <c r="L1928" s="56"/>
      <c r="M1928" s="57"/>
      <c r="N1928" s="3"/>
      <c r="O1928" s="3"/>
      <c r="P1928" s="51"/>
      <c r="Q1928" s="5"/>
    </row>
    <row x14ac:dyDescent="0.25" r="1929" customHeight="1" ht="15.75">
      <c r="A1929" s="3"/>
      <c r="B1929" s="3"/>
      <c r="C1929" s="3"/>
      <c r="D1929" s="3"/>
      <c r="E1929" s="3"/>
      <c r="F1929" s="3"/>
      <c r="G1929" s="3"/>
      <c r="H1929" s="60"/>
      <c r="I1929" s="3"/>
      <c r="J1929" s="55"/>
      <c r="K1929" s="56"/>
      <c r="L1929" s="56"/>
      <c r="M1929" s="57"/>
      <c r="N1929" s="3"/>
      <c r="O1929" s="3"/>
      <c r="P1929" s="51"/>
      <c r="Q1929" s="5"/>
    </row>
    <row x14ac:dyDescent="0.25" r="1930" customHeight="1" ht="15.75">
      <c r="A1930" s="3"/>
      <c r="B1930" s="3"/>
      <c r="C1930" s="3"/>
      <c r="D1930" s="3"/>
      <c r="E1930" s="3"/>
      <c r="F1930" s="3"/>
      <c r="G1930" s="3"/>
      <c r="H1930" s="60"/>
      <c r="I1930" s="3"/>
      <c r="J1930" s="55"/>
      <c r="K1930" s="56"/>
      <c r="L1930" s="56"/>
      <c r="M1930" s="57"/>
      <c r="N1930" s="3"/>
      <c r="O1930" s="3"/>
      <c r="P1930" s="51"/>
      <c r="Q1930" s="5"/>
    </row>
    <row x14ac:dyDescent="0.25" r="1931" customHeight="1" ht="15.75">
      <c r="A1931" s="3"/>
      <c r="B1931" s="3"/>
      <c r="C1931" s="3"/>
      <c r="D1931" s="3"/>
      <c r="E1931" s="3"/>
      <c r="F1931" s="3"/>
      <c r="G1931" s="3"/>
      <c r="H1931" s="60"/>
      <c r="I1931" s="3"/>
      <c r="J1931" s="55"/>
      <c r="K1931" s="56"/>
      <c r="L1931" s="56"/>
      <c r="M1931" s="57"/>
      <c r="N1931" s="3"/>
      <c r="O1931" s="3"/>
      <c r="P1931" s="51"/>
      <c r="Q1931" s="5"/>
    </row>
    <row x14ac:dyDescent="0.25" r="1932" customHeight="1" ht="15.75">
      <c r="A1932" s="3"/>
      <c r="B1932" s="3"/>
      <c r="C1932" s="3"/>
      <c r="D1932" s="3"/>
      <c r="E1932" s="3"/>
      <c r="F1932" s="3"/>
      <c r="G1932" s="3"/>
      <c r="H1932" s="60"/>
      <c r="I1932" s="3"/>
      <c r="J1932" s="55"/>
      <c r="K1932" s="56"/>
      <c r="L1932" s="56"/>
      <c r="M1932" s="57"/>
      <c r="N1932" s="3"/>
      <c r="O1932" s="3"/>
      <c r="P1932" s="51"/>
      <c r="Q1932" s="5"/>
    </row>
    <row x14ac:dyDescent="0.25" r="1933" customHeight="1" ht="15.75">
      <c r="A1933" s="3"/>
      <c r="B1933" s="3"/>
      <c r="C1933" s="3"/>
      <c r="D1933" s="3"/>
      <c r="E1933" s="3"/>
      <c r="F1933" s="3"/>
      <c r="G1933" s="3"/>
      <c r="H1933" s="60"/>
      <c r="I1933" s="3"/>
      <c r="J1933" s="55"/>
      <c r="K1933" s="56"/>
      <c r="L1933" s="56"/>
      <c r="M1933" s="57"/>
      <c r="N1933" s="3"/>
      <c r="O1933" s="3"/>
      <c r="P1933" s="51"/>
      <c r="Q1933" s="5"/>
    </row>
    <row x14ac:dyDescent="0.25" r="1934" customHeight="1" ht="15.75">
      <c r="A1934" s="3"/>
      <c r="B1934" s="3"/>
      <c r="C1934" s="3"/>
      <c r="D1934" s="3"/>
      <c r="E1934" s="3"/>
      <c r="F1934" s="3"/>
      <c r="G1934" s="3"/>
      <c r="H1934" s="60"/>
      <c r="I1934" s="3"/>
      <c r="J1934" s="55"/>
      <c r="K1934" s="56"/>
      <c r="L1934" s="56"/>
      <c r="M1934" s="57"/>
      <c r="N1934" s="3"/>
      <c r="O1934" s="3"/>
      <c r="P1934" s="51"/>
      <c r="Q1934" s="5"/>
    </row>
    <row x14ac:dyDescent="0.25" r="1935" customHeight="1" ht="15.75">
      <c r="A1935" s="3"/>
      <c r="B1935" s="3"/>
      <c r="C1935" s="3"/>
      <c r="D1935" s="3"/>
      <c r="E1935" s="3"/>
      <c r="F1935" s="3"/>
      <c r="G1935" s="3"/>
      <c r="H1935" s="60"/>
      <c r="I1935" s="3"/>
      <c r="J1935" s="55"/>
      <c r="K1935" s="56"/>
      <c r="L1935" s="56"/>
      <c r="M1935" s="57"/>
      <c r="N1935" s="3"/>
      <c r="O1935" s="3"/>
      <c r="P1935" s="51"/>
      <c r="Q1935" s="5"/>
    </row>
    <row x14ac:dyDescent="0.25" r="1936" customHeight="1" ht="15.75">
      <c r="A1936" s="3"/>
      <c r="B1936" s="3"/>
      <c r="C1936" s="3"/>
      <c r="D1936" s="3"/>
      <c r="E1936" s="3"/>
      <c r="F1936" s="3"/>
      <c r="G1936" s="3"/>
      <c r="H1936" s="60"/>
      <c r="I1936" s="3"/>
      <c r="J1936" s="55"/>
      <c r="K1936" s="56"/>
      <c r="L1936" s="56"/>
      <c r="M1936" s="57"/>
      <c r="N1936" s="3"/>
      <c r="O1936" s="3"/>
      <c r="P1936" s="51"/>
      <c r="Q1936" s="5"/>
    </row>
    <row x14ac:dyDescent="0.25" r="1937" customHeight="1" ht="15.75">
      <c r="A1937" s="3"/>
      <c r="B1937" s="3"/>
      <c r="C1937" s="3"/>
      <c r="D1937" s="3"/>
      <c r="E1937" s="3"/>
      <c r="F1937" s="3"/>
      <c r="G1937" s="3"/>
      <c r="H1937" s="60"/>
      <c r="I1937" s="3"/>
      <c r="J1937" s="55"/>
      <c r="K1937" s="56"/>
      <c r="L1937" s="56"/>
      <c r="M1937" s="57"/>
      <c r="N1937" s="3"/>
      <c r="O1937" s="3"/>
      <c r="P1937" s="51"/>
      <c r="Q1937" s="5"/>
    </row>
    <row x14ac:dyDescent="0.25" r="1938" customHeight="1" ht="15.75">
      <c r="A1938" s="3"/>
      <c r="B1938" s="3"/>
      <c r="C1938" s="3"/>
      <c r="D1938" s="3"/>
      <c r="E1938" s="3"/>
      <c r="F1938" s="3"/>
      <c r="G1938" s="3"/>
      <c r="H1938" s="60"/>
      <c r="I1938" s="3"/>
      <c r="J1938" s="55"/>
      <c r="K1938" s="56"/>
      <c r="L1938" s="56"/>
      <c r="M1938" s="57"/>
      <c r="N1938" s="3"/>
      <c r="O1938" s="3"/>
      <c r="P1938" s="51"/>
      <c r="Q1938" s="5"/>
    </row>
    <row x14ac:dyDescent="0.25" r="1939" customHeight="1" ht="15.75">
      <c r="A1939" s="3"/>
      <c r="B1939" s="3"/>
      <c r="C1939" s="3"/>
      <c r="D1939" s="3"/>
      <c r="E1939" s="3"/>
      <c r="F1939" s="3"/>
      <c r="G1939" s="3"/>
      <c r="H1939" s="60"/>
      <c r="I1939" s="3"/>
      <c r="J1939" s="55"/>
      <c r="K1939" s="56"/>
      <c r="L1939" s="56"/>
      <c r="M1939" s="57"/>
      <c r="N1939" s="3"/>
      <c r="O1939" s="3"/>
      <c r="P1939" s="51"/>
      <c r="Q1939" s="5"/>
    </row>
    <row x14ac:dyDescent="0.25" r="1940" customHeight="1" ht="15.75">
      <c r="A1940" s="3"/>
      <c r="B1940" s="3"/>
      <c r="C1940" s="3"/>
      <c r="D1940" s="3"/>
      <c r="E1940" s="3"/>
      <c r="F1940" s="3"/>
      <c r="G1940" s="3"/>
      <c r="H1940" s="60"/>
      <c r="I1940" s="3"/>
      <c r="J1940" s="55"/>
      <c r="K1940" s="56"/>
      <c r="L1940" s="56"/>
      <c r="M1940" s="57"/>
      <c r="N1940" s="3"/>
      <c r="O1940" s="3"/>
      <c r="P1940" s="51"/>
      <c r="Q1940" s="5"/>
    </row>
    <row x14ac:dyDescent="0.25" r="1941" customHeight="1" ht="15.75">
      <c r="A1941" s="3"/>
      <c r="B1941" s="3"/>
      <c r="C1941" s="3"/>
      <c r="D1941" s="3"/>
      <c r="E1941" s="3"/>
      <c r="F1941" s="3"/>
      <c r="G1941" s="3"/>
      <c r="H1941" s="60"/>
      <c r="I1941" s="3"/>
      <c r="J1941" s="55"/>
      <c r="K1941" s="56"/>
      <c r="L1941" s="56"/>
      <c r="M1941" s="57"/>
      <c r="N1941" s="3"/>
      <c r="O1941" s="3"/>
      <c r="P1941" s="51"/>
      <c r="Q1941" s="5"/>
    </row>
    <row x14ac:dyDescent="0.25" r="1942" customHeight="1" ht="15.75">
      <c r="A1942" s="3"/>
      <c r="B1942" s="3"/>
      <c r="C1942" s="3"/>
      <c r="D1942" s="3"/>
      <c r="E1942" s="3"/>
      <c r="F1942" s="3"/>
      <c r="G1942" s="3"/>
      <c r="H1942" s="60"/>
      <c r="I1942" s="3"/>
      <c r="J1942" s="55"/>
      <c r="K1942" s="56"/>
      <c r="L1942" s="56"/>
      <c r="M1942" s="57"/>
      <c r="N1942" s="3"/>
      <c r="O1942" s="3"/>
      <c r="P1942" s="51"/>
      <c r="Q1942" s="5"/>
    </row>
    <row x14ac:dyDescent="0.25" r="1943" customHeight="1" ht="15.75">
      <c r="A1943" s="3"/>
      <c r="B1943" s="3"/>
      <c r="C1943" s="3"/>
      <c r="D1943" s="3"/>
      <c r="E1943" s="3"/>
      <c r="F1943" s="3"/>
      <c r="G1943" s="3"/>
      <c r="H1943" s="60"/>
      <c r="I1943" s="3"/>
      <c r="J1943" s="55"/>
      <c r="K1943" s="56"/>
      <c r="L1943" s="56"/>
      <c r="M1943" s="57"/>
      <c r="N1943" s="3"/>
      <c r="O1943" s="3"/>
      <c r="P1943" s="51"/>
      <c r="Q1943" s="5"/>
    </row>
    <row x14ac:dyDescent="0.25" r="1944" customHeight="1" ht="15.75">
      <c r="A1944" s="3"/>
      <c r="B1944" s="3"/>
      <c r="C1944" s="3"/>
      <c r="D1944" s="3"/>
      <c r="E1944" s="3"/>
      <c r="F1944" s="3"/>
      <c r="G1944" s="3"/>
      <c r="H1944" s="60"/>
      <c r="I1944" s="3"/>
      <c r="J1944" s="55"/>
      <c r="K1944" s="56"/>
      <c r="L1944" s="56"/>
      <c r="M1944" s="57"/>
      <c r="N1944" s="3"/>
      <c r="O1944" s="3"/>
      <c r="P1944" s="51"/>
      <c r="Q1944" s="5"/>
    </row>
    <row x14ac:dyDescent="0.25" r="1945" customHeight="1" ht="15.75">
      <c r="A1945" s="3"/>
      <c r="B1945" s="3"/>
      <c r="C1945" s="3"/>
      <c r="D1945" s="3"/>
      <c r="E1945" s="3"/>
      <c r="F1945" s="3"/>
      <c r="G1945" s="3"/>
      <c r="H1945" s="60"/>
      <c r="I1945" s="3"/>
      <c r="J1945" s="55"/>
      <c r="K1945" s="56"/>
      <c r="L1945" s="56"/>
      <c r="M1945" s="57"/>
      <c r="N1945" s="3"/>
      <c r="O1945" s="3"/>
      <c r="P1945" s="51"/>
      <c r="Q1945" s="5"/>
    </row>
    <row x14ac:dyDescent="0.25" r="1946" customHeight="1" ht="15.75">
      <c r="A1946" s="3"/>
      <c r="B1946" s="3"/>
      <c r="C1946" s="3"/>
      <c r="D1946" s="3"/>
      <c r="E1946" s="3"/>
      <c r="F1946" s="3"/>
      <c r="G1946" s="3"/>
      <c r="H1946" s="60"/>
      <c r="I1946" s="3"/>
      <c r="J1946" s="55"/>
      <c r="K1946" s="56"/>
      <c r="L1946" s="56"/>
      <c r="M1946" s="57"/>
      <c r="N1946" s="3"/>
      <c r="O1946" s="3"/>
      <c r="P1946" s="51"/>
      <c r="Q1946" s="5"/>
    </row>
    <row x14ac:dyDescent="0.25" r="1947" customHeight="1" ht="15.75">
      <c r="A1947" s="3"/>
      <c r="B1947" s="3"/>
      <c r="C1947" s="3"/>
      <c r="D1947" s="3"/>
      <c r="E1947" s="3"/>
      <c r="F1947" s="3"/>
      <c r="G1947" s="3"/>
      <c r="H1947" s="60"/>
      <c r="I1947" s="3"/>
      <c r="J1947" s="55"/>
      <c r="K1947" s="56"/>
      <c r="L1947" s="56"/>
      <c r="M1947" s="57"/>
      <c r="N1947" s="3"/>
      <c r="O1947" s="3"/>
      <c r="P1947" s="51"/>
      <c r="Q1947" s="5"/>
    </row>
    <row x14ac:dyDescent="0.25" r="1948" customHeight="1" ht="15.75">
      <c r="A1948" s="3"/>
      <c r="B1948" s="3"/>
      <c r="C1948" s="3"/>
      <c r="D1948" s="3"/>
      <c r="E1948" s="3"/>
      <c r="F1948" s="3"/>
      <c r="G1948" s="3"/>
      <c r="H1948" s="60"/>
      <c r="I1948" s="3"/>
      <c r="J1948" s="55"/>
      <c r="K1948" s="56"/>
      <c r="L1948" s="56"/>
      <c r="M1948" s="57"/>
      <c r="N1948" s="3"/>
      <c r="O1948" s="3"/>
      <c r="P1948" s="51"/>
      <c r="Q1948" s="5"/>
    </row>
    <row x14ac:dyDescent="0.25" r="1949" customHeight="1" ht="15.75">
      <c r="A1949" s="3"/>
      <c r="B1949" s="3"/>
      <c r="C1949" s="3"/>
      <c r="D1949" s="3"/>
      <c r="E1949" s="3"/>
      <c r="F1949" s="3"/>
      <c r="G1949" s="3"/>
      <c r="H1949" s="60"/>
      <c r="I1949" s="3"/>
      <c r="J1949" s="55"/>
      <c r="K1949" s="56"/>
      <c r="L1949" s="56"/>
      <c r="M1949" s="57"/>
      <c r="N1949" s="3"/>
      <c r="O1949" s="3"/>
      <c r="P1949" s="51"/>
      <c r="Q1949" s="5"/>
    </row>
    <row x14ac:dyDescent="0.25" r="1950" customHeight="1" ht="15.75">
      <c r="A1950" s="3"/>
      <c r="B1950" s="3"/>
      <c r="C1950" s="3"/>
      <c r="D1950" s="3"/>
      <c r="E1950" s="3"/>
      <c r="F1950" s="3"/>
      <c r="G1950" s="3"/>
      <c r="H1950" s="60"/>
      <c r="I1950" s="3"/>
      <c r="J1950" s="55"/>
      <c r="K1950" s="56"/>
      <c r="L1950" s="56"/>
      <c r="M1950" s="57"/>
      <c r="N1950" s="3"/>
      <c r="O1950" s="3"/>
      <c r="P1950" s="51"/>
      <c r="Q1950" s="5"/>
    </row>
    <row x14ac:dyDescent="0.25" r="1951" customHeight="1" ht="15.75">
      <c r="A1951" s="3"/>
      <c r="B1951" s="3"/>
      <c r="C1951" s="3"/>
      <c r="D1951" s="3"/>
      <c r="E1951" s="3"/>
      <c r="F1951" s="3"/>
      <c r="G1951" s="3"/>
      <c r="H1951" s="60"/>
      <c r="I1951" s="3"/>
      <c r="J1951" s="55"/>
      <c r="K1951" s="56"/>
      <c r="L1951" s="56"/>
      <c r="M1951" s="57"/>
      <c r="N1951" s="3"/>
      <c r="O1951" s="3"/>
      <c r="P1951" s="51"/>
      <c r="Q1951" s="5"/>
    </row>
    <row x14ac:dyDescent="0.25" r="1952" customHeight="1" ht="15.75">
      <c r="A1952" s="3"/>
      <c r="B1952" s="3"/>
      <c r="C1952" s="3"/>
      <c r="D1952" s="3"/>
      <c r="E1952" s="3"/>
      <c r="F1952" s="3"/>
      <c r="G1952" s="3"/>
      <c r="H1952" s="60"/>
      <c r="I1952" s="3"/>
      <c r="J1952" s="55"/>
      <c r="K1952" s="56"/>
      <c r="L1952" s="56"/>
      <c r="M1952" s="57"/>
      <c r="N1952" s="3"/>
      <c r="O1952" s="3"/>
      <c r="P1952" s="51"/>
      <c r="Q1952" s="5"/>
    </row>
    <row x14ac:dyDescent="0.25" r="1953" customHeight="1" ht="15.75">
      <c r="A1953" s="3"/>
      <c r="B1953" s="3"/>
      <c r="C1953" s="3"/>
      <c r="D1953" s="3"/>
      <c r="E1953" s="3"/>
      <c r="F1953" s="3"/>
      <c r="G1953" s="3"/>
      <c r="H1953" s="60"/>
      <c r="I1953" s="3"/>
      <c r="J1953" s="55"/>
      <c r="K1953" s="56"/>
      <c r="L1953" s="56"/>
      <c r="M1953" s="57"/>
      <c r="N1953" s="3"/>
      <c r="O1953" s="3"/>
      <c r="P1953" s="51"/>
      <c r="Q1953" s="5"/>
    </row>
    <row x14ac:dyDescent="0.25" r="1954" customHeight="1" ht="15.75">
      <c r="A1954" s="3"/>
      <c r="B1954" s="3"/>
      <c r="C1954" s="3"/>
      <c r="D1954" s="3"/>
      <c r="E1954" s="3"/>
      <c r="F1954" s="3"/>
      <c r="G1954" s="3"/>
      <c r="H1954" s="60"/>
      <c r="I1954" s="3"/>
      <c r="J1954" s="55"/>
      <c r="K1954" s="56"/>
      <c r="L1954" s="56"/>
      <c r="M1954" s="57"/>
      <c r="N1954" s="3"/>
      <c r="O1954" s="3"/>
      <c r="P1954" s="51"/>
      <c r="Q1954" s="5"/>
    </row>
    <row x14ac:dyDescent="0.25" r="1955" customHeight="1" ht="15.75">
      <c r="A1955" s="3"/>
      <c r="B1955" s="3"/>
      <c r="C1955" s="3"/>
      <c r="D1955" s="3"/>
      <c r="E1955" s="3"/>
      <c r="F1955" s="3"/>
      <c r="G1955" s="3"/>
      <c r="H1955" s="60"/>
      <c r="I1955" s="3"/>
      <c r="J1955" s="55"/>
      <c r="K1955" s="56"/>
      <c r="L1955" s="56"/>
      <c r="M1955" s="57"/>
      <c r="N1955" s="3"/>
      <c r="O1955" s="3"/>
      <c r="P1955" s="51"/>
      <c r="Q1955" s="5"/>
    </row>
    <row x14ac:dyDescent="0.25" r="1956" customHeight="1" ht="15.75">
      <c r="A1956" s="3"/>
      <c r="B1956" s="3"/>
      <c r="C1956" s="3"/>
      <c r="D1956" s="3"/>
      <c r="E1956" s="3"/>
      <c r="F1956" s="3"/>
      <c r="G1956" s="3"/>
      <c r="H1956" s="60"/>
      <c r="I1956" s="3"/>
      <c r="J1956" s="55"/>
      <c r="K1956" s="56"/>
      <c r="L1956" s="56"/>
      <c r="M1956" s="57"/>
      <c r="N1956" s="3"/>
      <c r="O1956" s="3"/>
      <c r="P1956" s="51"/>
      <c r="Q1956" s="5"/>
    </row>
    <row x14ac:dyDescent="0.25" r="1957" customHeight="1" ht="15.75">
      <c r="A1957" s="3"/>
      <c r="B1957" s="3"/>
      <c r="C1957" s="3"/>
      <c r="D1957" s="3"/>
      <c r="E1957" s="3"/>
      <c r="F1957" s="3"/>
      <c r="G1957" s="3"/>
      <c r="H1957" s="60"/>
      <c r="I1957" s="3"/>
      <c r="J1957" s="55"/>
      <c r="K1957" s="56"/>
      <c r="L1957" s="56"/>
      <c r="M1957" s="57"/>
      <c r="N1957" s="3"/>
      <c r="O1957" s="3"/>
      <c r="P1957" s="51"/>
      <c r="Q1957" s="5"/>
    </row>
    <row x14ac:dyDescent="0.25" r="1958" customHeight="1" ht="15.75">
      <c r="A1958" s="3"/>
      <c r="B1958" s="3"/>
      <c r="C1958" s="3"/>
      <c r="D1958" s="3"/>
      <c r="E1958" s="3"/>
      <c r="F1958" s="3"/>
      <c r="G1958" s="3"/>
      <c r="H1958" s="60"/>
      <c r="I1958" s="3"/>
      <c r="J1958" s="55"/>
      <c r="K1958" s="56"/>
      <c r="L1958" s="56"/>
      <c r="M1958" s="57"/>
      <c r="N1958" s="3"/>
      <c r="O1958" s="3"/>
      <c r="P1958" s="51"/>
      <c r="Q1958" s="5"/>
    </row>
    <row x14ac:dyDescent="0.25" r="1959" customHeight="1" ht="15.75">
      <c r="A1959" s="3"/>
      <c r="B1959" s="3"/>
      <c r="C1959" s="3"/>
      <c r="D1959" s="3"/>
      <c r="E1959" s="3"/>
      <c r="F1959" s="3"/>
      <c r="G1959" s="3"/>
      <c r="H1959" s="60"/>
      <c r="I1959" s="3"/>
      <c r="J1959" s="55"/>
      <c r="K1959" s="56"/>
      <c r="L1959" s="56"/>
      <c r="M1959" s="57"/>
      <c r="N1959" s="3"/>
      <c r="O1959" s="3"/>
      <c r="P1959" s="51"/>
      <c r="Q1959" s="5"/>
    </row>
    <row x14ac:dyDescent="0.25" r="1960" customHeight="1" ht="15.75">
      <c r="A1960" s="3"/>
      <c r="B1960" s="3"/>
      <c r="C1960" s="3"/>
      <c r="D1960" s="3"/>
      <c r="E1960" s="3"/>
      <c r="F1960" s="3"/>
      <c r="G1960" s="3"/>
      <c r="H1960" s="60"/>
      <c r="I1960" s="3"/>
      <c r="J1960" s="55"/>
      <c r="K1960" s="56"/>
      <c r="L1960" s="56"/>
      <c r="M1960" s="57"/>
      <c r="N1960" s="3"/>
      <c r="O1960" s="3"/>
      <c r="P1960" s="51"/>
      <c r="Q1960" s="5"/>
    </row>
    <row x14ac:dyDescent="0.25" r="1961" customHeight="1" ht="15.75">
      <c r="A1961" s="3"/>
      <c r="B1961" s="3"/>
      <c r="C1961" s="3"/>
      <c r="D1961" s="3"/>
      <c r="E1961" s="3"/>
      <c r="F1961" s="3"/>
      <c r="G1961" s="3"/>
      <c r="H1961" s="60"/>
      <c r="I1961" s="3"/>
      <c r="J1961" s="55"/>
      <c r="K1961" s="56"/>
      <c r="L1961" s="56"/>
      <c r="M1961" s="57"/>
      <c r="N1961" s="3"/>
      <c r="O1961" s="3"/>
      <c r="P1961" s="51"/>
      <c r="Q1961" s="5"/>
    </row>
    <row x14ac:dyDescent="0.25" r="1962" customHeight="1" ht="15.75">
      <c r="A1962" s="3"/>
      <c r="B1962" s="3"/>
      <c r="C1962" s="3"/>
      <c r="D1962" s="3"/>
      <c r="E1962" s="3"/>
      <c r="F1962" s="3"/>
      <c r="G1962" s="3"/>
      <c r="H1962" s="60"/>
      <c r="I1962" s="3"/>
      <c r="J1962" s="55"/>
      <c r="K1962" s="56"/>
      <c r="L1962" s="56"/>
      <c r="M1962" s="57"/>
      <c r="N1962" s="3"/>
      <c r="O1962" s="3"/>
      <c r="P1962" s="51"/>
      <c r="Q1962" s="5"/>
    </row>
    <row x14ac:dyDescent="0.25" r="1963" customHeight="1" ht="15.75">
      <c r="A1963" s="3"/>
      <c r="B1963" s="3"/>
      <c r="C1963" s="3"/>
      <c r="D1963" s="3"/>
      <c r="E1963" s="3"/>
      <c r="F1963" s="3"/>
      <c r="G1963" s="3"/>
      <c r="H1963" s="60"/>
      <c r="I1963" s="3"/>
      <c r="J1963" s="55"/>
      <c r="K1963" s="56"/>
      <c r="L1963" s="56"/>
      <c r="M1963" s="57"/>
      <c r="N1963" s="3"/>
      <c r="O1963" s="3"/>
      <c r="P1963" s="51"/>
      <c r="Q1963" s="5"/>
    </row>
    <row x14ac:dyDescent="0.25" r="1964" customHeight="1" ht="15.75">
      <c r="A1964" s="3"/>
      <c r="B1964" s="3"/>
      <c r="C1964" s="3"/>
      <c r="D1964" s="3"/>
      <c r="E1964" s="3"/>
      <c r="F1964" s="3"/>
      <c r="G1964" s="3"/>
      <c r="H1964" s="60"/>
      <c r="I1964" s="3"/>
      <c r="J1964" s="55"/>
      <c r="K1964" s="56"/>
      <c r="L1964" s="56"/>
      <c r="M1964" s="57"/>
      <c r="N1964" s="3"/>
      <c r="O1964" s="3"/>
      <c r="P1964" s="51"/>
      <c r="Q1964" s="5"/>
    </row>
    <row x14ac:dyDescent="0.25" r="1965" customHeight="1" ht="15.75">
      <c r="A1965" s="3"/>
      <c r="B1965" s="3"/>
      <c r="C1965" s="3"/>
      <c r="D1965" s="3"/>
      <c r="E1965" s="3"/>
      <c r="F1965" s="3"/>
      <c r="G1965" s="3"/>
      <c r="H1965" s="60"/>
      <c r="I1965" s="3"/>
      <c r="J1965" s="55"/>
      <c r="K1965" s="56"/>
      <c r="L1965" s="56"/>
      <c r="M1965" s="57"/>
      <c r="N1965" s="3"/>
      <c r="O1965" s="3"/>
      <c r="P1965" s="51"/>
      <c r="Q1965" s="5"/>
    </row>
    <row x14ac:dyDescent="0.25" r="1966" customHeight="1" ht="15.75">
      <c r="A1966" s="3"/>
      <c r="B1966" s="3"/>
      <c r="C1966" s="3"/>
      <c r="D1966" s="3"/>
      <c r="E1966" s="3"/>
      <c r="F1966" s="3"/>
      <c r="G1966" s="3"/>
      <c r="H1966" s="60"/>
      <c r="I1966" s="3"/>
      <c r="J1966" s="55"/>
      <c r="K1966" s="56"/>
      <c r="L1966" s="56"/>
      <c r="M1966" s="57"/>
      <c r="N1966" s="3"/>
      <c r="O1966" s="3"/>
      <c r="P1966" s="51"/>
      <c r="Q1966" s="5"/>
    </row>
    <row x14ac:dyDescent="0.25" r="1967" customHeight="1" ht="15.75">
      <c r="A1967" s="3"/>
      <c r="B1967" s="3"/>
      <c r="C1967" s="3"/>
      <c r="D1967" s="3"/>
      <c r="E1967" s="3"/>
      <c r="F1967" s="3"/>
      <c r="G1967" s="3"/>
      <c r="H1967" s="60"/>
      <c r="I1967" s="3"/>
      <c r="J1967" s="55"/>
      <c r="K1967" s="56"/>
      <c r="L1967" s="56"/>
      <c r="M1967" s="57"/>
      <c r="N1967" s="3"/>
      <c r="O1967" s="3"/>
      <c r="P1967" s="51"/>
      <c r="Q1967" s="5"/>
    </row>
    <row x14ac:dyDescent="0.25" r="1968" customHeight="1" ht="15.75">
      <c r="A1968" s="3"/>
      <c r="B1968" s="3"/>
      <c r="C1968" s="3"/>
      <c r="D1968" s="3"/>
      <c r="E1968" s="3"/>
      <c r="F1968" s="3"/>
      <c r="G1968" s="3"/>
      <c r="H1968" s="60"/>
      <c r="I1968" s="3"/>
      <c r="J1968" s="55"/>
      <c r="K1968" s="56"/>
      <c r="L1968" s="56"/>
      <c r="M1968" s="57"/>
      <c r="N1968" s="3"/>
      <c r="O1968" s="3"/>
      <c r="P1968" s="51"/>
      <c r="Q1968" s="5"/>
    </row>
    <row x14ac:dyDescent="0.25" r="1969" customHeight="1" ht="15.75">
      <c r="A1969" s="3"/>
      <c r="B1969" s="3"/>
      <c r="C1969" s="3"/>
      <c r="D1969" s="3"/>
      <c r="E1969" s="3"/>
      <c r="F1969" s="3"/>
      <c r="G1969" s="3"/>
      <c r="H1969" s="60"/>
      <c r="I1969" s="3"/>
      <c r="J1969" s="55"/>
      <c r="K1969" s="56"/>
      <c r="L1969" s="56"/>
      <c r="M1969" s="57"/>
      <c r="N1969" s="3"/>
      <c r="O1969" s="3"/>
      <c r="P1969" s="51"/>
      <c r="Q1969" s="5"/>
    </row>
    <row x14ac:dyDescent="0.25" r="1970" customHeight="1" ht="15.75">
      <c r="A1970" s="3"/>
      <c r="B1970" s="3"/>
      <c r="C1970" s="3"/>
      <c r="D1970" s="3"/>
      <c r="E1970" s="3"/>
      <c r="F1970" s="3"/>
      <c r="G1970" s="3"/>
      <c r="H1970" s="60"/>
      <c r="I1970" s="3"/>
      <c r="J1970" s="55"/>
      <c r="K1970" s="56"/>
      <c r="L1970" s="56"/>
      <c r="M1970" s="57"/>
      <c r="N1970" s="3"/>
      <c r="O1970" s="3"/>
      <c r="P1970" s="51"/>
      <c r="Q1970" s="5"/>
    </row>
    <row x14ac:dyDescent="0.25" r="1971" customHeight="1" ht="15.75">
      <c r="A1971" s="3"/>
      <c r="B1971" s="3"/>
      <c r="C1971" s="3"/>
      <c r="D1971" s="3"/>
      <c r="E1971" s="3"/>
      <c r="F1971" s="3"/>
      <c r="G1971" s="3"/>
      <c r="H1971" s="60"/>
      <c r="I1971" s="3"/>
      <c r="J1971" s="55"/>
      <c r="K1971" s="56"/>
      <c r="L1971" s="56"/>
      <c r="M1971" s="57"/>
      <c r="N1971" s="3"/>
      <c r="O1971" s="3"/>
      <c r="P1971" s="51"/>
      <c r="Q1971" s="5"/>
    </row>
    <row x14ac:dyDescent="0.25" r="1972" customHeight="1" ht="15.75">
      <c r="A1972" s="3"/>
      <c r="B1972" s="3"/>
      <c r="C1972" s="3"/>
      <c r="D1972" s="3"/>
      <c r="E1972" s="3"/>
      <c r="F1972" s="3"/>
      <c r="G1972" s="3"/>
      <c r="H1972" s="60"/>
      <c r="I1972" s="3"/>
      <c r="J1972" s="55"/>
      <c r="K1972" s="56"/>
      <c r="L1972" s="56"/>
      <c r="M1972" s="57"/>
      <c r="N1972" s="3"/>
      <c r="O1972" s="3"/>
      <c r="P1972" s="51"/>
      <c r="Q1972" s="5"/>
    </row>
    <row x14ac:dyDescent="0.25" r="1973" customHeight="1" ht="15.75">
      <c r="A1973" s="3"/>
      <c r="B1973" s="3"/>
      <c r="C1973" s="3"/>
      <c r="D1973" s="3"/>
      <c r="E1973" s="3"/>
      <c r="F1973" s="3"/>
      <c r="G1973" s="3"/>
      <c r="H1973" s="60"/>
      <c r="I1973" s="3"/>
      <c r="J1973" s="55"/>
      <c r="K1973" s="56"/>
      <c r="L1973" s="56"/>
      <c r="M1973" s="57"/>
      <c r="N1973" s="3"/>
      <c r="O1973" s="3"/>
      <c r="P1973" s="51"/>
      <c r="Q1973" s="5"/>
    </row>
    <row x14ac:dyDescent="0.25" r="1974" customHeight="1" ht="15.75">
      <c r="A1974" s="3"/>
      <c r="B1974" s="3"/>
      <c r="C1974" s="3"/>
      <c r="D1974" s="3"/>
      <c r="E1974" s="3"/>
      <c r="F1974" s="3"/>
      <c r="G1974" s="3"/>
      <c r="H1974" s="60"/>
      <c r="I1974" s="3"/>
      <c r="J1974" s="55"/>
      <c r="K1974" s="56"/>
      <c r="L1974" s="56"/>
      <c r="M1974" s="57"/>
      <c r="N1974" s="3"/>
      <c r="O1974" s="3"/>
      <c r="P1974" s="51"/>
      <c r="Q1974" s="5"/>
    </row>
    <row x14ac:dyDescent="0.25" r="1975" customHeight="1" ht="15.75">
      <c r="A1975" s="3"/>
      <c r="B1975" s="3"/>
      <c r="C1975" s="3"/>
      <c r="D1975" s="3"/>
      <c r="E1975" s="3"/>
      <c r="F1975" s="3"/>
      <c r="G1975" s="3"/>
      <c r="H1975" s="60"/>
      <c r="I1975" s="3"/>
      <c r="J1975" s="55"/>
      <c r="K1975" s="56"/>
      <c r="L1975" s="56"/>
      <c r="M1975" s="57"/>
      <c r="N1975" s="3"/>
      <c r="O1975" s="3"/>
      <c r="P1975" s="51"/>
      <c r="Q1975" s="5"/>
    </row>
    <row x14ac:dyDescent="0.25" r="1976" customHeight="1" ht="15.75">
      <c r="A1976" s="3"/>
      <c r="B1976" s="3"/>
      <c r="C1976" s="3"/>
      <c r="D1976" s="3"/>
      <c r="E1976" s="3"/>
      <c r="F1976" s="3"/>
      <c r="G1976" s="3"/>
      <c r="H1976" s="60"/>
      <c r="I1976" s="3"/>
      <c r="J1976" s="55"/>
      <c r="K1976" s="56"/>
      <c r="L1976" s="56"/>
      <c r="M1976" s="57"/>
      <c r="N1976" s="3"/>
      <c r="O1976" s="3"/>
      <c r="P1976" s="51"/>
      <c r="Q1976" s="5"/>
    </row>
    <row x14ac:dyDescent="0.25" r="1977" customHeight="1" ht="15.75">
      <c r="A1977" s="3"/>
      <c r="B1977" s="3"/>
      <c r="C1977" s="3"/>
      <c r="D1977" s="3"/>
      <c r="E1977" s="3"/>
      <c r="F1977" s="3"/>
      <c r="G1977" s="3"/>
      <c r="H1977" s="60"/>
      <c r="I1977" s="3"/>
      <c r="J1977" s="55"/>
      <c r="K1977" s="56"/>
      <c r="L1977" s="56"/>
      <c r="M1977" s="57"/>
      <c r="N1977" s="3"/>
      <c r="O1977" s="3"/>
      <c r="P1977" s="51"/>
      <c r="Q1977" s="5"/>
    </row>
    <row x14ac:dyDescent="0.25" r="1978" customHeight="1" ht="15.75">
      <c r="A1978" s="3"/>
      <c r="B1978" s="3"/>
      <c r="C1978" s="3"/>
      <c r="D1978" s="3"/>
      <c r="E1978" s="3"/>
      <c r="F1978" s="3"/>
      <c r="G1978" s="3"/>
      <c r="H1978" s="60"/>
      <c r="I1978" s="3"/>
      <c r="J1978" s="55"/>
      <c r="K1978" s="56"/>
      <c r="L1978" s="56"/>
      <c r="M1978" s="57"/>
      <c r="N1978" s="3"/>
      <c r="O1978" s="3"/>
      <c r="P1978" s="51"/>
      <c r="Q1978" s="5"/>
    </row>
    <row x14ac:dyDescent="0.25" r="1979" customHeight="1" ht="15.75">
      <c r="A1979" s="3"/>
      <c r="B1979" s="3"/>
      <c r="C1979" s="3"/>
      <c r="D1979" s="3"/>
      <c r="E1979" s="3"/>
      <c r="F1979" s="3"/>
      <c r="G1979" s="3"/>
      <c r="H1979" s="60"/>
      <c r="I1979" s="3"/>
      <c r="J1979" s="55"/>
      <c r="K1979" s="56"/>
      <c r="L1979" s="56"/>
      <c r="M1979" s="57"/>
      <c r="N1979" s="3"/>
      <c r="O1979" s="3"/>
      <c r="P1979" s="51"/>
      <c r="Q1979" s="5"/>
    </row>
    <row x14ac:dyDescent="0.25" r="1980" customHeight="1" ht="15.75">
      <c r="A1980" s="3"/>
      <c r="B1980" s="3"/>
      <c r="C1980" s="3"/>
      <c r="D1980" s="3"/>
      <c r="E1980" s="3"/>
      <c r="F1980" s="3"/>
      <c r="G1980" s="3"/>
      <c r="H1980" s="60"/>
      <c r="I1980" s="3"/>
      <c r="J1980" s="55"/>
      <c r="K1980" s="56"/>
      <c r="L1980" s="56"/>
      <c r="M1980" s="57"/>
      <c r="N1980" s="3"/>
      <c r="O1980" s="3"/>
      <c r="P1980" s="51"/>
      <c r="Q1980" s="5"/>
    </row>
    <row x14ac:dyDescent="0.25" r="1981" customHeight="1" ht="15.75">
      <c r="A1981" s="3"/>
      <c r="B1981" s="3"/>
      <c r="C1981" s="3"/>
      <c r="D1981" s="3"/>
      <c r="E1981" s="3"/>
      <c r="F1981" s="3"/>
      <c r="G1981" s="3"/>
      <c r="H1981" s="60"/>
      <c r="I1981" s="3"/>
      <c r="J1981" s="55"/>
      <c r="K1981" s="56"/>
      <c r="L1981" s="56"/>
      <c r="M1981" s="57"/>
      <c r="N1981" s="3"/>
      <c r="O1981" s="3"/>
      <c r="P1981" s="51"/>
      <c r="Q1981" s="5"/>
    </row>
    <row x14ac:dyDescent="0.25" r="1982" customHeight="1" ht="15.75">
      <c r="A1982" s="3"/>
      <c r="B1982" s="3"/>
      <c r="C1982" s="3"/>
      <c r="D1982" s="3"/>
      <c r="E1982" s="3"/>
      <c r="F1982" s="3"/>
      <c r="G1982" s="3"/>
      <c r="H1982" s="60"/>
      <c r="I1982" s="3"/>
      <c r="J1982" s="55"/>
      <c r="K1982" s="56"/>
      <c r="L1982" s="56"/>
      <c r="M1982" s="57"/>
      <c r="N1982" s="3"/>
      <c r="O1982" s="3"/>
      <c r="P1982" s="51"/>
      <c r="Q1982" s="5"/>
    </row>
    <row x14ac:dyDescent="0.25" r="1983" customHeight="1" ht="15.75">
      <c r="A1983" s="3"/>
      <c r="B1983" s="3"/>
      <c r="C1983" s="3"/>
      <c r="D1983" s="3"/>
      <c r="E1983" s="3"/>
      <c r="F1983" s="3"/>
      <c r="G1983" s="3"/>
      <c r="H1983" s="60"/>
      <c r="I1983" s="3"/>
      <c r="J1983" s="55"/>
      <c r="K1983" s="56"/>
      <c r="L1983" s="56"/>
      <c r="M1983" s="57"/>
      <c r="N1983" s="3"/>
      <c r="O1983" s="3"/>
      <c r="P1983" s="51"/>
      <c r="Q1983" s="5"/>
    </row>
    <row x14ac:dyDescent="0.25" r="1984" customHeight="1" ht="15.75">
      <c r="A1984" s="3"/>
      <c r="B1984" s="3"/>
      <c r="C1984" s="3"/>
      <c r="D1984" s="3"/>
      <c r="E1984" s="3"/>
      <c r="F1984" s="3"/>
      <c r="G1984" s="3"/>
      <c r="H1984" s="60"/>
      <c r="I1984" s="3"/>
      <c r="J1984" s="55"/>
      <c r="K1984" s="56"/>
      <c r="L1984" s="56"/>
      <c r="M1984" s="57"/>
      <c r="N1984" s="3"/>
      <c r="O1984" s="3"/>
      <c r="P1984" s="51"/>
      <c r="Q1984" s="5"/>
    </row>
    <row x14ac:dyDescent="0.25" r="1985" customHeight="1" ht="15.75">
      <c r="A1985" s="3"/>
      <c r="B1985" s="3"/>
      <c r="C1985" s="3"/>
      <c r="D1985" s="3"/>
      <c r="E1985" s="3"/>
      <c r="F1985" s="3"/>
      <c r="G1985" s="3"/>
      <c r="H1985" s="60"/>
      <c r="I1985" s="3"/>
      <c r="J1985" s="55"/>
      <c r="K1985" s="56"/>
      <c r="L1985" s="56"/>
      <c r="M1985" s="57"/>
      <c r="N1985" s="3"/>
      <c r="O1985" s="3"/>
      <c r="P1985" s="51"/>
      <c r="Q1985" s="5"/>
    </row>
    <row x14ac:dyDescent="0.25" r="1986" customHeight="1" ht="15.75">
      <c r="A1986" s="3"/>
      <c r="B1986" s="3"/>
      <c r="C1986" s="3"/>
      <c r="D1986" s="3"/>
      <c r="E1986" s="3"/>
      <c r="F1986" s="3"/>
      <c r="G1986" s="3"/>
      <c r="H1986" s="60"/>
      <c r="I1986" s="3"/>
      <c r="J1986" s="55"/>
      <c r="K1986" s="56"/>
      <c r="L1986" s="56"/>
      <c r="M1986" s="57"/>
      <c r="N1986" s="3"/>
      <c r="O1986" s="3"/>
      <c r="P1986" s="51"/>
      <c r="Q1986" s="5"/>
    </row>
    <row x14ac:dyDescent="0.25" r="1987" customHeight="1" ht="15.75">
      <c r="A1987" s="3"/>
      <c r="B1987" s="3"/>
      <c r="C1987" s="3"/>
      <c r="D1987" s="3"/>
      <c r="E1987" s="3"/>
      <c r="F1987" s="3"/>
      <c r="G1987" s="3"/>
      <c r="H1987" s="60"/>
      <c r="I1987" s="3"/>
      <c r="J1987" s="55"/>
      <c r="K1987" s="56"/>
      <c r="L1987" s="56"/>
      <c r="M1987" s="57"/>
      <c r="N1987" s="3"/>
      <c r="O1987" s="3"/>
      <c r="P1987" s="51"/>
      <c r="Q1987" s="5"/>
    </row>
    <row x14ac:dyDescent="0.25" r="1988" customHeight="1" ht="15.75">
      <c r="A1988" s="3"/>
      <c r="B1988" s="3"/>
      <c r="C1988" s="3"/>
      <c r="D1988" s="3"/>
      <c r="E1988" s="3"/>
      <c r="F1988" s="3"/>
      <c r="G1988" s="3"/>
      <c r="H1988" s="60"/>
      <c r="I1988" s="3"/>
      <c r="J1988" s="55"/>
      <c r="K1988" s="56"/>
      <c r="L1988" s="56"/>
      <c r="M1988" s="57"/>
      <c r="N1988" s="3"/>
      <c r="O1988" s="3"/>
      <c r="P1988" s="51"/>
      <c r="Q1988" s="5"/>
    </row>
    <row x14ac:dyDescent="0.25" r="1989" customHeight="1" ht="15.75">
      <c r="A1989" s="3"/>
      <c r="B1989" s="3"/>
      <c r="C1989" s="3"/>
      <c r="D1989" s="3"/>
      <c r="E1989" s="3"/>
      <c r="F1989" s="3"/>
      <c r="G1989" s="3"/>
      <c r="H1989" s="60"/>
      <c r="I1989" s="3"/>
      <c r="J1989" s="55"/>
      <c r="K1989" s="56"/>
      <c r="L1989" s="56"/>
      <c r="M1989" s="57"/>
      <c r="N1989" s="3"/>
      <c r="O1989" s="3"/>
      <c r="P1989" s="51"/>
      <c r="Q1989" s="5"/>
    </row>
    <row x14ac:dyDescent="0.25" r="1990" customHeight="1" ht="15.75">
      <c r="A1990" s="3"/>
      <c r="B1990" s="3"/>
      <c r="C1990" s="3"/>
      <c r="D1990" s="3"/>
      <c r="E1990" s="3"/>
      <c r="F1990" s="3"/>
      <c r="G1990" s="3"/>
      <c r="H1990" s="60"/>
      <c r="I1990" s="3"/>
      <c r="J1990" s="55"/>
      <c r="K1990" s="56"/>
      <c r="L1990" s="56"/>
      <c r="M1990" s="57"/>
      <c r="N1990" s="3"/>
      <c r="O1990" s="3"/>
      <c r="P1990" s="51"/>
      <c r="Q1990" s="5"/>
    </row>
    <row x14ac:dyDescent="0.25" r="1991" customHeight="1" ht="15.75">
      <c r="A1991" s="3"/>
      <c r="B1991" s="3"/>
      <c r="C1991" s="3"/>
      <c r="D1991" s="3"/>
      <c r="E1991" s="3"/>
      <c r="F1991" s="3"/>
      <c r="G1991" s="3"/>
      <c r="H1991" s="60"/>
      <c r="I1991" s="3"/>
      <c r="J1991" s="55"/>
      <c r="K1991" s="56"/>
      <c r="L1991" s="56"/>
      <c r="M1991" s="57"/>
      <c r="N1991" s="3"/>
      <c r="O1991" s="3"/>
      <c r="P1991" s="51"/>
      <c r="Q1991" s="5"/>
    </row>
    <row x14ac:dyDescent="0.25" r="1992" customHeight="1" ht="15.75">
      <c r="A1992" s="3"/>
      <c r="B1992" s="3"/>
      <c r="C1992" s="3"/>
      <c r="D1992" s="3"/>
      <c r="E1992" s="3"/>
      <c r="F1992" s="3"/>
      <c r="G1992" s="3"/>
      <c r="H1992" s="60"/>
      <c r="I1992" s="3"/>
      <c r="J1992" s="55"/>
      <c r="K1992" s="56"/>
      <c r="L1992" s="56"/>
      <c r="M1992" s="57"/>
      <c r="N1992" s="3"/>
      <c r="O1992" s="3"/>
      <c r="P1992" s="51"/>
      <c r="Q1992" s="5"/>
    </row>
    <row x14ac:dyDescent="0.25" r="1993" customHeight="1" ht="15.75">
      <c r="A1993" s="3"/>
      <c r="B1993" s="3"/>
      <c r="C1993" s="3"/>
      <c r="D1993" s="3"/>
      <c r="E1993" s="3"/>
      <c r="F1993" s="3"/>
      <c r="G1993" s="3"/>
      <c r="H1993" s="60"/>
      <c r="I1993" s="3"/>
      <c r="J1993" s="55"/>
      <c r="K1993" s="56"/>
      <c r="L1993" s="56"/>
      <c r="M1993" s="57"/>
      <c r="N1993" s="3"/>
      <c r="O1993" s="3"/>
      <c r="P1993" s="51"/>
      <c r="Q1993" s="5"/>
    </row>
    <row x14ac:dyDescent="0.25" r="1994" customHeight="1" ht="15.75">
      <c r="A1994" s="3"/>
      <c r="B1994" s="3"/>
      <c r="C1994" s="3"/>
      <c r="D1994" s="3"/>
      <c r="E1994" s="3"/>
      <c r="F1994" s="3"/>
      <c r="G1994" s="3"/>
      <c r="H1994" s="60"/>
      <c r="I1994" s="3"/>
      <c r="J1994" s="55"/>
      <c r="K1994" s="56"/>
      <c r="L1994" s="56"/>
      <c r="M1994" s="57"/>
      <c r="N1994" s="3"/>
      <c r="O1994" s="3"/>
      <c r="P1994" s="51"/>
      <c r="Q1994" s="5"/>
    </row>
    <row x14ac:dyDescent="0.25" r="1995" customHeight="1" ht="15.75">
      <c r="A1995" s="3"/>
      <c r="B1995" s="3"/>
      <c r="C1995" s="3"/>
      <c r="D1995" s="3"/>
      <c r="E1995" s="3"/>
      <c r="F1995" s="3"/>
      <c r="G1995" s="3"/>
      <c r="H1995" s="60"/>
      <c r="I1995" s="3"/>
      <c r="J1995" s="55"/>
      <c r="K1995" s="56"/>
      <c r="L1995" s="56"/>
      <c r="M1995" s="57"/>
      <c r="N1995" s="3"/>
      <c r="O1995" s="3"/>
      <c r="P1995" s="51"/>
      <c r="Q1995" s="5"/>
    </row>
    <row x14ac:dyDescent="0.25" r="1996" customHeight="1" ht="15.75">
      <c r="A1996" s="3"/>
      <c r="B1996" s="3"/>
      <c r="C1996" s="3"/>
      <c r="D1996" s="3"/>
      <c r="E1996" s="3"/>
      <c r="F1996" s="3"/>
      <c r="G1996" s="3"/>
      <c r="H1996" s="60"/>
      <c r="I1996" s="3"/>
      <c r="J1996" s="55"/>
      <c r="K1996" s="56"/>
      <c r="L1996" s="56"/>
      <c r="M1996" s="57"/>
      <c r="N1996" s="3"/>
      <c r="O1996" s="3"/>
      <c r="P1996" s="51"/>
      <c r="Q1996" s="5"/>
    </row>
    <row x14ac:dyDescent="0.25" r="1997" customHeight="1" ht="15.75">
      <c r="A1997" s="3"/>
      <c r="B1997" s="3"/>
      <c r="C1997" s="3"/>
      <c r="D1997" s="3"/>
      <c r="E1997" s="3"/>
      <c r="F1997" s="3"/>
      <c r="G1997" s="3"/>
      <c r="H1997" s="60"/>
      <c r="I1997" s="3"/>
      <c r="J1997" s="55"/>
      <c r="K1997" s="56"/>
      <c r="L1997" s="56"/>
      <c r="M1997" s="57"/>
      <c r="N1997" s="3"/>
      <c r="O1997" s="3"/>
      <c r="P1997" s="51"/>
      <c r="Q1997" s="5"/>
    </row>
    <row x14ac:dyDescent="0.25" r="1998" customHeight="1" ht="15.75">
      <c r="A1998" s="3"/>
      <c r="B1998" s="3"/>
      <c r="C1998" s="3"/>
      <c r="D1998" s="3"/>
      <c r="E1998" s="3"/>
      <c r="F1998" s="3"/>
      <c r="G1998" s="3"/>
      <c r="H1998" s="60"/>
      <c r="I1998" s="3"/>
      <c r="J1998" s="55"/>
      <c r="K1998" s="56"/>
      <c r="L1998" s="56"/>
      <c r="M1998" s="57"/>
      <c r="N1998" s="3"/>
      <c r="O1998" s="3"/>
      <c r="P1998" s="51"/>
      <c r="Q1998" s="5"/>
    </row>
    <row x14ac:dyDescent="0.25" r="1999" customHeight="1" ht="15.75">
      <c r="A1999" s="3"/>
      <c r="B1999" s="3"/>
      <c r="C1999" s="3"/>
      <c r="D1999" s="3"/>
      <c r="E1999" s="3"/>
      <c r="F1999" s="3"/>
      <c r="G1999" s="3"/>
      <c r="H1999" s="60"/>
      <c r="I1999" s="3"/>
      <c r="J1999" s="55"/>
      <c r="K1999" s="56"/>
      <c r="L1999" s="56"/>
      <c r="M1999" s="57"/>
      <c r="N1999" s="3"/>
      <c r="O1999" s="3"/>
      <c r="P1999" s="51"/>
      <c r="Q1999" s="5"/>
    </row>
    <row x14ac:dyDescent="0.25" r="2000" customHeight="1" ht="15.75">
      <c r="A2000" s="3"/>
      <c r="B2000" s="3"/>
      <c r="C2000" s="3"/>
      <c r="D2000" s="3"/>
      <c r="E2000" s="3"/>
      <c r="F2000" s="3"/>
      <c r="G2000" s="3"/>
      <c r="H2000" s="60"/>
      <c r="I2000" s="3"/>
      <c r="J2000" s="55"/>
      <c r="K2000" s="56"/>
      <c r="L2000" s="56"/>
      <c r="M2000" s="57"/>
      <c r="N2000" s="3"/>
      <c r="O2000" s="3"/>
      <c r="P2000" s="51"/>
      <c r="Q2000" s="5"/>
    </row>
    <row x14ac:dyDescent="0.25" r="2001" customHeight="1" ht="15.75">
      <c r="A2001" s="3"/>
      <c r="B2001" s="3"/>
      <c r="C2001" s="3"/>
      <c r="D2001" s="3"/>
      <c r="E2001" s="3"/>
      <c r="F2001" s="3"/>
      <c r="G2001" s="3"/>
      <c r="H2001" s="60"/>
      <c r="I2001" s="3"/>
      <c r="J2001" s="55"/>
      <c r="K2001" s="56"/>
      <c r="L2001" s="56"/>
      <c r="M2001" s="57"/>
      <c r="N2001" s="3"/>
      <c r="O2001" s="3"/>
      <c r="P2001" s="51"/>
      <c r="Q20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16"/>
  <sheetViews>
    <sheetView workbookViewId="0"/>
  </sheetViews>
  <sheetFormatPr defaultRowHeight="15" x14ac:dyDescent="0.25"/>
  <cols>
    <col min="1" max="1" style="33" width="13.576428571428572" customWidth="1" bestFit="1"/>
    <col min="2" max="2" style="34" width="13.576428571428572" customWidth="1" bestFit="1"/>
    <col min="3" max="3" style="33" width="13.576428571428572" customWidth="1" bestFit="1"/>
    <col min="4" max="4" style="33" width="13.576428571428572" customWidth="1" bestFit="1"/>
    <col min="5" max="5" style="35" width="13.576428571428572" customWidth="1" bestFit="1"/>
    <col min="6" max="6" style="33" width="13.576428571428572" customWidth="1" bestFit="1"/>
    <col min="7" max="7" style="33" width="13.576428571428572" customWidth="1" bestFit="1"/>
    <col min="8" max="8" style="35" width="13.576428571428572" customWidth="1" bestFit="1"/>
    <col min="9" max="9" style="35" width="13.576428571428572" customWidth="1" bestFit="1"/>
    <col min="10" max="10" style="35" width="13.576428571428572" customWidth="1" bestFit="1"/>
    <col min="11" max="11" style="35" width="13.576428571428572" customWidth="1" bestFit="1"/>
    <col min="12" max="12" style="36" width="13.576428571428572" customWidth="1" bestFit="1"/>
    <col min="13" max="13" style="36" width="13.576428571428572" customWidth="1" bestFit="1"/>
    <col min="14" max="14" style="37" width="13.576428571428572" customWidth="1" bestFit="1"/>
    <col min="15" max="15" style="33" width="13.576428571428572" customWidth="1" bestFit="1"/>
    <col min="16" max="16" style="33" width="13.576428571428572" customWidth="1" bestFit="1"/>
    <col min="17" max="17" style="33" width="13.576428571428572" customWidth="1" bestFit="1"/>
    <col min="18" max="18" style="3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1" t="s">
        <v>2</v>
      </c>
      <c r="E1" s="4" t="s">
        <v>3</v>
      </c>
      <c r="F1" s="3"/>
      <c r="G1" s="1" t="s">
        <v>4</v>
      </c>
      <c r="H1" s="4" t="s">
        <v>5</v>
      </c>
      <c r="I1" s="5"/>
      <c r="J1" s="4" t="s">
        <v>6</v>
      </c>
      <c r="K1" s="5"/>
      <c r="L1" s="6"/>
      <c r="M1" s="6"/>
      <c r="N1" s="7"/>
      <c r="O1" s="3"/>
      <c r="P1" s="3"/>
      <c r="Q1" s="3"/>
      <c r="R1" s="3"/>
    </row>
    <row x14ac:dyDescent="0.25" r="2" customHeight="1" ht="18.75">
      <c r="A2" s="1" t="s">
        <v>7</v>
      </c>
      <c r="B2" s="8">
        <v>518</v>
      </c>
      <c r="C2" s="3"/>
      <c r="D2" s="1" t="s">
        <v>8</v>
      </c>
      <c r="E2" s="8">
        <v>403</v>
      </c>
      <c r="F2" s="3"/>
      <c r="G2" s="1" t="s">
        <v>9</v>
      </c>
      <c r="H2" s="8">
        <v>139</v>
      </c>
      <c r="I2" s="5"/>
      <c r="J2" s="9">
        <v>44.382</v>
      </c>
      <c r="K2" s="5"/>
      <c r="L2" s="6"/>
      <c r="M2" s="6"/>
      <c r="N2" s="7"/>
      <c r="O2" s="3"/>
      <c r="P2" s="3"/>
      <c r="Q2" s="3"/>
      <c r="R2" s="3"/>
    </row>
    <row x14ac:dyDescent="0.25" r="3" customHeight="1" ht="18.75">
      <c r="A3" s="10" t="s">
        <v>10</v>
      </c>
      <c r="B3" s="11">
        <v>482</v>
      </c>
      <c r="C3" s="3"/>
      <c r="D3" s="10" t="s">
        <v>11</v>
      </c>
      <c r="E3" s="11">
        <v>74</v>
      </c>
      <c r="F3" s="3"/>
      <c r="G3" s="10" t="s">
        <v>12</v>
      </c>
      <c r="H3" s="11">
        <v>218</v>
      </c>
      <c r="I3" s="5"/>
      <c r="J3" s="5"/>
      <c r="K3" s="5"/>
      <c r="L3" s="6"/>
      <c r="M3" s="6"/>
      <c r="N3" s="7"/>
      <c r="O3" s="3"/>
      <c r="P3" s="3"/>
      <c r="Q3" s="3"/>
      <c r="R3" s="3"/>
    </row>
    <row x14ac:dyDescent="0.25" r="4" customHeight="1" ht="18.75">
      <c r="A4" s="10" t="s">
        <v>13</v>
      </c>
      <c r="B4" s="12"/>
      <c r="C4" s="3"/>
      <c r="D4" s="10" t="s">
        <v>14</v>
      </c>
      <c r="E4" s="11">
        <v>271</v>
      </c>
      <c r="F4" s="3"/>
      <c r="G4" s="10" t="s">
        <v>15</v>
      </c>
      <c r="H4" s="11">
        <v>643</v>
      </c>
      <c r="I4" s="5"/>
      <c r="J4" s="5"/>
      <c r="K4" s="5"/>
      <c r="L4" s="6"/>
      <c r="M4" s="6"/>
      <c r="N4" s="7"/>
      <c r="O4" s="3"/>
      <c r="P4" s="3"/>
      <c r="Q4" s="3"/>
      <c r="R4" s="3"/>
    </row>
    <row x14ac:dyDescent="0.25" r="5" customHeight="1" ht="18.75">
      <c r="A5" s="13" t="s">
        <v>16</v>
      </c>
      <c r="B5" s="14">
        <v>1000</v>
      </c>
      <c r="C5" s="3"/>
      <c r="D5" s="10" t="s">
        <v>17</v>
      </c>
      <c r="E5" s="11">
        <v>251</v>
      </c>
      <c r="F5" s="3"/>
      <c r="G5" s="10" t="s">
        <v>13</v>
      </c>
      <c r="H5" s="15"/>
      <c r="I5" s="5"/>
      <c r="J5" s="5"/>
      <c r="K5" s="5"/>
      <c r="L5" s="6"/>
      <c r="M5" s="6"/>
      <c r="N5" s="7"/>
      <c r="O5" s="3"/>
      <c r="P5" s="3"/>
      <c r="Q5" s="3"/>
      <c r="R5" s="3"/>
    </row>
    <row x14ac:dyDescent="0.25" r="6" customHeight="1" ht="18.75">
      <c r="A6" s="3"/>
      <c r="B6" s="16"/>
      <c r="C6" s="3"/>
      <c r="D6" s="10" t="s">
        <v>13</v>
      </c>
      <c r="E6" s="15"/>
      <c r="F6" s="3"/>
      <c r="G6" s="13" t="s">
        <v>16</v>
      </c>
      <c r="H6" s="14">
        <v>1000</v>
      </c>
      <c r="I6" s="5"/>
      <c r="J6" s="5"/>
      <c r="K6" s="5"/>
      <c r="L6" s="6"/>
      <c r="M6" s="6"/>
      <c r="N6" s="7"/>
      <c r="O6" s="3"/>
      <c r="P6" s="3"/>
      <c r="Q6" s="3"/>
      <c r="R6" s="3"/>
    </row>
    <row x14ac:dyDescent="0.25" r="7" customHeight="1" ht="18.75">
      <c r="A7" s="3"/>
      <c r="B7" s="16"/>
      <c r="C7" s="3"/>
      <c r="D7" s="13" t="s">
        <v>16</v>
      </c>
      <c r="E7" s="14">
        <v>999</v>
      </c>
      <c r="F7" s="3"/>
      <c r="G7" s="3"/>
      <c r="H7" s="5"/>
      <c r="I7" s="5"/>
      <c r="J7" s="5"/>
      <c r="K7" s="5"/>
      <c r="L7" s="6"/>
      <c r="M7" s="6"/>
      <c r="N7" s="7"/>
      <c r="O7" s="3"/>
      <c r="P7" s="3"/>
      <c r="Q7" s="3"/>
      <c r="R7" s="3"/>
    </row>
    <row x14ac:dyDescent="0.25" r="8" customHeight="1" ht="18.75">
      <c r="A8" s="3"/>
      <c r="B8" s="16"/>
      <c r="C8" s="3"/>
      <c r="D8" s="3"/>
      <c r="E8" s="5"/>
      <c r="F8" s="3"/>
      <c r="G8" s="3"/>
      <c r="H8" s="5"/>
      <c r="I8" s="5"/>
      <c r="J8" s="5"/>
      <c r="K8" s="5"/>
      <c r="L8" s="6"/>
      <c r="M8" s="6"/>
      <c r="N8" s="7"/>
      <c r="O8" s="3"/>
      <c r="P8" s="3"/>
      <c r="Q8" s="3"/>
      <c r="R8" s="3"/>
    </row>
    <row x14ac:dyDescent="0.25" r="9" customHeight="1" ht="18.75">
      <c r="A9" s="3"/>
      <c r="B9" s="16"/>
      <c r="C9" s="3"/>
      <c r="D9" s="3"/>
      <c r="E9" s="5"/>
      <c r="F9" s="3"/>
      <c r="G9" s="3"/>
      <c r="H9" s="5"/>
      <c r="I9" s="5"/>
      <c r="J9" s="5"/>
      <c r="K9" s="5"/>
      <c r="L9" s="6"/>
      <c r="M9" s="6"/>
      <c r="N9" s="7"/>
      <c r="O9" s="3"/>
      <c r="P9" s="3"/>
      <c r="Q9" s="3"/>
      <c r="R9" s="3"/>
    </row>
    <row x14ac:dyDescent="0.25" r="10" customHeight="1" ht="18.75">
      <c r="A10" s="3"/>
      <c r="B10" s="16"/>
      <c r="C10" s="3"/>
      <c r="D10" s="3"/>
      <c r="E10" s="5"/>
      <c r="F10" s="3"/>
      <c r="G10" s="3"/>
      <c r="H10" s="5"/>
      <c r="I10" s="5"/>
      <c r="J10" s="5"/>
      <c r="K10" s="5"/>
      <c r="L10" s="6"/>
      <c r="M10" s="6"/>
      <c r="N10" s="7"/>
      <c r="O10" s="3"/>
      <c r="P10" s="3"/>
      <c r="Q10" s="3"/>
      <c r="R10" s="3"/>
    </row>
    <row x14ac:dyDescent="0.25" r="11" customHeight="1" ht="18.75">
      <c r="A11" s="1" t="s">
        <v>18</v>
      </c>
      <c r="B11" s="2" t="s">
        <v>19</v>
      </c>
      <c r="C11" s="3"/>
      <c r="D11" s="1" t="s">
        <v>18</v>
      </c>
      <c r="E11" s="4" t="s">
        <v>20</v>
      </c>
      <c r="F11" s="3"/>
      <c r="G11" s="1" t="s">
        <v>18</v>
      </c>
      <c r="H11" s="4" t="s">
        <v>21</v>
      </c>
      <c r="I11" s="5"/>
      <c r="J11" s="17" t="s">
        <v>22</v>
      </c>
      <c r="K11" s="4" t="s">
        <v>23</v>
      </c>
      <c r="L11" s="6"/>
      <c r="M11" s="6"/>
      <c r="N11" s="7"/>
      <c r="O11" s="3"/>
      <c r="P11" s="3"/>
      <c r="Q11" s="3"/>
      <c r="R11" s="3"/>
    </row>
    <row x14ac:dyDescent="0.25" r="12" customHeight="1" ht="18.75">
      <c r="A12" s="1" t="s">
        <v>24</v>
      </c>
      <c r="B12" s="8">
        <v>96</v>
      </c>
      <c r="C12" s="3"/>
      <c r="D12" s="1" t="s">
        <v>24</v>
      </c>
      <c r="E12" s="18">
        <v>123146.94791666667</v>
      </c>
      <c r="F12" s="3"/>
      <c r="G12" s="1" t="s">
        <v>24</v>
      </c>
      <c r="H12" s="18">
        <v>0.1113541666666667</v>
      </c>
      <c r="I12" s="5"/>
      <c r="J12" s="17" t="s">
        <v>25</v>
      </c>
      <c r="K12" s="8">
        <v>53</v>
      </c>
      <c r="L12" s="6"/>
      <c r="M12" s="6"/>
      <c r="N12" s="7"/>
      <c r="O12" s="3"/>
      <c r="P12" s="3"/>
      <c r="Q12" s="3"/>
      <c r="R12" s="3"/>
    </row>
    <row x14ac:dyDescent="0.25" r="13" customHeight="1" ht="18.75">
      <c r="A13" s="10" t="s">
        <v>26</v>
      </c>
      <c r="B13" s="11">
        <v>158</v>
      </c>
      <c r="C13" s="3"/>
      <c r="D13" s="10" t="s">
        <v>26</v>
      </c>
      <c r="E13" s="19">
        <v>109035.20886075949</v>
      </c>
      <c r="F13" s="3"/>
      <c r="G13" s="10" t="s">
        <v>26</v>
      </c>
      <c r="H13" s="19">
        <v>0.07164556962025316</v>
      </c>
      <c r="I13" s="5"/>
      <c r="J13" s="20" t="s">
        <v>27</v>
      </c>
      <c r="K13" s="11">
        <v>203</v>
      </c>
      <c r="L13" s="6"/>
      <c r="M13" s="6"/>
      <c r="N13" s="7"/>
      <c r="O13" s="3"/>
      <c r="P13" s="3"/>
      <c r="Q13" s="3"/>
      <c r="R13" s="3"/>
    </row>
    <row x14ac:dyDescent="0.25" r="14" customHeight="1" ht="18.75">
      <c r="A14" s="10" t="s">
        <v>28</v>
      </c>
      <c r="B14" s="11">
        <v>120</v>
      </c>
      <c r="C14" s="3"/>
      <c r="D14" s="10" t="s">
        <v>28</v>
      </c>
      <c r="E14" s="19">
        <v>122802.89166666666</v>
      </c>
      <c r="F14" s="3"/>
      <c r="G14" s="10" t="s">
        <v>28</v>
      </c>
      <c r="H14" s="19">
        <v>0.11158333333333337</v>
      </c>
      <c r="I14" s="5"/>
      <c r="J14" s="20" t="s">
        <v>29</v>
      </c>
      <c r="K14" s="11">
        <v>178</v>
      </c>
      <c r="L14" s="6"/>
      <c r="M14" s="6"/>
      <c r="N14" s="7"/>
      <c r="O14" s="3"/>
      <c r="P14" s="3"/>
      <c r="Q14" s="3"/>
      <c r="R14" s="3"/>
    </row>
    <row x14ac:dyDescent="0.25" r="15" customHeight="1" ht="18.75">
      <c r="A15" s="10" t="s">
        <v>30</v>
      </c>
      <c r="B15" s="11">
        <v>125</v>
      </c>
      <c r="C15" s="3"/>
      <c r="D15" s="10" t="s">
        <v>30</v>
      </c>
      <c r="E15" s="19">
        <v>118058.44</v>
      </c>
      <c r="F15" s="3"/>
      <c r="G15" s="10" t="s">
        <v>30</v>
      </c>
      <c r="H15" s="19">
        <v>0.10728000000000006</v>
      </c>
      <c r="I15" s="5"/>
      <c r="J15" s="20" t="s">
        <v>31</v>
      </c>
      <c r="K15" s="11">
        <v>63</v>
      </c>
      <c r="L15" s="6"/>
      <c r="M15" s="6"/>
      <c r="N15" s="7"/>
      <c r="O15" s="3"/>
      <c r="P15" s="3"/>
      <c r="Q15" s="3"/>
      <c r="R15" s="3"/>
    </row>
    <row x14ac:dyDescent="0.25" r="16" customHeight="1" ht="18.75">
      <c r="A16" s="10" t="s">
        <v>32</v>
      </c>
      <c r="B16" s="11">
        <v>241</v>
      </c>
      <c r="C16" s="3"/>
      <c r="D16" s="10" t="s">
        <v>32</v>
      </c>
      <c r="E16" s="19">
        <v>97790.45228215768</v>
      </c>
      <c r="F16" s="3"/>
      <c r="G16" s="10" t="s">
        <v>32</v>
      </c>
      <c r="H16" s="19">
        <v>0.05481327800829876</v>
      </c>
      <c r="I16" s="5"/>
      <c r="J16" s="20" t="s">
        <v>33</v>
      </c>
      <c r="K16" s="11">
        <v>488</v>
      </c>
      <c r="L16" s="6"/>
      <c r="M16" s="6"/>
      <c r="N16" s="7"/>
      <c r="O16" s="3"/>
      <c r="P16" s="3"/>
      <c r="Q16" s="3"/>
      <c r="R16" s="3"/>
    </row>
    <row x14ac:dyDescent="0.25" r="17" customHeight="1" ht="18.75">
      <c r="A17" s="10" t="s">
        <v>34</v>
      </c>
      <c r="B17" s="11">
        <v>120</v>
      </c>
      <c r="C17" s="3"/>
      <c r="D17" s="10" t="s">
        <v>34</v>
      </c>
      <c r="E17" s="19">
        <v>129663.03333333334</v>
      </c>
      <c r="F17" s="3"/>
      <c r="G17" s="10" t="s">
        <v>34</v>
      </c>
      <c r="H17" s="19">
        <v>0.12424999999999997</v>
      </c>
      <c r="I17" s="5"/>
      <c r="J17" s="20" t="s">
        <v>35</v>
      </c>
      <c r="K17" s="11">
        <v>16</v>
      </c>
      <c r="L17" s="6"/>
      <c r="M17" s="6"/>
      <c r="N17" s="7"/>
      <c r="O17" s="3"/>
      <c r="P17" s="3"/>
      <c r="Q17" s="3"/>
      <c r="R17" s="3"/>
    </row>
    <row x14ac:dyDescent="0.25" r="18" customHeight="1" ht="18.75">
      <c r="A18" s="10" t="s">
        <v>36</v>
      </c>
      <c r="B18" s="11">
        <v>140</v>
      </c>
      <c r="C18" s="3"/>
      <c r="D18" s="10" t="s">
        <v>36</v>
      </c>
      <c r="E18" s="19">
        <v>111049.85714285714</v>
      </c>
      <c r="F18" s="3"/>
      <c r="G18" s="10" t="s">
        <v>36</v>
      </c>
      <c r="H18" s="19">
        <v>0.08378571428571428</v>
      </c>
      <c r="I18" s="5"/>
      <c r="J18" s="21" t="s">
        <v>16</v>
      </c>
      <c r="K18" s="14">
        <v>1001</v>
      </c>
      <c r="L18" s="6"/>
      <c r="M18" s="6"/>
      <c r="N18" s="7"/>
      <c r="O18" s="3"/>
      <c r="P18" s="3"/>
      <c r="Q18" s="3"/>
      <c r="R18" s="3"/>
    </row>
    <row x14ac:dyDescent="0.25" r="19" customHeight="1" ht="18.75">
      <c r="A19" s="10" t="s">
        <v>13</v>
      </c>
      <c r="B19" s="12"/>
      <c r="C19" s="3"/>
      <c r="D19" s="10" t="s">
        <v>13</v>
      </c>
      <c r="E19" s="15"/>
      <c r="F19" s="3"/>
      <c r="G19" s="10" t="s">
        <v>13</v>
      </c>
      <c r="H19" s="15"/>
      <c r="I19" s="5"/>
      <c r="J19" s="5"/>
      <c r="K19" s="5"/>
      <c r="L19" s="6"/>
      <c r="M19" s="6"/>
      <c r="N19" s="7"/>
      <c r="O19" s="3"/>
      <c r="P19" s="3"/>
      <c r="Q19" s="3"/>
      <c r="R19" s="3"/>
    </row>
    <row x14ac:dyDescent="0.25" r="20" customHeight="1" ht="18.75">
      <c r="A20" s="13" t="s">
        <v>16</v>
      </c>
      <c r="B20" s="14">
        <v>1000</v>
      </c>
      <c r="C20" s="3"/>
      <c r="D20" s="13" t="s">
        <v>16</v>
      </c>
      <c r="E20" s="9">
        <v>113217.365</v>
      </c>
      <c r="F20" s="3"/>
      <c r="G20" s="13" t="s">
        <v>16</v>
      </c>
      <c r="H20" s="9">
        <v>0.08865999999999997</v>
      </c>
      <c r="I20" s="5"/>
      <c r="J20" s="5"/>
      <c r="K20" s="5"/>
      <c r="L20" s="6"/>
      <c r="M20" s="6"/>
      <c r="N20" s="7"/>
      <c r="O20" s="3"/>
      <c r="P20" s="3"/>
      <c r="Q20" s="3"/>
      <c r="R20" s="3"/>
    </row>
    <row x14ac:dyDescent="0.25" r="21" customHeight="1" ht="18.75">
      <c r="A21" s="3"/>
      <c r="B21" s="16"/>
      <c r="C21" s="3"/>
      <c r="D21" s="3"/>
      <c r="E21" s="5"/>
      <c r="F21" s="3"/>
      <c r="G21" s="3"/>
      <c r="H21" s="5"/>
      <c r="I21" s="5"/>
      <c r="J21" s="5"/>
      <c r="K21" s="5"/>
      <c r="L21" s="6"/>
      <c r="M21" s="6"/>
      <c r="N21" s="7"/>
      <c r="O21" s="3"/>
      <c r="P21" s="3"/>
      <c r="Q21" s="3"/>
      <c r="R21" s="3"/>
    </row>
    <row x14ac:dyDescent="0.25" r="22" customHeight="1" ht="18.75">
      <c r="A22" s="3"/>
      <c r="B22" s="16"/>
      <c r="C22" s="3"/>
      <c r="D22" s="3"/>
      <c r="E22" s="5"/>
      <c r="F22" s="3"/>
      <c r="G22" s="3"/>
      <c r="H22" s="5"/>
      <c r="I22" s="5"/>
      <c r="J22" s="5"/>
      <c r="K22" s="5"/>
      <c r="L22" s="6"/>
      <c r="M22" s="6"/>
      <c r="N22" s="7"/>
      <c r="O22" s="3"/>
      <c r="P22" s="3"/>
      <c r="Q22" s="3"/>
      <c r="R22" s="3"/>
    </row>
    <row x14ac:dyDescent="0.25" r="23" customHeight="1" ht="18.75">
      <c r="A23" s="1" t="s">
        <v>37</v>
      </c>
      <c r="B23" s="2" t="s">
        <v>6</v>
      </c>
      <c r="C23" s="3"/>
      <c r="D23" s="1" t="s">
        <v>38</v>
      </c>
      <c r="E23" s="4" t="s">
        <v>39</v>
      </c>
      <c r="F23" s="3"/>
      <c r="G23" s="1" t="s">
        <v>39</v>
      </c>
      <c r="H23" s="17" t="s">
        <v>40</v>
      </c>
      <c r="I23" s="22"/>
      <c r="J23" s="22"/>
      <c r="K23" s="22"/>
      <c r="L23" s="23"/>
      <c r="M23" s="6"/>
      <c r="N23" s="7"/>
      <c r="O23" s="3"/>
      <c r="P23" s="3"/>
      <c r="Q23" s="3"/>
      <c r="R23" s="3"/>
    </row>
    <row x14ac:dyDescent="0.25" r="24" customHeight="1" ht="18.75">
      <c r="A24" s="1" t="s">
        <v>41</v>
      </c>
      <c r="B24" s="8">
        <v>25</v>
      </c>
      <c r="C24" s="3"/>
      <c r="D24" s="1" t="s">
        <v>42</v>
      </c>
      <c r="E24" s="8">
        <v>92</v>
      </c>
      <c r="F24" s="3"/>
      <c r="G24" s="1" t="s">
        <v>18</v>
      </c>
      <c r="H24" s="17" t="s">
        <v>43</v>
      </c>
      <c r="I24" s="24" t="s">
        <v>44</v>
      </c>
      <c r="J24" s="24" t="s">
        <v>45</v>
      </c>
      <c r="K24" s="24" t="s">
        <v>13</v>
      </c>
      <c r="L24" s="2" t="s">
        <v>16</v>
      </c>
      <c r="M24" s="6"/>
      <c r="N24" s="7"/>
      <c r="O24" s="3"/>
      <c r="P24" s="3"/>
      <c r="Q24" s="3"/>
      <c r="R24" s="3"/>
    </row>
    <row x14ac:dyDescent="0.25" r="25" customHeight="1" ht="18.75">
      <c r="A25" s="10" t="s">
        <v>46</v>
      </c>
      <c r="B25" s="11">
        <v>25</v>
      </c>
      <c r="C25" s="3"/>
      <c r="D25" s="10" t="s">
        <v>47</v>
      </c>
      <c r="E25" s="11">
        <v>49</v>
      </c>
      <c r="F25" s="3"/>
      <c r="G25" s="1" t="s">
        <v>24</v>
      </c>
      <c r="H25" s="25">
        <v>46</v>
      </c>
      <c r="I25" s="26">
        <v>31</v>
      </c>
      <c r="J25" s="26">
        <v>7</v>
      </c>
      <c r="K25" s="24"/>
      <c r="L25" s="8">
        <v>84</v>
      </c>
      <c r="M25" s="6"/>
      <c r="N25" s="7"/>
      <c r="O25" s="3"/>
      <c r="P25" s="3"/>
      <c r="Q25" s="3"/>
      <c r="R25" s="3"/>
    </row>
    <row x14ac:dyDescent="0.25" r="26" customHeight="1" ht="18.75">
      <c r="A26" s="10" t="s">
        <v>48</v>
      </c>
      <c r="B26" s="11">
        <v>25</v>
      </c>
      <c r="C26" s="3"/>
      <c r="D26" s="10" t="s">
        <v>49</v>
      </c>
      <c r="E26" s="11">
        <v>40</v>
      </c>
      <c r="F26" s="3"/>
      <c r="G26" s="10" t="s">
        <v>26</v>
      </c>
      <c r="H26" s="27">
        <v>56</v>
      </c>
      <c r="I26" s="28">
        <v>76</v>
      </c>
      <c r="J26" s="28">
        <v>20</v>
      </c>
      <c r="K26" s="5"/>
      <c r="L26" s="11">
        <v>152</v>
      </c>
      <c r="M26" s="6"/>
      <c r="N26" s="7"/>
      <c r="O26" s="3"/>
      <c r="P26" s="3"/>
      <c r="Q26" s="3"/>
      <c r="R26" s="3"/>
    </row>
    <row x14ac:dyDescent="0.25" r="27" customHeight="1" ht="18.75">
      <c r="A27" s="10" t="s">
        <v>50</v>
      </c>
      <c r="B27" s="11">
        <v>25</v>
      </c>
      <c r="C27" s="3"/>
      <c r="D27" s="10" t="s">
        <v>51</v>
      </c>
      <c r="E27" s="11">
        <v>84</v>
      </c>
      <c r="F27" s="3"/>
      <c r="G27" s="10" t="s">
        <v>28</v>
      </c>
      <c r="H27" s="27">
        <v>51</v>
      </c>
      <c r="I27" s="28">
        <v>41</v>
      </c>
      <c r="J27" s="28">
        <v>17</v>
      </c>
      <c r="K27" s="5"/>
      <c r="L27" s="11">
        <v>109</v>
      </c>
      <c r="M27" s="6"/>
      <c r="N27" s="7"/>
      <c r="O27" s="3"/>
      <c r="P27" s="3"/>
      <c r="Q27" s="3"/>
      <c r="R27" s="3"/>
    </row>
    <row x14ac:dyDescent="0.25" r="28" customHeight="1" ht="18.75">
      <c r="A28" s="10" t="s">
        <v>52</v>
      </c>
      <c r="B28" s="11">
        <v>25</v>
      </c>
      <c r="C28" s="3"/>
      <c r="D28" s="10" t="s">
        <v>53</v>
      </c>
      <c r="E28" s="11">
        <v>63</v>
      </c>
      <c r="F28" s="3"/>
      <c r="G28" s="10" t="s">
        <v>30</v>
      </c>
      <c r="H28" s="27">
        <v>52</v>
      </c>
      <c r="I28" s="28">
        <v>47</v>
      </c>
      <c r="J28" s="28">
        <v>14</v>
      </c>
      <c r="K28" s="5"/>
      <c r="L28" s="11">
        <v>113</v>
      </c>
      <c r="M28" s="6"/>
      <c r="N28" s="7"/>
      <c r="O28" s="3"/>
      <c r="P28" s="3"/>
      <c r="Q28" s="3"/>
      <c r="R28" s="3"/>
    </row>
    <row x14ac:dyDescent="0.25" r="29" customHeight="1" ht="18.75">
      <c r="A29" s="10" t="s">
        <v>54</v>
      </c>
      <c r="B29" s="11">
        <v>25</v>
      </c>
      <c r="C29" s="3"/>
      <c r="D29" s="10" t="s">
        <v>55</v>
      </c>
      <c r="E29" s="11">
        <v>98</v>
      </c>
      <c r="F29" s="3"/>
      <c r="G29" s="10" t="s">
        <v>32</v>
      </c>
      <c r="H29" s="27">
        <v>102</v>
      </c>
      <c r="I29" s="28">
        <v>98</v>
      </c>
      <c r="J29" s="28">
        <v>18</v>
      </c>
      <c r="K29" s="5"/>
      <c r="L29" s="11">
        <v>218</v>
      </c>
      <c r="M29" s="6"/>
      <c r="N29" s="7"/>
      <c r="O29" s="3"/>
      <c r="P29" s="3"/>
      <c r="Q29" s="3"/>
      <c r="R29" s="3"/>
    </row>
    <row x14ac:dyDescent="0.25" r="30" customHeight="1" ht="18.75">
      <c r="A30" s="10" t="s">
        <v>56</v>
      </c>
      <c r="B30" s="11">
        <v>25</v>
      </c>
      <c r="C30" s="3"/>
      <c r="D30" s="10" t="s">
        <v>57</v>
      </c>
      <c r="E30" s="11">
        <v>38</v>
      </c>
      <c r="F30" s="3"/>
      <c r="G30" s="10" t="s">
        <v>34</v>
      </c>
      <c r="H30" s="27">
        <v>59</v>
      </c>
      <c r="I30" s="28">
        <v>37</v>
      </c>
      <c r="J30" s="28">
        <v>15</v>
      </c>
      <c r="K30" s="5"/>
      <c r="L30" s="11">
        <v>111</v>
      </c>
      <c r="M30" s="6"/>
      <c r="N30" s="7"/>
      <c r="O30" s="3"/>
      <c r="P30" s="3"/>
      <c r="Q30" s="3"/>
      <c r="R30" s="3"/>
    </row>
    <row x14ac:dyDescent="0.25" r="31" customHeight="1" ht="18.75">
      <c r="A31" s="10" t="s">
        <v>58</v>
      </c>
      <c r="B31" s="11">
        <v>25</v>
      </c>
      <c r="C31" s="3"/>
      <c r="D31" s="10" t="s">
        <v>59</v>
      </c>
      <c r="E31" s="11">
        <v>102</v>
      </c>
      <c r="F31" s="3"/>
      <c r="G31" s="10" t="s">
        <v>36</v>
      </c>
      <c r="H31" s="27">
        <v>56</v>
      </c>
      <c r="I31" s="28">
        <v>53</v>
      </c>
      <c r="J31" s="28">
        <v>15</v>
      </c>
      <c r="K31" s="5"/>
      <c r="L31" s="11">
        <v>124</v>
      </c>
      <c r="M31" s="6"/>
      <c r="N31" s="7"/>
      <c r="O31" s="3"/>
      <c r="P31" s="3"/>
      <c r="Q31" s="3"/>
      <c r="R31" s="3"/>
    </row>
    <row x14ac:dyDescent="0.25" r="32" customHeight="1" ht="18.75">
      <c r="A32" s="10" t="s">
        <v>60</v>
      </c>
      <c r="B32" s="11">
        <v>25</v>
      </c>
      <c r="C32" s="3"/>
      <c r="D32" s="10" t="s">
        <v>61</v>
      </c>
      <c r="E32" s="11">
        <v>96</v>
      </c>
      <c r="F32" s="3"/>
      <c r="G32" s="10" t="s">
        <v>13</v>
      </c>
      <c r="H32" s="20"/>
      <c r="I32" s="5"/>
      <c r="J32" s="5"/>
      <c r="K32" s="5"/>
      <c r="L32" s="12"/>
      <c r="M32" s="6"/>
      <c r="N32" s="7"/>
      <c r="O32" s="3"/>
      <c r="P32" s="1"/>
      <c r="Q32" s="38"/>
      <c r="R32" s="39"/>
    </row>
    <row x14ac:dyDescent="0.25" r="33" customHeight="1" ht="18.75">
      <c r="A33" s="10" t="s">
        <v>62</v>
      </c>
      <c r="B33" s="11">
        <v>25</v>
      </c>
      <c r="C33" s="3"/>
      <c r="D33" s="10" t="s">
        <v>63</v>
      </c>
      <c r="E33" s="11">
        <v>40</v>
      </c>
      <c r="F33" s="3"/>
      <c r="G33" s="13" t="s">
        <v>16</v>
      </c>
      <c r="H33" s="29">
        <v>422</v>
      </c>
      <c r="I33" s="30">
        <v>383</v>
      </c>
      <c r="J33" s="30">
        <v>106</v>
      </c>
      <c r="K33" s="31"/>
      <c r="L33" s="14">
        <v>911</v>
      </c>
      <c r="M33" s="6"/>
      <c r="N33" s="7"/>
      <c r="O33" s="3"/>
      <c r="P33" s="40"/>
      <c r="Q33" s="41"/>
      <c r="R33" s="42"/>
    </row>
    <row x14ac:dyDescent="0.25" r="34" customHeight="1" ht="18.75">
      <c r="A34" s="10" t="s">
        <v>64</v>
      </c>
      <c r="B34" s="11">
        <v>25</v>
      </c>
      <c r="C34" s="3"/>
      <c r="D34" s="10" t="s">
        <v>65</v>
      </c>
      <c r="E34" s="11">
        <v>47</v>
      </c>
      <c r="F34" s="3"/>
      <c r="G34" s="3"/>
      <c r="H34" s="5"/>
      <c r="I34" s="5"/>
      <c r="J34" s="5"/>
      <c r="K34" s="5"/>
      <c r="L34" s="6"/>
      <c r="M34" s="6"/>
      <c r="N34" s="7"/>
      <c r="O34" s="3"/>
      <c r="P34" s="40"/>
      <c r="Q34" s="41"/>
      <c r="R34" s="42"/>
    </row>
    <row x14ac:dyDescent="0.25" r="35" customHeight="1" ht="18.75">
      <c r="A35" s="10" t="s">
        <v>66</v>
      </c>
      <c r="B35" s="11">
        <v>25</v>
      </c>
      <c r="C35" s="3"/>
      <c r="D35" s="10" t="s">
        <v>67</v>
      </c>
      <c r="E35" s="11">
        <v>112</v>
      </c>
      <c r="F35" s="3"/>
      <c r="G35" s="3"/>
      <c r="H35" s="5"/>
      <c r="I35" s="5"/>
      <c r="J35" s="5"/>
      <c r="K35" s="5"/>
      <c r="L35" s="6"/>
      <c r="M35" s="6"/>
      <c r="N35" s="7"/>
      <c r="O35" s="3"/>
      <c r="P35" s="40"/>
      <c r="Q35" s="41"/>
      <c r="R35" s="42"/>
    </row>
    <row x14ac:dyDescent="0.25" r="36" customHeight="1" ht="18.75">
      <c r="A36" s="10" t="s">
        <v>68</v>
      </c>
      <c r="B36" s="11">
        <v>25</v>
      </c>
      <c r="C36" s="3"/>
      <c r="D36" s="10" t="s">
        <v>69</v>
      </c>
      <c r="E36" s="11">
        <v>50</v>
      </c>
      <c r="F36" s="3"/>
      <c r="G36" s="3"/>
      <c r="H36" s="5"/>
      <c r="I36" s="5"/>
      <c r="J36" s="5"/>
      <c r="K36" s="5"/>
      <c r="L36" s="6"/>
      <c r="M36" s="6"/>
      <c r="N36" s="7"/>
      <c r="O36" s="3"/>
      <c r="P36" s="40"/>
      <c r="Q36" s="41"/>
      <c r="R36" s="42"/>
    </row>
    <row x14ac:dyDescent="0.25" r="37" customHeight="1" ht="18.75">
      <c r="A37" s="10" t="s">
        <v>70</v>
      </c>
      <c r="B37" s="11">
        <v>25</v>
      </c>
      <c r="C37" s="3"/>
      <c r="D37" s="10" t="s">
        <v>13</v>
      </c>
      <c r="E37" s="15"/>
      <c r="F37" s="3"/>
      <c r="G37" s="3"/>
      <c r="H37" s="5"/>
      <c r="I37" s="5"/>
      <c r="J37" s="5"/>
      <c r="K37" s="5"/>
      <c r="L37" s="2" t="s">
        <v>20</v>
      </c>
      <c r="M37" s="6"/>
      <c r="N37" s="7"/>
      <c r="O37" s="3"/>
      <c r="P37" s="40"/>
      <c r="Q37" s="41"/>
      <c r="R37" s="42"/>
    </row>
    <row x14ac:dyDescent="0.25" r="38" customHeight="1" ht="18.75">
      <c r="A38" s="10" t="s">
        <v>71</v>
      </c>
      <c r="B38" s="11">
        <v>25</v>
      </c>
      <c r="C38" s="3"/>
      <c r="D38" s="13" t="s">
        <v>16</v>
      </c>
      <c r="E38" s="14">
        <v>911</v>
      </c>
      <c r="F38" s="3"/>
      <c r="G38" s="3"/>
      <c r="H38" s="5"/>
      <c r="I38" s="5"/>
      <c r="J38" s="5"/>
      <c r="K38" s="5"/>
      <c r="L38" s="9">
        <v>113217.365</v>
      </c>
      <c r="M38" s="6"/>
      <c r="N38" s="7"/>
      <c r="O38" s="3"/>
      <c r="P38" s="40"/>
      <c r="Q38" s="41"/>
      <c r="R38" s="42"/>
    </row>
    <row x14ac:dyDescent="0.25" r="39" customHeight="1" ht="18.75">
      <c r="A39" s="10" t="s">
        <v>72</v>
      </c>
      <c r="B39" s="11">
        <v>25</v>
      </c>
      <c r="C39" s="3"/>
      <c r="D39" s="3"/>
      <c r="E39" s="5"/>
      <c r="F39" s="3"/>
      <c r="G39" s="3"/>
      <c r="H39" s="5"/>
      <c r="I39" s="5"/>
      <c r="J39" s="5"/>
      <c r="K39" s="5"/>
      <c r="L39" s="6"/>
      <c r="M39" s="6"/>
      <c r="N39" s="7"/>
      <c r="O39" s="3"/>
      <c r="P39" s="40"/>
      <c r="Q39" s="41"/>
      <c r="R39" s="42"/>
    </row>
    <row x14ac:dyDescent="0.25" r="40" customHeight="1" ht="18.75">
      <c r="A40" s="10" t="s">
        <v>73</v>
      </c>
      <c r="B40" s="11">
        <v>25</v>
      </c>
      <c r="C40" s="3"/>
      <c r="D40" s="3"/>
      <c r="E40" s="5"/>
      <c r="F40" s="3"/>
      <c r="G40" s="3"/>
      <c r="H40" s="5"/>
      <c r="I40" s="5"/>
      <c r="J40" s="5"/>
      <c r="K40" s="5"/>
      <c r="L40" s="6"/>
      <c r="M40" s="2" t="s">
        <v>20</v>
      </c>
      <c r="N40" s="7"/>
      <c r="O40" s="3"/>
      <c r="P40" s="40"/>
      <c r="Q40" s="41"/>
      <c r="R40" s="42"/>
    </row>
    <row x14ac:dyDescent="0.25" r="41" customHeight="1" ht="18.75">
      <c r="A41" s="10" t="s">
        <v>74</v>
      </c>
      <c r="B41" s="11">
        <v>25</v>
      </c>
      <c r="C41" s="3"/>
      <c r="D41" s="1" t="s">
        <v>75</v>
      </c>
      <c r="E41" s="4" t="s">
        <v>76</v>
      </c>
      <c r="F41" s="3"/>
      <c r="G41" s="3"/>
      <c r="H41" s="5"/>
      <c r="I41" s="5"/>
      <c r="J41" s="5"/>
      <c r="K41" s="5"/>
      <c r="L41" s="6"/>
      <c r="M41" s="9">
        <v>113217.365</v>
      </c>
      <c r="N41" s="32">
        <v>113217.365</v>
      </c>
      <c r="O41" s="3"/>
      <c r="P41" s="40"/>
      <c r="Q41" s="41"/>
      <c r="R41" s="42"/>
    </row>
    <row x14ac:dyDescent="0.25" r="42" customHeight="1" ht="18.75" hidden="1">
      <c r="A42" s="10" t="s">
        <v>77</v>
      </c>
      <c r="B42" s="11">
        <v>25</v>
      </c>
      <c r="C42" s="3"/>
      <c r="D42" s="1" t="s">
        <v>78</v>
      </c>
      <c r="E42" s="8">
        <v>21</v>
      </c>
      <c r="F42" s="3"/>
      <c r="G42" s="3"/>
      <c r="H42" s="5"/>
      <c r="I42" s="5"/>
      <c r="J42" s="5"/>
      <c r="K42" s="5"/>
      <c r="L42" s="6"/>
      <c r="M42" s="6"/>
      <c r="N42" s="7"/>
      <c r="O42" s="3"/>
      <c r="P42" s="40"/>
      <c r="Q42" s="41"/>
      <c r="R42" s="42"/>
    </row>
    <row x14ac:dyDescent="0.25" r="43" customHeight="1" ht="18.75" hidden="1">
      <c r="A43" s="10" t="s">
        <v>79</v>
      </c>
      <c r="B43" s="11">
        <v>25</v>
      </c>
      <c r="C43" s="3"/>
      <c r="D43" s="10" t="s">
        <v>80</v>
      </c>
      <c r="E43" s="11">
        <v>51</v>
      </c>
      <c r="F43" s="3"/>
      <c r="G43" s="3"/>
      <c r="H43" s="5"/>
      <c r="I43" s="5"/>
      <c r="J43" s="5"/>
      <c r="K43" s="5"/>
      <c r="L43" s="6"/>
      <c r="M43" s="6"/>
      <c r="N43" s="7"/>
      <c r="O43" s="3"/>
      <c r="P43" s="40"/>
      <c r="Q43" s="41"/>
      <c r="R43" s="42"/>
    </row>
    <row x14ac:dyDescent="0.25" r="44" customHeight="1" ht="18.75" hidden="1">
      <c r="A44" s="10" t="s">
        <v>81</v>
      </c>
      <c r="B44" s="11">
        <v>25</v>
      </c>
      <c r="C44" s="3"/>
      <c r="D44" s="10" t="s">
        <v>82</v>
      </c>
      <c r="E44" s="11">
        <v>53</v>
      </c>
      <c r="F44" s="3"/>
      <c r="G44" s="3"/>
      <c r="H44" s="5"/>
      <c r="I44" s="5"/>
      <c r="J44" s="5"/>
      <c r="K44" s="5"/>
      <c r="L44" s="6"/>
      <c r="M44" s="6"/>
      <c r="N44" s="7"/>
      <c r="O44" s="3"/>
      <c r="P44" s="40"/>
      <c r="Q44" s="41"/>
      <c r="R44" s="42"/>
    </row>
    <row x14ac:dyDescent="0.25" r="45" customHeight="1" ht="18.75" hidden="1">
      <c r="A45" s="10" t="s">
        <v>83</v>
      </c>
      <c r="B45" s="11">
        <v>25</v>
      </c>
      <c r="C45" s="3"/>
      <c r="D45" s="10" t="s">
        <v>84</v>
      </c>
      <c r="E45" s="11">
        <v>7</v>
      </c>
      <c r="F45" s="3"/>
      <c r="G45" s="3"/>
      <c r="H45" s="5"/>
      <c r="I45" s="5"/>
      <c r="J45" s="5"/>
      <c r="K45" s="5"/>
      <c r="L45" s="6"/>
      <c r="M45" s="6"/>
      <c r="N45" s="7"/>
      <c r="O45" s="3"/>
      <c r="P45" s="40"/>
      <c r="Q45" s="41"/>
      <c r="R45" s="42"/>
    </row>
    <row x14ac:dyDescent="0.25" r="46" customHeight="1" ht="18.75" hidden="1">
      <c r="A46" s="10" t="s">
        <v>85</v>
      </c>
      <c r="B46" s="11">
        <v>26</v>
      </c>
      <c r="C46" s="3"/>
      <c r="D46" s="10" t="s">
        <v>86</v>
      </c>
      <c r="E46" s="11">
        <v>19</v>
      </c>
      <c r="F46" s="3"/>
      <c r="G46" s="3"/>
      <c r="H46" s="5"/>
      <c r="I46" s="5"/>
      <c r="J46" s="5"/>
      <c r="K46" s="5"/>
      <c r="L46" s="6"/>
      <c r="M46" s="6"/>
      <c r="N46" s="7"/>
      <c r="O46" s="3"/>
      <c r="P46" s="40"/>
      <c r="Q46" s="41"/>
      <c r="R46" s="42"/>
    </row>
    <row x14ac:dyDescent="0.25" r="47" customHeight="1" ht="18.75" hidden="1">
      <c r="A47" s="10" t="s">
        <v>87</v>
      </c>
      <c r="B47" s="11">
        <v>26</v>
      </c>
      <c r="C47" s="3"/>
      <c r="D47" s="10" t="s">
        <v>88</v>
      </c>
      <c r="E47" s="11">
        <v>15</v>
      </c>
      <c r="F47" s="3"/>
      <c r="G47" s="3"/>
      <c r="H47" s="5"/>
      <c r="I47" s="5"/>
      <c r="J47" s="5"/>
      <c r="K47" s="5"/>
      <c r="L47" s="6"/>
      <c r="M47" s="6"/>
      <c r="N47" s="7"/>
      <c r="O47" s="3"/>
      <c r="P47" s="40"/>
      <c r="Q47" s="41"/>
      <c r="R47" s="42"/>
    </row>
    <row x14ac:dyDescent="0.25" r="48" customHeight="1" ht="18.75" hidden="1">
      <c r="A48" s="10" t="s">
        <v>89</v>
      </c>
      <c r="B48" s="11">
        <v>26</v>
      </c>
      <c r="C48" s="3"/>
      <c r="D48" s="10" t="s">
        <v>90</v>
      </c>
      <c r="E48" s="11">
        <v>21</v>
      </c>
      <c r="F48" s="3"/>
      <c r="G48" s="3"/>
      <c r="H48" s="5"/>
      <c r="I48" s="5"/>
      <c r="J48" s="5"/>
      <c r="K48" s="5"/>
      <c r="L48" s="6"/>
      <c r="M48" s="6"/>
      <c r="N48" s="7"/>
      <c r="O48" s="3"/>
      <c r="P48" s="40"/>
      <c r="Q48" s="41"/>
      <c r="R48" s="42"/>
    </row>
    <row x14ac:dyDescent="0.25" r="49" customHeight="1" ht="18.75" hidden="1">
      <c r="A49" s="10" t="s">
        <v>91</v>
      </c>
      <c r="B49" s="11">
        <v>26</v>
      </c>
      <c r="C49" s="3"/>
      <c r="D49" s="10" t="s">
        <v>92</v>
      </c>
      <c r="E49" s="11">
        <v>15</v>
      </c>
      <c r="F49" s="3"/>
      <c r="G49" s="3"/>
      <c r="H49" s="5"/>
      <c r="I49" s="5"/>
      <c r="J49" s="5"/>
      <c r="K49" s="5"/>
      <c r="L49" s="6"/>
      <c r="M49" s="6"/>
      <c r="N49" s="7"/>
      <c r="O49" s="3"/>
      <c r="P49" s="13"/>
      <c r="Q49" s="43"/>
      <c r="R49" s="44"/>
    </row>
    <row x14ac:dyDescent="0.25" r="50" customHeight="1" ht="18.75" hidden="1">
      <c r="A50" s="10" t="s">
        <v>93</v>
      </c>
      <c r="B50" s="11">
        <v>26</v>
      </c>
      <c r="C50" s="3"/>
      <c r="D50" s="10" t="s">
        <v>94</v>
      </c>
      <c r="E50" s="11">
        <v>19</v>
      </c>
      <c r="F50" s="3"/>
      <c r="G50" s="3"/>
      <c r="H50" s="5"/>
      <c r="I50" s="5"/>
      <c r="J50" s="5"/>
      <c r="K50" s="5"/>
      <c r="L50" s="6"/>
      <c r="M50" s="6"/>
      <c r="N50" s="7"/>
      <c r="O50" s="3"/>
      <c r="P50" s="3"/>
      <c r="Q50" s="3"/>
      <c r="R50" s="3"/>
    </row>
    <row x14ac:dyDescent="0.25" r="51" customHeight="1" ht="18.75" hidden="1">
      <c r="A51" s="10" t="s">
        <v>95</v>
      </c>
      <c r="B51" s="11">
        <v>26</v>
      </c>
      <c r="C51" s="3"/>
      <c r="D51" s="10" t="s">
        <v>96</v>
      </c>
      <c r="E51" s="11">
        <v>121</v>
      </c>
      <c r="F51" s="3"/>
      <c r="G51" s="3"/>
      <c r="H51" s="5"/>
      <c r="I51" s="5"/>
      <c r="J51" s="5"/>
      <c r="K51" s="5"/>
      <c r="L51" s="6"/>
      <c r="M51" s="6"/>
      <c r="N51" s="7"/>
      <c r="O51" s="3"/>
      <c r="P51" s="3"/>
      <c r="Q51" s="3"/>
      <c r="R51" s="3"/>
    </row>
    <row x14ac:dyDescent="0.25" r="52" customHeight="1" ht="18.75">
      <c r="A52" s="10" t="s">
        <v>97</v>
      </c>
      <c r="B52" s="11">
        <v>26</v>
      </c>
      <c r="C52" s="3"/>
      <c r="D52" s="10" t="s">
        <v>98</v>
      </c>
      <c r="E52" s="11">
        <v>20</v>
      </c>
      <c r="F52" s="3"/>
      <c r="G52" s="3"/>
      <c r="H52" s="5"/>
      <c r="I52" s="5"/>
      <c r="J52" s="5"/>
      <c r="K52" s="5"/>
      <c r="L52" s="6"/>
      <c r="M52" s="6"/>
      <c r="N52" s="7"/>
      <c r="O52" s="3"/>
      <c r="P52" s="3"/>
      <c r="Q52" s="3"/>
      <c r="R52" s="3"/>
    </row>
    <row x14ac:dyDescent="0.25" r="53" customHeight="1" ht="18.75" hidden="1">
      <c r="A53" s="10" t="s">
        <v>99</v>
      </c>
      <c r="B53" s="11">
        <v>26</v>
      </c>
      <c r="C53" s="3"/>
      <c r="D53" s="10" t="s">
        <v>100</v>
      </c>
      <c r="E53" s="11">
        <v>18</v>
      </c>
      <c r="F53" s="3"/>
      <c r="G53" s="3"/>
      <c r="H53" s="5"/>
      <c r="I53" s="5"/>
      <c r="J53" s="5"/>
      <c r="K53" s="5"/>
      <c r="L53" s="6"/>
      <c r="M53" s="6"/>
      <c r="N53" s="7"/>
      <c r="O53" s="3"/>
      <c r="P53" s="3"/>
      <c r="Q53" s="3"/>
      <c r="R53" s="3"/>
    </row>
    <row x14ac:dyDescent="0.25" r="54" customHeight="1" ht="18.75" hidden="1">
      <c r="A54" s="10" t="s">
        <v>101</v>
      </c>
      <c r="B54" s="11">
        <v>26</v>
      </c>
      <c r="C54" s="3"/>
      <c r="D54" s="10" t="s">
        <v>102</v>
      </c>
      <c r="E54" s="11">
        <v>21</v>
      </c>
      <c r="F54" s="3"/>
      <c r="G54" s="3"/>
      <c r="H54" s="5"/>
      <c r="I54" s="5"/>
      <c r="J54" s="5"/>
      <c r="K54" s="5"/>
      <c r="L54" s="6"/>
      <c r="M54" s="6"/>
      <c r="N54" s="7"/>
      <c r="O54" s="3"/>
      <c r="P54" s="3"/>
      <c r="Q54" s="3"/>
      <c r="R54" s="3"/>
    </row>
    <row x14ac:dyDescent="0.25" r="55" customHeight="1" ht="18.75" hidden="1">
      <c r="A55" s="10" t="s">
        <v>103</v>
      </c>
      <c r="B55" s="11">
        <v>26</v>
      </c>
      <c r="C55" s="3"/>
      <c r="D55" s="10" t="s">
        <v>104</v>
      </c>
      <c r="E55" s="11">
        <v>16</v>
      </c>
      <c r="F55" s="3"/>
      <c r="G55" s="3"/>
      <c r="H55" s="5"/>
      <c r="I55" s="5"/>
      <c r="J55" s="5"/>
      <c r="K55" s="5"/>
      <c r="L55" s="6"/>
      <c r="M55" s="6"/>
      <c r="N55" s="7"/>
      <c r="O55" s="3"/>
      <c r="P55" s="3"/>
      <c r="Q55" s="3"/>
      <c r="R55" s="3"/>
    </row>
    <row x14ac:dyDescent="0.25" r="56" customHeight="1" ht="18.75" hidden="1">
      <c r="A56" s="10" t="s">
        <v>105</v>
      </c>
      <c r="B56" s="11">
        <v>26</v>
      </c>
      <c r="C56" s="3"/>
      <c r="D56" s="10" t="s">
        <v>106</v>
      </c>
      <c r="E56" s="11">
        <v>11</v>
      </c>
      <c r="F56" s="3"/>
      <c r="G56" s="3"/>
      <c r="H56" s="5"/>
      <c r="I56" s="5"/>
      <c r="J56" s="5"/>
      <c r="K56" s="5"/>
      <c r="L56" s="6"/>
      <c r="M56" s="6"/>
      <c r="N56" s="7"/>
      <c r="O56" s="3"/>
      <c r="P56" s="3"/>
      <c r="Q56" s="3"/>
      <c r="R56" s="3"/>
    </row>
    <row x14ac:dyDescent="0.25" r="57" customHeight="1" ht="18.75" hidden="1">
      <c r="A57" s="10" t="s">
        <v>107</v>
      </c>
      <c r="B57" s="11">
        <v>26</v>
      </c>
      <c r="C57" s="3"/>
      <c r="D57" s="10" t="s">
        <v>108</v>
      </c>
      <c r="E57" s="11">
        <v>12</v>
      </c>
      <c r="F57" s="3"/>
      <c r="G57" s="3"/>
      <c r="H57" s="5"/>
      <c r="I57" s="5"/>
      <c r="J57" s="5"/>
      <c r="K57" s="5"/>
      <c r="L57" s="6"/>
      <c r="M57" s="6"/>
      <c r="N57" s="7"/>
      <c r="O57" s="3"/>
      <c r="P57" s="3"/>
      <c r="Q57" s="3"/>
      <c r="R57" s="3"/>
    </row>
    <row x14ac:dyDescent="0.25" r="58" customHeight="1" ht="18.75" hidden="1">
      <c r="A58" s="10" t="s">
        <v>109</v>
      </c>
      <c r="B58" s="11">
        <v>26</v>
      </c>
      <c r="C58" s="3"/>
      <c r="D58" s="10" t="s">
        <v>110</v>
      </c>
      <c r="E58" s="11">
        <v>98</v>
      </c>
      <c r="F58" s="3"/>
      <c r="G58" s="3"/>
      <c r="H58" s="5"/>
      <c r="I58" s="5"/>
      <c r="J58" s="5"/>
      <c r="K58" s="5"/>
      <c r="L58" s="6"/>
      <c r="M58" s="6"/>
      <c r="N58" s="7"/>
      <c r="O58" s="3"/>
      <c r="P58" s="3"/>
      <c r="Q58" s="3"/>
      <c r="R58" s="3"/>
    </row>
    <row x14ac:dyDescent="0.25" r="59" customHeight="1" ht="18.75" hidden="1">
      <c r="A59" s="10" t="s">
        <v>111</v>
      </c>
      <c r="B59" s="11">
        <v>26</v>
      </c>
      <c r="C59" s="3"/>
      <c r="D59" s="10" t="s">
        <v>112</v>
      </c>
      <c r="E59" s="11">
        <v>10</v>
      </c>
      <c r="F59" s="3"/>
      <c r="G59" s="3"/>
      <c r="H59" s="5"/>
      <c r="I59" s="5"/>
      <c r="J59" s="5"/>
      <c r="K59" s="5"/>
      <c r="L59" s="6"/>
      <c r="M59" s="6"/>
      <c r="N59" s="7"/>
      <c r="O59" s="3"/>
      <c r="P59" s="3"/>
      <c r="Q59" s="3"/>
      <c r="R59" s="3"/>
    </row>
    <row x14ac:dyDescent="0.25" r="60" customHeight="1" ht="18.75" hidden="1">
      <c r="A60" s="10" t="s">
        <v>113</v>
      </c>
      <c r="B60" s="11">
        <v>26</v>
      </c>
      <c r="C60" s="3"/>
      <c r="D60" s="10" t="s">
        <v>114</v>
      </c>
      <c r="E60" s="11">
        <v>18</v>
      </c>
      <c r="F60" s="3"/>
      <c r="G60" s="3"/>
      <c r="H60" s="5"/>
      <c r="I60" s="5"/>
      <c r="J60" s="5"/>
      <c r="K60" s="5"/>
      <c r="L60" s="6"/>
      <c r="M60" s="6"/>
      <c r="N60" s="7"/>
      <c r="O60" s="3"/>
      <c r="P60" s="3"/>
      <c r="Q60" s="3"/>
      <c r="R60" s="3"/>
    </row>
    <row x14ac:dyDescent="0.25" r="61" customHeight="1" ht="18.75" hidden="1">
      <c r="A61" s="10" t="s">
        <v>115</v>
      </c>
      <c r="B61" s="11">
        <v>26</v>
      </c>
      <c r="C61" s="3"/>
      <c r="D61" s="10" t="s">
        <v>116</v>
      </c>
      <c r="E61" s="11">
        <v>7</v>
      </c>
      <c r="F61" s="3"/>
      <c r="G61" s="3"/>
      <c r="H61" s="5"/>
      <c r="I61" s="5"/>
      <c r="J61" s="5"/>
      <c r="K61" s="5"/>
      <c r="L61" s="6"/>
      <c r="M61" s="6"/>
      <c r="N61" s="7"/>
      <c r="O61" s="3"/>
      <c r="P61" s="3"/>
      <c r="Q61" s="3"/>
      <c r="R61" s="3"/>
    </row>
    <row x14ac:dyDescent="0.25" r="62" customHeight="1" ht="18.75" hidden="1">
      <c r="A62" s="10" t="s">
        <v>117</v>
      </c>
      <c r="B62" s="11">
        <v>26</v>
      </c>
      <c r="C62" s="3"/>
      <c r="D62" s="10" t="s">
        <v>118</v>
      </c>
      <c r="E62" s="11">
        <v>12</v>
      </c>
      <c r="F62" s="3"/>
      <c r="G62" s="3"/>
      <c r="H62" s="5"/>
      <c r="I62" s="5"/>
      <c r="J62" s="5"/>
      <c r="K62" s="5"/>
      <c r="L62" s="6"/>
      <c r="M62" s="6"/>
      <c r="N62" s="7"/>
      <c r="O62" s="3"/>
      <c r="P62" s="3"/>
      <c r="Q62" s="3"/>
      <c r="R62" s="3"/>
    </row>
    <row x14ac:dyDescent="0.25" r="63" customHeight="1" ht="18.75" hidden="1">
      <c r="A63" s="10" t="s">
        <v>119</v>
      </c>
      <c r="B63" s="11">
        <v>27</v>
      </c>
      <c r="C63" s="3"/>
      <c r="D63" s="10" t="s">
        <v>120</v>
      </c>
      <c r="E63" s="11">
        <v>20</v>
      </c>
      <c r="F63" s="3"/>
      <c r="G63" s="3"/>
      <c r="H63" s="5"/>
      <c r="I63" s="5"/>
      <c r="J63" s="5"/>
      <c r="K63" s="5"/>
      <c r="L63" s="6"/>
      <c r="M63" s="6"/>
      <c r="N63" s="7"/>
      <c r="O63" s="3"/>
      <c r="P63" s="3"/>
      <c r="Q63" s="3"/>
      <c r="R63" s="3"/>
    </row>
    <row x14ac:dyDescent="0.25" r="64" customHeight="1" ht="18.75" hidden="1">
      <c r="A64" s="10" t="s">
        <v>121</v>
      </c>
      <c r="B64" s="11">
        <v>27</v>
      </c>
      <c r="C64" s="3"/>
      <c r="D64" s="10" t="s">
        <v>122</v>
      </c>
      <c r="E64" s="11">
        <v>10</v>
      </c>
      <c r="F64" s="3"/>
      <c r="G64" s="3"/>
      <c r="H64" s="5"/>
      <c r="I64" s="5"/>
      <c r="J64" s="5"/>
      <c r="K64" s="5"/>
      <c r="L64" s="6"/>
      <c r="M64" s="6"/>
      <c r="N64" s="7"/>
      <c r="O64" s="3"/>
      <c r="P64" s="3"/>
      <c r="Q64" s="3"/>
      <c r="R64" s="3"/>
    </row>
    <row x14ac:dyDescent="0.25" r="65" customHeight="1" ht="18.75" hidden="1">
      <c r="A65" s="10" t="s">
        <v>123</v>
      </c>
      <c r="B65" s="11">
        <v>27</v>
      </c>
      <c r="C65" s="3"/>
      <c r="D65" s="10" t="s">
        <v>124</v>
      </c>
      <c r="E65" s="11">
        <v>15</v>
      </c>
      <c r="F65" s="3"/>
      <c r="G65" s="3"/>
      <c r="H65" s="5"/>
      <c r="I65" s="5"/>
      <c r="J65" s="5"/>
      <c r="K65" s="5"/>
      <c r="L65" s="6"/>
      <c r="M65" s="6"/>
      <c r="N65" s="7"/>
      <c r="O65" s="3"/>
      <c r="P65" s="3"/>
      <c r="Q65" s="3"/>
      <c r="R65" s="3"/>
    </row>
    <row x14ac:dyDescent="0.25" r="66" customHeight="1" ht="18.75" hidden="1">
      <c r="A66" s="10" t="s">
        <v>125</v>
      </c>
      <c r="B66" s="11">
        <v>27</v>
      </c>
      <c r="C66" s="3"/>
      <c r="D66" s="10" t="s">
        <v>126</v>
      </c>
      <c r="E66" s="11">
        <v>9</v>
      </c>
      <c r="F66" s="3"/>
      <c r="G66" s="3"/>
      <c r="H66" s="5"/>
      <c r="I66" s="5"/>
      <c r="J66" s="5"/>
      <c r="K66" s="5"/>
      <c r="L66" s="6"/>
      <c r="M66" s="6"/>
      <c r="N66" s="7"/>
      <c r="O66" s="3"/>
      <c r="P66" s="3"/>
      <c r="Q66" s="3"/>
      <c r="R66" s="3"/>
    </row>
    <row x14ac:dyDescent="0.25" r="67" customHeight="1" ht="18.75" hidden="1">
      <c r="A67" s="10" t="s">
        <v>127</v>
      </c>
      <c r="B67" s="11">
        <v>27</v>
      </c>
      <c r="C67" s="3"/>
      <c r="D67" s="10" t="s">
        <v>128</v>
      </c>
      <c r="E67" s="11">
        <v>70</v>
      </c>
      <c r="F67" s="3"/>
      <c r="G67" s="3"/>
      <c r="H67" s="5"/>
      <c r="I67" s="5"/>
      <c r="J67" s="5"/>
      <c r="K67" s="5"/>
      <c r="L67" s="6"/>
      <c r="M67" s="6"/>
      <c r="N67" s="7"/>
      <c r="O67" s="3"/>
      <c r="P67" s="3"/>
      <c r="Q67" s="3"/>
      <c r="R67" s="3"/>
    </row>
    <row x14ac:dyDescent="0.25" r="68" customHeight="1" ht="18.75" hidden="1">
      <c r="A68" s="10" t="s">
        <v>129</v>
      </c>
      <c r="B68" s="11">
        <v>27</v>
      </c>
      <c r="C68" s="3"/>
      <c r="D68" s="10" t="s">
        <v>130</v>
      </c>
      <c r="E68" s="11">
        <v>17</v>
      </c>
      <c r="F68" s="3"/>
      <c r="G68" s="3"/>
      <c r="H68" s="5"/>
      <c r="I68" s="5"/>
      <c r="J68" s="5"/>
      <c r="K68" s="5"/>
      <c r="L68" s="6"/>
      <c r="M68" s="6"/>
      <c r="N68" s="7"/>
      <c r="O68" s="3"/>
      <c r="P68" s="3"/>
      <c r="Q68" s="3"/>
      <c r="R68" s="3"/>
    </row>
    <row x14ac:dyDescent="0.25" r="69" customHeight="1" ht="18.75" hidden="1">
      <c r="A69" s="10" t="s">
        <v>131</v>
      </c>
      <c r="B69" s="11">
        <v>27</v>
      </c>
      <c r="C69" s="3"/>
      <c r="D69" s="10" t="s">
        <v>132</v>
      </c>
      <c r="E69" s="11">
        <v>110</v>
      </c>
      <c r="F69" s="3"/>
      <c r="G69" s="3"/>
      <c r="H69" s="5"/>
      <c r="I69" s="5"/>
      <c r="J69" s="5"/>
      <c r="K69" s="5"/>
      <c r="L69" s="6"/>
      <c r="M69" s="6"/>
      <c r="N69" s="7"/>
      <c r="O69" s="3"/>
      <c r="P69" s="3"/>
      <c r="Q69" s="3"/>
      <c r="R69" s="3"/>
    </row>
    <row x14ac:dyDescent="0.25" r="70" customHeight="1" ht="18.75" hidden="1">
      <c r="A70" s="10" t="s">
        <v>133</v>
      </c>
      <c r="B70" s="11">
        <v>27</v>
      </c>
      <c r="C70" s="3"/>
      <c r="D70" s="10" t="s">
        <v>134</v>
      </c>
      <c r="E70" s="11">
        <v>15</v>
      </c>
      <c r="F70" s="3"/>
      <c r="G70" s="3"/>
      <c r="H70" s="5"/>
      <c r="I70" s="5"/>
      <c r="J70" s="5"/>
      <c r="K70" s="5"/>
      <c r="L70" s="6"/>
      <c r="M70" s="6"/>
      <c r="N70" s="7"/>
      <c r="O70" s="3"/>
      <c r="P70" s="3"/>
      <c r="Q70" s="3"/>
      <c r="R70" s="3"/>
    </row>
    <row x14ac:dyDescent="0.25" r="71" customHeight="1" ht="18.75" hidden="1">
      <c r="A71" s="10" t="s">
        <v>135</v>
      </c>
      <c r="B71" s="11">
        <v>27</v>
      </c>
      <c r="C71" s="3"/>
      <c r="D71" s="10" t="s">
        <v>136</v>
      </c>
      <c r="E71" s="11">
        <v>15</v>
      </c>
      <c r="F71" s="3"/>
      <c r="G71" s="3"/>
      <c r="H71" s="5"/>
      <c r="I71" s="5"/>
      <c r="J71" s="5"/>
      <c r="K71" s="5"/>
      <c r="L71" s="6"/>
      <c r="M71" s="6"/>
      <c r="N71" s="7"/>
      <c r="O71" s="3"/>
      <c r="P71" s="3"/>
      <c r="Q71" s="3"/>
      <c r="R71" s="3"/>
    </row>
    <row x14ac:dyDescent="0.25" r="72" customHeight="1" ht="18.75" hidden="1">
      <c r="A72" s="10" t="s">
        <v>137</v>
      </c>
      <c r="B72" s="11">
        <v>27</v>
      </c>
      <c r="C72" s="3"/>
      <c r="D72" s="10" t="s">
        <v>138</v>
      </c>
      <c r="E72" s="11">
        <v>17</v>
      </c>
      <c r="F72" s="3"/>
      <c r="G72" s="3"/>
      <c r="H72" s="5"/>
      <c r="I72" s="5"/>
      <c r="J72" s="5"/>
      <c r="K72" s="5"/>
      <c r="L72" s="6"/>
      <c r="M72" s="6"/>
      <c r="N72" s="7"/>
      <c r="O72" s="3"/>
      <c r="P72" s="3"/>
      <c r="Q72" s="3"/>
      <c r="R72" s="3"/>
    </row>
    <row x14ac:dyDescent="0.25" r="73" customHeight="1" ht="18.75" hidden="1">
      <c r="A73" s="10" t="s">
        <v>139</v>
      </c>
      <c r="B73" s="11">
        <v>27</v>
      </c>
      <c r="C73" s="3"/>
      <c r="D73" s="10" t="s">
        <v>140</v>
      </c>
      <c r="E73" s="11">
        <v>12</v>
      </c>
      <c r="F73" s="3"/>
      <c r="G73" s="3"/>
      <c r="H73" s="5"/>
      <c r="I73" s="5"/>
      <c r="J73" s="5"/>
      <c r="K73" s="5"/>
      <c r="L73" s="6"/>
      <c r="M73" s="6"/>
      <c r="N73" s="7"/>
      <c r="O73" s="3"/>
      <c r="P73" s="3"/>
      <c r="Q73" s="3"/>
      <c r="R73" s="3"/>
    </row>
    <row x14ac:dyDescent="0.25" r="74" customHeight="1" ht="18.75" hidden="1">
      <c r="A74" s="10" t="s">
        <v>141</v>
      </c>
      <c r="B74" s="11">
        <v>27</v>
      </c>
      <c r="C74" s="3"/>
      <c r="D74" s="10" t="s">
        <v>142</v>
      </c>
      <c r="E74" s="11">
        <v>105</v>
      </c>
      <c r="F74" s="3"/>
      <c r="G74" s="3"/>
      <c r="H74" s="5"/>
      <c r="I74" s="5"/>
      <c r="J74" s="5"/>
      <c r="K74" s="5"/>
      <c r="L74" s="6"/>
      <c r="M74" s="6"/>
      <c r="N74" s="7"/>
      <c r="O74" s="3"/>
      <c r="P74" s="3"/>
      <c r="Q74" s="3"/>
      <c r="R74" s="3"/>
    </row>
    <row x14ac:dyDescent="0.25" r="75" customHeight="1" ht="18.75" hidden="1">
      <c r="A75" s="10" t="s">
        <v>143</v>
      </c>
      <c r="B75" s="11">
        <v>27</v>
      </c>
      <c r="C75" s="3"/>
      <c r="D75" s="10" t="s">
        <v>13</v>
      </c>
      <c r="E75" s="15"/>
      <c r="F75" s="3"/>
      <c r="G75" s="3"/>
      <c r="H75" s="5"/>
      <c r="I75" s="5"/>
      <c r="J75" s="5"/>
      <c r="K75" s="5"/>
      <c r="L75" s="6"/>
      <c r="M75" s="6"/>
      <c r="N75" s="7"/>
      <c r="O75" s="3"/>
      <c r="P75" s="3"/>
      <c r="Q75" s="3"/>
      <c r="R75" s="3"/>
    </row>
    <row x14ac:dyDescent="0.25" r="76" customHeight="1" ht="18.75" hidden="1">
      <c r="A76" s="10" t="s">
        <v>144</v>
      </c>
      <c r="B76" s="11">
        <v>27</v>
      </c>
      <c r="C76" s="3"/>
      <c r="D76" s="13" t="s">
        <v>16</v>
      </c>
      <c r="E76" s="14">
        <v>1000</v>
      </c>
      <c r="F76" s="3"/>
      <c r="G76" s="3"/>
      <c r="H76" s="5"/>
      <c r="I76" s="5"/>
      <c r="J76" s="5"/>
      <c r="K76" s="5"/>
      <c r="L76" s="6"/>
      <c r="M76" s="6"/>
      <c r="N76" s="7"/>
      <c r="O76" s="3"/>
      <c r="P76" s="3"/>
      <c r="Q76" s="3"/>
      <c r="R76" s="3"/>
    </row>
    <row x14ac:dyDescent="0.25" r="77" customHeight="1" ht="18.75">
      <c r="A77" s="10" t="s">
        <v>145</v>
      </c>
      <c r="B77" s="11">
        <v>27</v>
      </c>
      <c r="C77" s="3"/>
      <c r="D77" s="3"/>
      <c r="E77" s="5"/>
      <c r="F77" s="3"/>
      <c r="G77" s="3"/>
      <c r="H77" s="5"/>
      <c r="I77" s="5"/>
      <c r="J77" s="5"/>
      <c r="K77" s="5"/>
      <c r="L77" s="6"/>
      <c r="M77" s="6"/>
      <c r="N77" s="7"/>
      <c r="O77" s="3"/>
      <c r="P77" s="3"/>
      <c r="Q77" s="3"/>
      <c r="R77" s="3"/>
    </row>
    <row x14ac:dyDescent="0.25" r="78" customHeight="1" ht="18.75">
      <c r="A78" s="10" t="s">
        <v>146</v>
      </c>
      <c r="B78" s="11">
        <v>27</v>
      </c>
      <c r="C78" s="3"/>
      <c r="D78" s="3"/>
      <c r="E78" s="5"/>
      <c r="F78" s="3"/>
      <c r="G78" s="3"/>
      <c r="H78" s="5"/>
      <c r="I78" s="5"/>
      <c r="J78" s="5"/>
      <c r="K78" s="5"/>
      <c r="L78" s="6"/>
      <c r="M78" s="6"/>
      <c r="N78" s="7"/>
      <c r="O78" s="3"/>
      <c r="P78" s="3"/>
      <c r="Q78" s="3"/>
      <c r="R78" s="3"/>
    </row>
    <row x14ac:dyDescent="0.25" r="79" customHeight="1" ht="18.75">
      <c r="A79" s="10" t="s">
        <v>147</v>
      </c>
      <c r="B79" s="11">
        <v>27</v>
      </c>
      <c r="C79" s="3"/>
      <c r="D79" s="3"/>
      <c r="E79" s="5"/>
      <c r="F79" s="3"/>
      <c r="G79" s="3"/>
      <c r="H79" s="5"/>
      <c r="I79" s="5"/>
      <c r="J79" s="5"/>
      <c r="K79" s="5"/>
      <c r="L79" s="6"/>
      <c r="M79" s="6"/>
      <c r="N79" s="7"/>
      <c r="O79" s="3"/>
      <c r="P79" s="3"/>
      <c r="Q79" s="3"/>
      <c r="R79" s="3"/>
    </row>
    <row x14ac:dyDescent="0.25" r="80" customHeight="1" ht="18.75">
      <c r="A80" s="10" t="s">
        <v>148</v>
      </c>
      <c r="B80" s="11">
        <v>27</v>
      </c>
      <c r="C80" s="3"/>
      <c r="D80" s="3"/>
      <c r="E80" s="5"/>
      <c r="F80" s="3"/>
      <c r="G80" s="3"/>
      <c r="H80" s="5"/>
      <c r="I80" s="5"/>
      <c r="J80" s="5"/>
      <c r="K80" s="5"/>
      <c r="L80" s="6"/>
      <c r="M80" s="6"/>
      <c r="N80" s="7"/>
      <c r="O80" s="3"/>
      <c r="P80" s="3"/>
      <c r="Q80" s="3"/>
      <c r="R80" s="3"/>
    </row>
    <row x14ac:dyDescent="0.25" r="81" customHeight="1" ht="18.75">
      <c r="A81" s="10" t="s">
        <v>149</v>
      </c>
      <c r="B81" s="11">
        <v>27</v>
      </c>
      <c r="C81" s="3"/>
      <c r="D81" s="3"/>
      <c r="E81" s="5"/>
      <c r="F81" s="3"/>
      <c r="G81" s="3"/>
      <c r="H81" s="5"/>
      <c r="I81" s="5"/>
      <c r="J81" s="5"/>
      <c r="K81" s="5"/>
      <c r="L81" s="6"/>
      <c r="M81" s="6"/>
      <c r="N81" s="7"/>
      <c r="O81" s="3"/>
      <c r="P81" s="3"/>
      <c r="Q81" s="3"/>
      <c r="R81" s="3"/>
    </row>
    <row x14ac:dyDescent="0.25" r="82" customHeight="1" ht="18.75">
      <c r="A82" s="10" t="s">
        <v>150</v>
      </c>
      <c r="B82" s="11">
        <v>27</v>
      </c>
      <c r="C82" s="3"/>
      <c r="D82" s="3"/>
      <c r="E82" s="5"/>
      <c r="F82" s="3"/>
      <c r="G82" s="3"/>
      <c r="H82" s="5"/>
      <c r="I82" s="5"/>
      <c r="J82" s="5"/>
      <c r="K82" s="5"/>
      <c r="L82" s="6"/>
      <c r="M82" s="6"/>
      <c r="N82" s="7"/>
      <c r="O82" s="3"/>
      <c r="P82" s="3"/>
      <c r="Q82" s="3"/>
      <c r="R82" s="3"/>
    </row>
    <row x14ac:dyDescent="0.25" r="83" customHeight="1" ht="18.75">
      <c r="A83" s="10" t="s">
        <v>151</v>
      </c>
      <c r="B83" s="11">
        <v>27</v>
      </c>
      <c r="C83" s="3"/>
      <c r="D83" s="3"/>
      <c r="E83" s="5"/>
      <c r="F83" s="3"/>
      <c r="G83" s="3"/>
      <c r="H83" s="5"/>
      <c r="I83" s="5"/>
      <c r="J83" s="5"/>
      <c r="K83" s="5"/>
      <c r="L83" s="6"/>
      <c r="M83" s="6"/>
      <c r="N83" s="7"/>
      <c r="O83" s="3"/>
      <c r="P83" s="3"/>
      <c r="Q83" s="3"/>
      <c r="R83" s="3"/>
    </row>
    <row x14ac:dyDescent="0.25" r="84" customHeight="1" ht="18.75">
      <c r="A84" s="10" t="s">
        <v>152</v>
      </c>
      <c r="B84" s="11">
        <v>27</v>
      </c>
      <c r="C84" s="3"/>
      <c r="D84" s="3"/>
      <c r="E84" s="5"/>
      <c r="F84" s="3"/>
      <c r="G84" s="3"/>
      <c r="H84" s="5"/>
      <c r="I84" s="5"/>
      <c r="J84" s="5"/>
      <c r="K84" s="5"/>
      <c r="L84" s="6"/>
      <c r="M84" s="6"/>
      <c r="N84" s="7"/>
      <c r="O84" s="3"/>
      <c r="P84" s="3"/>
      <c r="Q84" s="3"/>
      <c r="R84" s="3"/>
    </row>
    <row x14ac:dyDescent="0.25" r="85" customHeight="1" ht="18.75">
      <c r="A85" s="10" t="s">
        <v>153</v>
      </c>
      <c r="B85" s="11">
        <v>27</v>
      </c>
      <c r="C85" s="3"/>
      <c r="D85" s="3"/>
      <c r="E85" s="5"/>
      <c r="F85" s="3"/>
      <c r="G85" s="3"/>
      <c r="H85" s="5"/>
      <c r="I85" s="5"/>
      <c r="J85" s="5"/>
      <c r="K85" s="5"/>
      <c r="L85" s="6"/>
      <c r="M85" s="6"/>
      <c r="N85" s="7"/>
      <c r="O85" s="3"/>
      <c r="P85" s="3"/>
      <c r="Q85" s="3"/>
      <c r="R85" s="3"/>
    </row>
    <row x14ac:dyDescent="0.25" r="86" customHeight="1" ht="18.75">
      <c r="A86" s="10" t="s">
        <v>154</v>
      </c>
      <c r="B86" s="11">
        <v>27</v>
      </c>
      <c r="C86" s="3"/>
      <c r="D86" s="3"/>
      <c r="E86" s="5"/>
      <c r="F86" s="3"/>
      <c r="G86" s="3"/>
      <c r="H86" s="5"/>
      <c r="I86" s="5"/>
      <c r="J86" s="5"/>
      <c r="K86" s="5"/>
      <c r="L86" s="6"/>
      <c r="M86" s="6"/>
      <c r="N86" s="7"/>
      <c r="O86" s="3"/>
      <c r="P86" s="3"/>
      <c r="Q86" s="3"/>
      <c r="R86" s="3"/>
    </row>
    <row x14ac:dyDescent="0.25" r="87" customHeight="1" ht="18.75">
      <c r="A87" s="10" t="s">
        <v>155</v>
      </c>
      <c r="B87" s="11">
        <v>27</v>
      </c>
      <c r="C87" s="3"/>
      <c r="D87" s="3"/>
      <c r="E87" s="5"/>
      <c r="F87" s="3"/>
      <c r="G87" s="3"/>
      <c r="H87" s="5"/>
      <c r="I87" s="5"/>
      <c r="J87" s="5"/>
      <c r="K87" s="5"/>
      <c r="L87" s="6"/>
      <c r="M87" s="6"/>
      <c r="N87" s="7"/>
      <c r="O87" s="3"/>
      <c r="P87" s="3"/>
      <c r="Q87" s="3"/>
      <c r="R87" s="3"/>
    </row>
    <row x14ac:dyDescent="0.25" r="88" customHeight="1" ht="18.75">
      <c r="A88" s="10" t="s">
        <v>156</v>
      </c>
      <c r="B88" s="11">
        <v>27</v>
      </c>
      <c r="C88" s="3"/>
      <c r="D88" s="3"/>
      <c r="E88" s="5"/>
      <c r="F88" s="3"/>
      <c r="G88" s="3"/>
      <c r="H88" s="5"/>
      <c r="I88" s="5"/>
      <c r="J88" s="5"/>
      <c r="K88" s="5"/>
      <c r="L88" s="6"/>
      <c r="M88" s="6"/>
      <c r="N88" s="7"/>
      <c r="O88" s="3"/>
      <c r="P88" s="3"/>
      <c r="Q88" s="3"/>
      <c r="R88" s="3"/>
    </row>
    <row x14ac:dyDescent="0.25" r="89" customHeight="1" ht="18.75">
      <c r="A89" s="10" t="s">
        <v>157</v>
      </c>
      <c r="B89" s="11">
        <v>28</v>
      </c>
      <c r="C89" s="3"/>
      <c r="D89" s="3"/>
      <c r="E89" s="5"/>
      <c r="F89" s="3"/>
      <c r="G89" s="3"/>
      <c r="H89" s="5"/>
      <c r="I89" s="5"/>
      <c r="J89" s="5"/>
      <c r="K89" s="5"/>
      <c r="L89" s="6"/>
      <c r="M89" s="6"/>
      <c r="N89" s="7"/>
      <c r="O89" s="3"/>
      <c r="P89" s="3"/>
      <c r="Q89" s="3"/>
      <c r="R89" s="3"/>
    </row>
    <row x14ac:dyDescent="0.25" r="90" customHeight="1" ht="18.75">
      <c r="A90" s="10" t="s">
        <v>158</v>
      </c>
      <c r="B90" s="11">
        <v>28</v>
      </c>
      <c r="C90" s="3"/>
      <c r="D90" s="3"/>
      <c r="E90" s="5"/>
      <c r="F90" s="3"/>
      <c r="G90" s="3"/>
      <c r="H90" s="5"/>
      <c r="I90" s="5"/>
      <c r="J90" s="5"/>
      <c r="K90" s="5"/>
      <c r="L90" s="6"/>
      <c r="M90" s="6"/>
      <c r="N90" s="7"/>
      <c r="O90" s="3"/>
      <c r="P90" s="3"/>
      <c r="Q90" s="3"/>
      <c r="R90" s="3"/>
    </row>
    <row x14ac:dyDescent="0.25" r="91" customHeight="1" ht="18.75">
      <c r="A91" s="10" t="s">
        <v>159</v>
      </c>
      <c r="B91" s="11">
        <v>28</v>
      </c>
      <c r="C91" s="3"/>
      <c r="D91" s="3"/>
      <c r="E91" s="5"/>
      <c r="F91" s="3"/>
      <c r="G91" s="3"/>
      <c r="H91" s="5"/>
      <c r="I91" s="5"/>
      <c r="J91" s="5"/>
      <c r="K91" s="5"/>
      <c r="L91" s="6"/>
      <c r="M91" s="6"/>
      <c r="N91" s="7"/>
      <c r="O91" s="3"/>
      <c r="P91" s="3"/>
      <c r="Q91" s="3"/>
      <c r="R91" s="3"/>
    </row>
    <row x14ac:dyDescent="0.25" r="92" customHeight="1" ht="18.75">
      <c r="A92" s="10" t="s">
        <v>160</v>
      </c>
      <c r="B92" s="11">
        <v>28</v>
      </c>
      <c r="C92" s="3"/>
      <c r="D92" s="3"/>
      <c r="E92" s="5"/>
      <c r="F92" s="3"/>
      <c r="G92" s="3"/>
      <c r="H92" s="5"/>
      <c r="I92" s="5"/>
      <c r="J92" s="5"/>
      <c r="K92" s="5"/>
      <c r="L92" s="6"/>
      <c r="M92" s="6"/>
      <c r="N92" s="7"/>
      <c r="O92" s="3"/>
      <c r="P92" s="3"/>
      <c r="Q92" s="3"/>
      <c r="R92" s="3"/>
    </row>
    <row x14ac:dyDescent="0.25" r="93" customHeight="1" ht="18.75">
      <c r="A93" s="10" t="s">
        <v>161</v>
      </c>
      <c r="B93" s="11">
        <v>28</v>
      </c>
      <c r="C93" s="3"/>
      <c r="D93" s="3"/>
      <c r="E93" s="5"/>
      <c r="F93" s="3"/>
      <c r="G93" s="3"/>
      <c r="H93" s="5"/>
      <c r="I93" s="5"/>
      <c r="J93" s="5"/>
      <c r="K93" s="5"/>
      <c r="L93" s="6"/>
      <c r="M93" s="6"/>
      <c r="N93" s="7"/>
      <c r="O93" s="3"/>
      <c r="P93" s="3"/>
      <c r="Q93" s="3"/>
      <c r="R93" s="3"/>
    </row>
    <row x14ac:dyDescent="0.25" r="94" customHeight="1" ht="18.75">
      <c r="A94" s="10" t="s">
        <v>162</v>
      </c>
      <c r="B94" s="11">
        <v>28</v>
      </c>
      <c r="C94" s="3"/>
      <c r="D94" s="3"/>
      <c r="E94" s="5"/>
      <c r="F94" s="3"/>
      <c r="G94" s="3"/>
      <c r="H94" s="5"/>
      <c r="I94" s="5"/>
      <c r="J94" s="5"/>
      <c r="K94" s="5"/>
      <c r="L94" s="6"/>
      <c r="M94" s="6"/>
      <c r="N94" s="7"/>
      <c r="O94" s="3"/>
      <c r="P94" s="3"/>
      <c r="Q94" s="3"/>
      <c r="R94" s="3"/>
    </row>
    <row x14ac:dyDescent="0.25" r="95" customHeight="1" ht="18.75">
      <c r="A95" s="10" t="s">
        <v>163</v>
      </c>
      <c r="B95" s="11">
        <v>28</v>
      </c>
      <c r="C95" s="3"/>
      <c r="D95" s="3"/>
      <c r="E95" s="5"/>
      <c r="F95" s="3"/>
      <c r="G95" s="3"/>
      <c r="H95" s="5"/>
      <c r="I95" s="5"/>
      <c r="J95" s="5"/>
      <c r="K95" s="5"/>
      <c r="L95" s="6"/>
      <c r="M95" s="6"/>
      <c r="N95" s="7"/>
      <c r="O95" s="3"/>
      <c r="P95" s="3"/>
      <c r="Q95" s="3"/>
      <c r="R95" s="3"/>
    </row>
    <row x14ac:dyDescent="0.25" r="96" customHeight="1" ht="18.75">
      <c r="A96" s="10" t="s">
        <v>164</v>
      </c>
      <c r="B96" s="11">
        <v>28</v>
      </c>
      <c r="C96" s="3"/>
      <c r="D96" s="3"/>
      <c r="E96" s="5"/>
      <c r="F96" s="3"/>
      <c r="G96" s="3"/>
      <c r="H96" s="5"/>
      <c r="I96" s="5"/>
      <c r="J96" s="5"/>
      <c r="K96" s="5"/>
      <c r="L96" s="6"/>
      <c r="M96" s="6"/>
      <c r="N96" s="7"/>
      <c r="O96" s="3"/>
      <c r="P96" s="3"/>
      <c r="Q96" s="3"/>
      <c r="R96" s="3"/>
    </row>
    <row x14ac:dyDescent="0.25" r="97" customHeight="1" ht="18.75">
      <c r="A97" s="10" t="s">
        <v>165</v>
      </c>
      <c r="B97" s="11">
        <v>28</v>
      </c>
      <c r="C97" s="3"/>
      <c r="D97" s="3"/>
      <c r="E97" s="5"/>
      <c r="F97" s="3"/>
      <c r="G97" s="3"/>
      <c r="H97" s="5"/>
      <c r="I97" s="5"/>
      <c r="J97" s="5"/>
      <c r="K97" s="5"/>
      <c r="L97" s="6"/>
      <c r="M97" s="6"/>
      <c r="N97" s="7"/>
      <c r="O97" s="3"/>
      <c r="P97" s="3"/>
      <c r="Q97" s="3"/>
      <c r="R97" s="3"/>
    </row>
    <row x14ac:dyDescent="0.25" r="98" customHeight="1" ht="18.75">
      <c r="A98" s="10" t="s">
        <v>166</v>
      </c>
      <c r="B98" s="11">
        <v>28</v>
      </c>
      <c r="C98" s="3"/>
      <c r="D98" s="3"/>
      <c r="E98" s="5"/>
      <c r="F98" s="3"/>
      <c r="G98" s="3"/>
      <c r="H98" s="5"/>
      <c r="I98" s="5"/>
      <c r="J98" s="5"/>
      <c r="K98" s="5"/>
      <c r="L98" s="6"/>
      <c r="M98" s="6"/>
      <c r="N98" s="7"/>
      <c r="O98" s="3"/>
      <c r="P98" s="3"/>
      <c r="Q98" s="3"/>
      <c r="R98" s="3"/>
    </row>
    <row x14ac:dyDescent="0.25" r="99" customHeight="1" ht="18.75">
      <c r="A99" s="10" t="s">
        <v>167</v>
      </c>
      <c r="B99" s="11">
        <v>28</v>
      </c>
      <c r="C99" s="3"/>
      <c r="D99" s="3"/>
      <c r="E99" s="5"/>
      <c r="F99" s="3"/>
      <c r="G99" s="3"/>
      <c r="H99" s="5"/>
      <c r="I99" s="5"/>
      <c r="J99" s="5"/>
      <c r="K99" s="5"/>
      <c r="L99" s="6"/>
      <c r="M99" s="6"/>
      <c r="N99" s="7"/>
      <c r="O99" s="3"/>
      <c r="P99" s="3"/>
      <c r="Q99" s="3"/>
      <c r="R99" s="3"/>
    </row>
    <row x14ac:dyDescent="0.25" r="100" customHeight="1" ht="18.75">
      <c r="A100" s="10" t="s">
        <v>168</v>
      </c>
      <c r="B100" s="11">
        <v>28</v>
      </c>
      <c r="C100" s="3"/>
      <c r="D100" s="3"/>
      <c r="E100" s="5"/>
      <c r="F100" s="3"/>
      <c r="G100" s="3"/>
      <c r="H100" s="5"/>
      <c r="I100" s="5"/>
      <c r="J100" s="5"/>
      <c r="K100" s="5"/>
      <c r="L100" s="6"/>
      <c r="M100" s="6"/>
      <c r="N100" s="7"/>
      <c r="O100" s="3"/>
      <c r="P100" s="3"/>
      <c r="Q100" s="3"/>
      <c r="R100" s="3"/>
    </row>
    <row x14ac:dyDescent="0.25" r="101" customHeight="1" ht="18.75">
      <c r="A101" s="10" t="s">
        <v>169</v>
      </c>
      <c r="B101" s="11">
        <v>28</v>
      </c>
      <c r="C101" s="3"/>
      <c r="D101" s="3"/>
      <c r="E101" s="5"/>
      <c r="F101" s="3"/>
      <c r="G101" s="3"/>
      <c r="H101" s="5"/>
      <c r="I101" s="5"/>
      <c r="J101" s="5"/>
      <c r="K101" s="5"/>
      <c r="L101" s="6"/>
      <c r="M101" s="6"/>
      <c r="N101" s="7"/>
      <c r="O101" s="3"/>
      <c r="P101" s="3"/>
      <c r="Q101" s="3"/>
      <c r="R101" s="3"/>
    </row>
    <row x14ac:dyDescent="0.25" r="102" customHeight="1" ht="18.75">
      <c r="A102" s="10" t="s">
        <v>170</v>
      </c>
      <c r="B102" s="11">
        <v>28</v>
      </c>
      <c r="C102" s="3"/>
      <c r="D102" s="3"/>
      <c r="E102" s="5"/>
      <c r="F102" s="3"/>
      <c r="G102" s="3"/>
      <c r="H102" s="5"/>
      <c r="I102" s="5"/>
      <c r="J102" s="5"/>
      <c r="K102" s="5"/>
      <c r="L102" s="6"/>
      <c r="M102" s="6"/>
      <c r="N102" s="7"/>
      <c r="O102" s="3"/>
      <c r="P102" s="3"/>
      <c r="Q102" s="3"/>
      <c r="R102" s="3"/>
    </row>
    <row x14ac:dyDescent="0.25" r="103" customHeight="1" ht="18.75">
      <c r="A103" s="10" t="s">
        <v>171</v>
      </c>
      <c r="B103" s="11">
        <v>28</v>
      </c>
      <c r="C103" s="3"/>
      <c r="D103" s="3"/>
      <c r="E103" s="5"/>
      <c r="F103" s="3"/>
      <c r="G103" s="3"/>
      <c r="H103" s="5"/>
      <c r="I103" s="5"/>
      <c r="J103" s="5"/>
      <c r="K103" s="5"/>
      <c r="L103" s="6"/>
      <c r="M103" s="6"/>
      <c r="N103" s="7"/>
      <c r="O103" s="3"/>
      <c r="P103" s="3"/>
      <c r="Q103" s="3"/>
      <c r="R103" s="3"/>
    </row>
    <row x14ac:dyDescent="0.25" r="104" customHeight="1" ht="18.75">
      <c r="A104" s="10" t="s">
        <v>172</v>
      </c>
      <c r="B104" s="11">
        <v>28</v>
      </c>
      <c r="C104" s="3"/>
      <c r="D104" s="3"/>
      <c r="E104" s="5"/>
      <c r="F104" s="3"/>
      <c r="G104" s="3"/>
      <c r="H104" s="5"/>
      <c r="I104" s="5"/>
      <c r="J104" s="5"/>
      <c r="K104" s="5"/>
      <c r="L104" s="6"/>
      <c r="M104" s="6"/>
      <c r="N104" s="7"/>
      <c r="O104" s="3"/>
      <c r="P104" s="3"/>
      <c r="Q104" s="3"/>
      <c r="R104" s="3"/>
    </row>
    <row x14ac:dyDescent="0.25" r="105" customHeight="1" ht="18.75">
      <c r="A105" s="10" t="s">
        <v>173</v>
      </c>
      <c r="B105" s="11">
        <v>28</v>
      </c>
      <c r="C105" s="3"/>
      <c r="D105" s="3"/>
      <c r="E105" s="5"/>
      <c r="F105" s="3"/>
      <c r="G105" s="3"/>
      <c r="H105" s="5"/>
      <c r="I105" s="5"/>
      <c r="J105" s="5"/>
      <c r="K105" s="5"/>
      <c r="L105" s="6"/>
      <c r="M105" s="6"/>
      <c r="N105" s="7"/>
      <c r="O105" s="3"/>
      <c r="P105" s="3"/>
      <c r="Q105" s="3"/>
      <c r="R105" s="3"/>
    </row>
    <row x14ac:dyDescent="0.25" r="106" customHeight="1" ht="18.75">
      <c r="A106" s="10" t="s">
        <v>174</v>
      </c>
      <c r="B106" s="11">
        <v>28</v>
      </c>
      <c r="C106" s="3"/>
      <c r="D106" s="3"/>
      <c r="E106" s="5"/>
      <c r="F106" s="3"/>
      <c r="G106" s="3"/>
      <c r="H106" s="5"/>
      <c r="I106" s="5"/>
      <c r="J106" s="5"/>
      <c r="K106" s="5"/>
      <c r="L106" s="6"/>
      <c r="M106" s="6"/>
      <c r="N106" s="7"/>
      <c r="O106" s="3"/>
      <c r="P106" s="3"/>
      <c r="Q106" s="3"/>
      <c r="R106" s="3"/>
    </row>
    <row x14ac:dyDescent="0.25" r="107" customHeight="1" ht="18.75">
      <c r="A107" s="10" t="s">
        <v>175</v>
      </c>
      <c r="B107" s="11">
        <v>28</v>
      </c>
      <c r="C107" s="3"/>
      <c r="D107" s="3"/>
      <c r="E107" s="5"/>
      <c r="F107" s="3"/>
      <c r="G107" s="3"/>
      <c r="H107" s="5"/>
      <c r="I107" s="5"/>
      <c r="J107" s="5"/>
      <c r="K107" s="5"/>
      <c r="L107" s="6"/>
      <c r="M107" s="6"/>
      <c r="N107" s="7"/>
      <c r="O107" s="3"/>
      <c r="P107" s="3"/>
      <c r="Q107" s="3"/>
      <c r="R107" s="3"/>
    </row>
    <row x14ac:dyDescent="0.25" r="108" customHeight="1" ht="18.75">
      <c r="A108" s="10" t="s">
        <v>176</v>
      </c>
      <c r="B108" s="11">
        <v>28</v>
      </c>
      <c r="C108" s="3"/>
      <c r="D108" s="3"/>
      <c r="E108" s="5"/>
      <c r="F108" s="3"/>
      <c r="G108" s="3"/>
      <c r="H108" s="5"/>
      <c r="I108" s="5"/>
      <c r="J108" s="5"/>
      <c r="K108" s="5"/>
      <c r="L108" s="6"/>
      <c r="M108" s="6"/>
      <c r="N108" s="7"/>
      <c r="O108" s="3"/>
      <c r="P108" s="3"/>
      <c r="Q108" s="3"/>
      <c r="R108" s="3"/>
    </row>
    <row x14ac:dyDescent="0.25" r="109" customHeight="1" ht="18.75">
      <c r="A109" s="10" t="s">
        <v>177</v>
      </c>
      <c r="B109" s="11">
        <v>28</v>
      </c>
      <c r="C109" s="3"/>
      <c r="D109" s="3"/>
      <c r="E109" s="5"/>
      <c r="F109" s="3"/>
      <c r="G109" s="3"/>
      <c r="H109" s="5"/>
      <c r="I109" s="5"/>
      <c r="J109" s="5"/>
      <c r="K109" s="5"/>
      <c r="L109" s="6"/>
      <c r="M109" s="6"/>
      <c r="N109" s="7"/>
      <c r="O109" s="3"/>
      <c r="P109" s="3"/>
      <c r="Q109" s="3"/>
      <c r="R109" s="3"/>
    </row>
    <row x14ac:dyDescent="0.25" r="110" customHeight="1" ht="18.75">
      <c r="A110" s="10" t="s">
        <v>178</v>
      </c>
      <c r="B110" s="11">
        <v>28</v>
      </c>
      <c r="C110" s="3"/>
      <c r="D110" s="3"/>
      <c r="E110" s="5"/>
      <c r="F110" s="3"/>
      <c r="G110" s="3"/>
      <c r="H110" s="5"/>
      <c r="I110" s="5"/>
      <c r="J110" s="5"/>
      <c r="K110" s="5"/>
      <c r="L110" s="6"/>
      <c r="M110" s="6"/>
      <c r="N110" s="7"/>
      <c r="O110" s="3"/>
      <c r="P110" s="3"/>
      <c r="Q110" s="3"/>
      <c r="R110" s="3"/>
    </row>
    <row x14ac:dyDescent="0.25" r="111" customHeight="1" ht="18.75">
      <c r="A111" s="10" t="s">
        <v>179</v>
      </c>
      <c r="B111" s="11">
        <v>28</v>
      </c>
      <c r="C111" s="3"/>
      <c r="D111" s="3"/>
      <c r="E111" s="5"/>
      <c r="F111" s="3"/>
      <c r="G111" s="3"/>
      <c r="H111" s="5"/>
      <c r="I111" s="5"/>
      <c r="J111" s="5"/>
      <c r="K111" s="5"/>
      <c r="L111" s="6"/>
      <c r="M111" s="6"/>
      <c r="N111" s="7"/>
      <c r="O111" s="3"/>
      <c r="P111" s="3"/>
      <c r="Q111" s="3"/>
      <c r="R111" s="3"/>
    </row>
    <row x14ac:dyDescent="0.25" r="112" customHeight="1" ht="18.75">
      <c r="A112" s="10" t="s">
        <v>180</v>
      </c>
      <c r="B112" s="11">
        <v>28</v>
      </c>
      <c r="C112" s="3"/>
      <c r="D112" s="3"/>
      <c r="E112" s="5"/>
      <c r="F112" s="3"/>
      <c r="G112" s="3"/>
      <c r="H112" s="5"/>
      <c r="I112" s="5"/>
      <c r="J112" s="5"/>
      <c r="K112" s="5"/>
      <c r="L112" s="6"/>
      <c r="M112" s="6"/>
      <c r="N112" s="7"/>
      <c r="O112" s="3"/>
      <c r="P112" s="3"/>
      <c r="Q112" s="3"/>
      <c r="R112" s="3"/>
    </row>
    <row x14ac:dyDescent="0.25" r="113" customHeight="1" ht="18.75">
      <c r="A113" s="10" t="s">
        <v>181</v>
      </c>
      <c r="B113" s="11">
        <v>28</v>
      </c>
      <c r="C113" s="3"/>
      <c r="D113" s="3"/>
      <c r="E113" s="5"/>
      <c r="F113" s="3"/>
      <c r="G113" s="3"/>
      <c r="H113" s="5"/>
      <c r="I113" s="5"/>
      <c r="J113" s="5"/>
      <c r="K113" s="5"/>
      <c r="L113" s="6"/>
      <c r="M113" s="6"/>
      <c r="N113" s="7"/>
      <c r="O113" s="3"/>
      <c r="P113" s="3"/>
      <c r="Q113" s="3"/>
      <c r="R113" s="3"/>
    </row>
    <row x14ac:dyDescent="0.25" r="114" customHeight="1" ht="18.75">
      <c r="A114" s="10" t="s">
        <v>182</v>
      </c>
      <c r="B114" s="11">
        <v>28</v>
      </c>
      <c r="C114" s="3"/>
      <c r="D114" s="3"/>
      <c r="E114" s="5"/>
      <c r="F114" s="3"/>
      <c r="G114" s="3"/>
      <c r="H114" s="5"/>
      <c r="I114" s="5"/>
      <c r="J114" s="5"/>
      <c r="K114" s="5"/>
      <c r="L114" s="6"/>
      <c r="M114" s="6"/>
      <c r="N114" s="7"/>
      <c r="O114" s="3"/>
      <c r="P114" s="3"/>
      <c r="Q114" s="3"/>
      <c r="R114" s="3"/>
    </row>
    <row x14ac:dyDescent="0.25" r="115" customHeight="1" ht="18.75">
      <c r="A115" s="10" t="s">
        <v>183</v>
      </c>
      <c r="B115" s="11">
        <v>28</v>
      </c>
      <c r="C115" s="3"/>
      <c r="D115" s="3"/>
      <c r="E115" s="5"/>
      <c r="F115" s="3"/>
      <c r="G115" s="3"/>
      <c r="H115" s="5"/>
      <c r="I115" s="5"/>
      <c r="J115" s="5"/>
      <c r="K115" s="5"/>
      <c r="L115" s="6"/>
      <c r="M115" s="6"/>
      <c r="N115" s="7"/>
      <c r="O115" s="3"/>
      <c r="P115" s="3"/>
      <c r="Q115" s="3"/>
      <c r="R115" s="3"/>
    </row>
    <row x14ac:dyDescent="0.25" r="116" customHeight="1" ht="18.75">
      <c r="A116" s="10" t="s">
        <v>184</v>
      </c>
      <c r="B116" s="11">
        <v>28</v>
      </c>
      <c r="C116" s="3"/>
      <c r="D116" s="3"/>
      <c r="E116" s="5"/>
      <c r="F116" s="3"/>
      <c r="G116" s="3"/>
      <c r="H116" s="5"/>
      <c r="I116" s="5"/>
      <c r="J116" s="5"/>
      <c r="K116" s="5"/>
      <c r="L116" s="6"/>
      <c r="M116" s="6"/>
      <c r="N116" s="7"/>
      <c r="O116" s="3"/>
      <c r="P116" s="3"/>
      <c r="Q116" s="3"/>
      <c r="R116" s="3"/>
    </row>
    <row x14ac:dyDescent="0.25" r="117" customHeight="1" ht="18.75">
      <c r="A117" s="10" t="s">
        <v>185</v>
      </c>
      <c r="B117" s="11">
        <v>28</v>
      </c>
      <c r="C117" s="3"/>
      <c r="D117" s="3"/>
      <c r="E117" s="5"/>
      <c r="F117" s="3"/>
      <c r="G117" s="3"/>
      <c r="H117" s="5"/>
      <c r="I117" s="5"/>
      <c r="J117" s="5"/>
      <c r="K117" s="5"/>
      <c r="L117" s="6"/>
      <c r="M117" s="6"/>
      <c r="N117" s="7"/>
      <c r="O117" s="3"/>
      <c r="P117" s="3"/>
      <c r="Q117" s="3"/>
      <c r="R117" s="3"/>
    </row>
    <row x14ac:dyDescent="0.25" r="118" customHeight="1" ht="18.75">
      <c r="A118" s="10" t="s">
        <v>186</v>
      </c>
      <c r="B118" s="11">
        <v>29</v>
      </c>
      <c r="C118" s="3"/>
      <c r="D118" s="3"/>
      <c r="E118" s="5"/>
      <c r="F118" s="3"/>
      <c r="G118" s="3"/>
      <c r="H118" s="5"/>
      <c r="I118" s="5"/>
      <c r="J118" s="5"/>
      <c r="K118" s="5"/>
      <c r="L118" s="6"/>
      <c r="M118" s="6"/>
      <c r="N118" s="7"/>
      <c r="O118" s="3"/>
      <c r="P118" s="3"/>
      <c r="Q118" s="3"/>
      <c r="R118" s="3"/>
    </row>
    <row x14ac:dyDescent="0.25" r="119" customHeight="1" ht="18.75">
      <c r="A119" s="10" t="s">
        <v>187</v>
      </c>
      <c r="B119" s="11">
        <v>29</v>
      </c>
      <c r="C119" s="3"/>
      <c r="D119" s="3"/>
      <c r="E119" s="5"/>
      <c r="F119" s="3"/>
      <c r="G119" s="3"/>
      <c r="H119" s="5"/>
      <c r="I119" s="5"/>
      <c r="J119" s="5"/>
      <c r="K119" s="5"/>
      <c r="L119" s="6"/>
      <c r="M119" s="6"/>
      <c r="N119" s="7"/>
      <c r="O119" s="3"/>
      <c r="P119" s="3"/>
      <c r="Q119" s="3"/>
      <c r="R119" s="3"/>
    </row>
    <row x14ac:dyDescent="0.25" r="120" customHeight="1" ht="18.75">
      <c r="A120" s="10" t="s">
        <v>188</v>
      </c>
      <c r="B120" s="11">
        <v>29</v>
      </c>
      <c r="C120" s="3"/>
      <c r="D120" s="3"/>
      <c r="E120" s="5"/>
      <c r="F120" s="3"/>
      <c r="G120" s="3"/>
      <c r="H120" s="5"/>
      <c r="I120" s="5"/>
      <c r="J120" s="5"/>
      <c r="K120" s="5"/>
      <c r="L120" s="6"/>
      <c r="M120" s="6"/>
      <c r="N120" s="7"/>
      <c r="O120" s="3"/>
      <c r="P120" s="3"/>
      <c r="Q120" s="3"/>
      <c r="R120" s="3"/>
    </row>
    <row x14ac:dyDescent="0.25" r="121" customHeight="1" ht="18.75">
      <c r="A121" s="10" t="s">
        <v>189</v>
      </c>
      <c r="B121" s="11">
        <v>29</v>
      </c>
      <c r="C121" s="3"/>
      <c r="D121" s="3"/>
      <c r="E121" s="5"/>
      <c r="F121" s="3"/>
      <c r="G121" s="3"/>
      <c r="H121" s="5"/>
      <c r="I121" s="5"/>
      <c r="J121" s="5"/>
      <c r="K121" s="5"/>
      <c r="L121" s="6"/>
      <c r="M121" s="6"/>
      <c r="N121" s="7"/>
      <c r="O121" s="3"/>
      <c r="P121" s="3"/>
      <c r="Q121" s="3"/>
      <c r="R121" s="3"/>
    </row>
    <row x14ac:dyDescent="0.25" r="122" customHeight="1" ht="18.75">
      <c r="A122" s="10" t="s">
        <v>190</v>
      </c>
      <c r="B122" s="11">
        <v>29</v>
      </c>
      <c r="C122" s="3"/>
      <c r="D122" s="3"/>
      <c r="E122" s="5"/>
      <c r="F122" s="3"/>
      <c r="G122" s="3"/>
      <c r="H122" s="5"/>
      <c r="I122" s="5"/>
      <c r="J122" s="5"/>
      <c r="K122" s="5"/>
      <c r="L122" s="6"/>
      <c r="M122" s="6"/>
      <c r="N122" s="7"/>
      <c r="O122" s="3"/>
      <c r="P122" s="3"/>
      <c r="Q122" s="3"/>
      <c r="R122" s="3"/>
    </row>
    <row x14ac:dyDescent="0.25" r="123" customHeight="1" ht="18.75">
      <c r="A123" s="10" t="s">
        <v>191</v>
      </c>
      <c r="B123" s="11">
        <v>29</v>
      </c>
      <c r="C123" s="3"/>
      <c r="D123" s="3"/>
      <c r="E123" s="5"/>
      <c r="F123" s="3"/>
      <c r="G123" s="3"/>
      <c r="H123" s="5"/>
      <c r="I123" s="5"/>
      <c r="J123" s="5"/>
      <c r="K123" s="5"/>
      <c r="L123" s="6"/>
      <c r="M123" s="6"/>
      <c r="N123" s="7"/>
      <c r="O123" s="3"/>
      <c r="P123" s="3"/>
      <c r="Q123" s="3"/>
      <c r="R123" s="3"/>
    </row>
    <row x14ac:dyDescent="0.25" r="124" customHeight="1" ht="18.75">
      <c r="A124" s="10" t="s">
        <v>192</v>
      </c>
      <c r="B124" s="11">
        <v>29</v>
      </c>
      <c r="C124" s="3"/>
      <c r="D124" s="3"/>
      <c r="E124" s="5"/>
      <c r="F124" s="3"/>
      <c r="G124" s="3"/>
      <c r="H124" s="5"/>
      <c r="I124" s="5"/>
      <c r="J124" s="5"/>
      <c r="K124" s="5"/>
      <c r="L124" s="6"/>
      <c r="M124" s="6"/>
      <c r="N124" s="7"/>
      <c r="O124" s="3"/>
      <c r="P124" s="3"/>
      <c r="Q124" s="3"/>
      <c r="R124" s="3"/>
    </row>
    <row x14ac:dyDescent="0.25" r="125" customHeight="1" ht="18.75">
      <c r="A125" s="10" t="s">
        <v>193</v>
      </c>
      <c r="B125" s="11">
        <v>29</v>
      </c>
      <c r="C125" s="3"/>
      <c r="D125" s="3"/>
      <c r="E125" s="5"/>
      <c r="F125" s="3"/>
      <c r="G125" s="3"/>
      <c r="H125" s="5"/>
      <c r="I125" s="5"/>
      <c r="J125" s="5"/>
      <c r="K125" s="5"/>
      <c r="L125" s="6"/>
      <c r="M125" s="6"/>
      <c r="N125" s="7"/>
      <c r="O125" s="3"/>
      <c r="P125" s="3"/>
      <c r="Q125" s="3"/>
      <c r="R125" s="3"/>
    </row>
    <row x14ac:dyDescent="0.25" r="126" customHeight="1" ht="18.75">
      <c r="A126" s="10" t="s">
        <v>194</v>
      </c>
      <c r="B126" s="11">
        <v>29</v>
      </c>
      <c r="C126" s="3"/>
      <c r="D126" s="3"/>
      <c r="E126" s="5"/>
      <c r="F126" s="3"/>
      <c r="G126" s="3"/>
      <c r="H126" s="5"/>
      <c r="I126" s="5"/>
      <c r="J126" s="5"/>
      <c r="K126" s="5"/>
      <c r="L126" s="6"/>
      <c r="M126" s="6"/>
      <c r="N126" s="7"/>
      <c r="O126" s="3"/>
      <c r="P126" s="3"/>
      <c r="Q126" s="3"/>
      <c r="R126" s="3"/>
    </row>
    <row x14ac:dyDescent="0.25" r="127" customHeight="1" ht="18.75">
      <c r="A127" s="10" t="s">
        <v>195</v>
      </c>
      <c r="B127" s="11">
        <v>29</v>
      </c>
      <c r="C127" s="3"/>
      <c r="D127" s="3"/>
      <c r="E127" s="5"/>
      <c r="F127" s="3"/>
      <c r="G127" s="3"/>
      <c r="H127" s="5"/>
      <c r="I127" s="5"/>
      <c r="J127" s="5"/>
      <c r="K127" s="5"/>
      <c r="L127" s="6"/>
      <c r="M127" s="6"/>
      <c r="N127" s="7"/>
      <c r="O127" s="3"/>
      <c r="P127" s="3"/>
      <c r="Q127" s="3"/>
      <c r="R127" s="3"/>
    </row>
    <row x14ac:dyDescent="0.25" r="128" customHeight="1" ht="18.75">
      <c r="A128" s="10" t="s">
        <v>196</v>
      </c>
      <c r="B128" s="11">
        <v>29</v>
      </c>
      <c r="C128" s="3"/>
      <c r="D128" s="3"/>
      <c r="E128" s="5"/>
      <c r="F128" s="3"/>
      <c r="G128" s="3"/>
      <c r="H128" s="5"/>
      <c r="I128" s="5"/>
      <c r="J128" s="5"/>
      <c r="K128" s="5"/>
      <c r="L128" s="6"/>
      <c r="M128" s="6"/>
      <c r="N128" s="7"/>
      <c r="O128" s="3"/>
      <c r="P128" s="3"/>
      <c r="Q128" s="3"/>
      <c r="R128" s="3"/>
    </row>
    <row x14ac:dyDescent="0.25" r="129" customHeight="1" ht="18.75">
      <c r="A129" s="10" t="s">
        <v>197</v>
      </c>
      <c r="B129" s="11">
        <v>29</v>
      </c>
      <c r="C129" s="3"/>
      <c r="D129" s="3"/>
      <c r="E129" s="5"/>
      <c r="F129" s="3"/>
      <c r="G129" s="3"/>
      <c r="H129" s="5"/>
      <c r="I129" s="5"/>
      <c r="J129" s="5"/>
      <c r="K129" s="5"/>
      <c r="L129" s="6"/>
      <c r="M129" s="6"/>
      <c r="N129" s="7"/>
      <c r="O129" s="3"/>
      <c r="P129" s="3"/>
      <c r="Q129" s="3"/>
      <c r="R129" s="3"/>
    </row>
    <row x14ac:dyDescent="0.25" r="130" customHeight="1" ht="18.75">
      <c r="A130" s="10" t="s">
        <v>198</v>
      </c>
      <c r="B130" s="11">
        <v>29</v>
      </c>
      <c r="C130" s="3"/>
      <c r="D130" s="3"/>
      <c r="E130" s="5"/>
      <c r="F130" s="3"/>
      <c r="G130" s="3"/>
      <c r="H130" s="5"/>
      <c r="I130" s="5"/>
      <c r="J130" s="5"/>
      <c r="K130" s="5"/>
      <c r="L130" s="6"/>
      <c r="M130" s="6"/>
      <c r="N130" s="7"/>
      <c r="O130" s="3"/>
      <c r="P130" s="3"/>
      <c r="Q130" s="3"/>
      <c r="R130" s="3"/>
    </row>
    <row x14ac:dyDescent="0.25" r="131" customHeight="1" ht="18.75">
      <c r="A131" s="10" t="s">
        <v>199</v>
      </c>
      <c r="B131" s="11">
        <v>29</v>
      </c>
      <c r="C131" s="3"/>
      <c r="D131" s="3"/>
      <c r="E131" s="5"/>
      <c r="F131" s="3"/>
      <c r="G131" s="3"/>
      <c r="H131" s="5"/>
      <c r="I131" s="5"/>
      <c r="J131" s="5"/>
      <c r="K131" s="5"/>
      <c r="L131" s="6"/>
      <c r="M131" s="6"/>
      <c r="N131" s="7"/>
      <c r="O131" s="3"/>
      <c r="P131" s="3"/>
      <c r="Q131" s="3"/>
      <c r="R131" s="3"/>
    </row>
    <row x14ac:dyDescent="0.25" r="132" customHeight="1" ht="18.75">
      <c r="A132" s="10" t="s">
        <v>200</v>
      </c>
      <c r="B132" s="11">
        <v>29</v>
      </c>
      <c r="C132" s="3"/>
      <c r="D132" s="3"/>
      <c r="E132" s="5"/>
      <c r="F132" s="3"/>
      <c r="G132" s="3"/>
      <c r="H132" s="5"/>
      <c r="I132" s="5"/>
      <c r="J132" s="5"/>
      <c r="K132" s="5"/>
      <c r="L132" s="6"/>
      <c r="M132" s="6"/>
      <c r="N132" s="7"/>
      <c r="O132" s="3"/>
      <c r="P132" s="3"/>
      <c r="Q132" s="3"/>
      <c r="R132" s="3"/>
    </row>
    <row x14ac:dyDescent="0.25" r="133" customHeight="1" ht="18.75">
      <c r="A133" s="10" t="s">
        <v>201</v>
      </c>
      <c r="B133" s="11">
        <v>29</v>
      </c>
      <c r="C133" s="3"/>
      <c r="D133" s="3"/>
      <c r="E133" s="5"/>
      <c r="F133" s="3"/>
      <c r="G133" s="3"/>
      <c r="H133" s="5"/>
      <c r="I133" s="5"/>
      <c r="J133" s="5"/>
      <c r="K133" s="5"/>
      <c r="L133" s="6"/>
      <c r="M133" s="6"/>
      <c r="N133" s="7"/>
      <c r="O133" s="3"/>
      <c r="P133" s="3"/>
      <c r="Q133" s="3"/>
      <c r="R133" s="3"/>
    </row>
    <row x14ac:dyDescent="0.25" r="134" customHeight="1" ht="18.75">
      <c r="A134" s="10" t="s">
        <v>202</v>
      </c>
      <c r="B134" s="11">
        <v>29</v>
      </c>
      <c r="C134" s="3"/>
      <c r="D134" s="3"/>
      <c r="E134" s="5"/>
      <c r="F134" s="3"/>
      <c r="G134" s="3"/>
      <c r="H134" s="5"/>
      <c r="I134" s="5"/>
      <c r="J134" s="5"/>
      <c r="K134" s="5"/>
      <c r="L134" s="6"/>
      <c r="M134" s="6"/>
      <c r="N134" s="7"/>
      <c r="O134" s="3"/>
      <c r="P134" s="3"/>
      <c r="Q134" s="3"/>
      <c r="R134" s="3"/>
    </row>
    <row x14ac:dyDescent="0.25" r="135" customHeight="1" ht="18.75">
      <c r="A135" s="10" t="s">
        <v>203</v>
      </c>
      <c r="B135" s="11">
        <v>29</v>
      </c>
      <c r="C135" s="3"/>
      <c r="D135" s="3"/>
      <c r="E135" s="5"/>
      <c r="F135" s="3"/>
      <c r="G135" s="3"/>
      <c r="H135" s="5"/>
      <c r="I135" s="5"/>
      <c r="J135" s="5"/>
      <c r="K135" s="5"/>
      <c r="L135" s="6"/>
      <c r="M135" s="6"/>
      <c r="N135" s="7"/>
      <c r="O135" s="3"/>
      <c r="P135" s="3"/>
      <c r="Q135" s="3"/>
      <c r="R135" s="3"/>
    </row>
    <row x14ac:dyDescent="0.25" r="136" customHeight="1" ht="18.75">
      <c r="A136" s="10" t="s">
        <v>204</v>
      </c>
      <c r="B136" s="11">
        <v>29</v>
      </c>
      <c r="C136" s="3"/>
      <c r="D136" s="3"/>
      <c r="E136" s="5"/>
      <c r="F136" s="3"/>
      <c r="G136" s="3"/>
      <c r="H136" s="5"/>
      <c r="I136" s="5"/>
      <c r="J136" s="5"/>
      <c r="K136" s="5"/>
      <c r="L136" s="6"/>
      <c r="M136" s="6"/>
      <c r="N136" s="7"/>
      <c r="O136" s="3"/>
      <c r="P136" s="3"/>
      <c r="Q136" s="3"/>
      <c r="R136" s="3"/>
    </row>
    <row x14ac:dyDescent="0.25" r="137" customHeight="1" ht="18.75">
      <c r="A137" s="10" t="s">
        <v>205</v>
      </c>
      <c r="B137" s="11">
        <v>29</v>
      </c>
      <c r="C137" s="3"/>
      <c r="D137" s="3"/>
      <c r="E137" s="5"/>
      <c r="F137" s="3"/>
      <c r="G137" s="3"/>
      <c r="H137" s="5"/>
      <c r="I137" s="5"/>
      <c r="J137" s="5"/>
      <c r="K137" s="5"/>
      <c r="L137" s="6"/>
      <c r="M137" s="6"/>
      <c r="N137" s="7"/>
      <c r="O137" s="3"/>
      <c r="P137" s="3"/>
      <c r="Q137" s="3"/>
      <c r="R137" s="3"/>
    </row>
    <row x14ac:dyDescent="0.25" r="138" customHeight="1" ht="18.75">
      <c r="A138" s="10" t="s">
        <v>206</v>
      </c>
      <c r="B138" s="11">
        <v>29</v>
      </c>
      <c r="C138" s="3"/>
      <c r="D138" s="3"/>
      <c r="E138" s="5"/>
      <c r="F138" s="3"/>
      <c r="G138" s="3"/>
      <c r="H138" s="5"/>
      <c r="I138" s="5"/>
      <c r="J138" s="5"/>
      <c r="K138" s="5"/>
      <c r="L138" s="6"/>
      <c r="M138" s="6"/>
      <c r="N138" s="7"/>
      <c r="O138" s="3"/>
      <c r="P138" s="3"/>
      <c r="Q138" s="3"/>
      <c r="R138" s="3"/>
    </row>
    <row x14ac:dyDescent="0.25" r="139" customHeight="1" ht="18.75">
      <c r="A139" s="10" t="s">
        <v>207</v>
      </c>
      <c r="B139" s="11">
        <v>29</v>
      </c>
      <c r="C139" s="3"/>
      <c r="D139" s="3"/>
      <c r="E139" s="5"/>
      <c r="F139" s="3"/>
      <c r="G139" s="3"/>
      <c r="H139" s="5"/>
      <c r="I139" s="5"/>
      <c r="J139" s="5"/>
      <c r="K139" s="5"/>
      <c r="L139" s="6"/>
      <c r="M139" s="6"/>
      <c r="N139" s="7"/>
      <c r="O139" s="3"/>
      <c r="P139" s="3"/>
      <c r="Q139" s="3"/>
      <c r="R139" s="3"/>
    </row>
    <row x14ac:dyDescent="0.25" r="140" customHeight="1" ht="18.75">
      <c r="A140" s="10" t="s">
        <v>208</v>
      </c>
      <c r="B140" s="11">
        <v>29</v>
      </c>
      <c r="C140" s="3"/>
      <c r="D140" s="3"/>
      <c r="E140" s="5"/>
      <c r="F140" s="3"/>
      <c r="G140" s="3"/>
      <c r="H140" s="5"/>
      <c r="I140" s="5"/>
      <c r="J140" s="5"/>
      <c r="K140" s="5"/>
      <c r="L140" s="6"/>
      <c r="M140" s="6"/>
      <c r="N140" s="7"/>
      <c r="O140" s="3"/>
      <c r="P140" s="3"/>
      <c r="Q140" s="3"/>
      <c r="R140" s="3"/>
    </row>
    <row x14ac:dyDescent="0.25" r="141" customHeight="1" ht="18.75">
      <c r="A141" s="10" t="s">
        <v>209</v>
      </c>
      <c r="B141" s="11">
        <v>29</v>
      </c>
      <c r="C141" s="3"/>
      <c r="D141" s="3"/>
      <c r="E141" s="5"/>
      <c r="F141" s="3"/>
      <c r="G141" s="3"/>
      <c r="H141" s="5"/>
      <c r="I141" s="5"/>
      <c r="J141" s="5"/>
      <c r="K141" s="5"/>
      <c r="L141" s="6"/>
      <c r="M141" s="6"/>
      <c r="N141" s="7"/>
      <c r="O141" s="3"/>
      <c r="P141" s="3"/>
      <c r="Q141" s="3"/>
      <c r="R141" s="3"/>
    </row>
    <row x14ac:dyDescent="0.25" r="142" customHeight="1" ht="18.75">
      <c r="A142" s="10" t="s">
        <v>210</v>
      </c>
      <c r="B142" s="11">
        <v>29</v>
      </c>
      <c r="C142" s="3"/>
      <c r="D142" s="3"/>
      <c r="E142" s="5"/>
      <c r="F142" s="3"/>
      <c r="G142" s="3"/>
      <c r="H142" s="5"/>
      <c r="I142" s="5"/>
      <c r="J142" s="5"/>
      <c r="K142" s="5"/>
      <c r="L142" s="6"/>
      <c r="M142" s="6"/>
      <c r="N142" s="7"/>
      <c r="O142" s="3"/>
      <c r="P142" s="3"/>
      <c r="Q142" s="3"/>
      <c r="R142" s="3"/>
    </row>
    <row x14ac:dyDescent="0.25" r="143" customHeight="1" ht="18.75">
      <c r="A143" s="10" t="s">
        <v>211</v>
      </c>
      <c r="B143" s="11">
        <v>29</v>
      </c>
      <c r="C143" s="3"/>
      <c r="D143" s="3"/>
      <c r="E143" s="5"/>
      <c r="F143" s="3"/>
      <c r="G143" s="3"/>
      <c r="H143" s="5"/>
      <c r="I143" s="5"/>
      <c r="J143" s="5"/>
      <c r="K143" s="5"/>
      <c r="L143" s="6"/>
      <c r="M143" s="6"/>
      <c r="N143" s="7"/>
      <c r="O143" s="3"/>
      <c r="P143" s="3"/>
      <c r="Q143" s="3"/>
      <c r="R143" s="3"/>
    </row>
    <row x14ac:dyDescent="0.25" r="144" customHeight="1" ht="18.75">
      <c r="A144" s="10" t="s">
        <v>212</v>
      </c>
      <c r="B144" s="11">
        <v>30</v>
      </c>
      <c r="C144" s="3"/>
      <c r="D144" s="3"/>
      <c r="E144" s="5"/>
      <c r="F144" s="3"/>
      <c r="G144" s="3"/>
      <c r="H144" s="5"/>
      <c r="I144" s="5"/>
      <c r="J144" s="5"/>
      <c r="K144" s="5"/>
      <c r="L144" s="6"/>
      <c r="M144" s="6"/>
      <c r="N144" s="7"/>
      <c r="O144" s="3"/>
      <c r="P144" s="3"/>
      <c r="Q144" s="3"/>
      <c r="R144" s="3"/>
    </row>
    <row x14ac:dyDescent="0.25" r="145" customHeight="1" ht="18.75">
      <c r="A145" s="10" t="s">
        <v>213</v>
      </c>
      <c r="B145" s="11">
        <v>30</v>
      </c>
      <c r="C145" s="3"/>
      <c r="D145" s="3"/>
      <c r="E145" s="5"/>
      <c r="F145" s="3"/>
      <c r="G145" s="3"/>
      <c r="H145" s="5"/>
      <c r="I145" s="5"/>
      <c r="J145" s="5"/>
      <c r="K145" s="5"/>
      <c r="L145" s="6"/>
      <c r="M145" s="6"/>
      <c r="N145" s="7"/>
      <c r="O145" s="3"/>
      <c r="P145" s="3"/>
      <c r="Q145" s="3"/>
      <c r="R145" s="3"/>
    </row>
    <row x14ac:dyDescent="0.25" r="146" customHeight="1" ht="18.75">
      <c r="A146" s="10" t="s">
        <v>214</v>
      </c>
      <c r="B146" s="11">
        <v>30</v>
      </c>
      <c r="C146" s="3"/>
      <c r="D146" s="3"/>
      <c r="E146" s="5"/>
      <c r="F146" s="3"/>
      <c r="G146" s="3"/>
      <c r="H146" s="5"/>
      <c r="I146" s="5"/>
      <c r="J146" s="5"/>
      <c r="K146" s="5"/>
      <c r="L146" s="6"/>
      <c r="M146" s="6"/>
      <c r="N146" s="7"/>
      <c r="O146" s="3"/>
      <c r="P146" s="3"/>
      <c r="Q146" s="3"/>
      <c r="R146" s="3"/>
    </row>
    <row x14ac:dyDescent="0.25" r="147" customHeight="1" ht="18.75">
      <c r="A147" s="10" t="s">
        <v>215</v>
      </c>
      <c r="B147" s="11">
        <v>30</v>
      </c>
      <c r="C147" s="3"/>
      <c r="D147" s="3"/>
      <c r="E147" s="5"/>
      <c r="F147" s="3"/>
      <c r="G147" s="3"/>
      <c r="H147" s="5"/>
      <c r="I147" s="5"/>
      <c r="J147" s="5"/>
      <c r="K147" s="5"/>
      <c r="L147" s="6"/>
      <c r="M147" s="6"/>
      <c r="N147" s="7"/>
      <c r="O147" s="3"/>
      <c r="P147" s="3"/>
      <c r="Q147" s="3"/>
      <c r="R147" s="3"/>
    </row>
    <row x14ac:dyDescent="0.25" r="148" customHeight="1" ht="18.75">
      <c r="A148" s="10" t="s">
        <v>216</v>
      </c>
      <c r="B148" s="11">
        <v>30</v>
      </c>
      <c r="C148" s="3"/>
      <c r="D148" s="3"/>
      <c r="E148" s="5"/>
      <c r="F148" s="3"/>
      <c r="G148" s="3"/>
      <c r="H148" s="5"/>
      <c r="I148" s="5"/>
      <c r="J148" s="5"/>
      <c r="K148" s="5"/>
      <c r="L148" s="6"/>
      <c r="M148" s="6"/>
      <c r="N148" s="7"/>
      <c r="O148" s="3"/>
      <c r="P148" s="3"/>
      <c r="Q148" s="3"/>
      <c r="R148" s="3"/>
    </row>
    <row x14ac:dyDescent="0.25" r="149" customHeight="1" ht="18.75">
      <c r="A149" s="10" t="s">
        <v>217</v>
      </c>
      <c r="B149" s="11">
        <v>30</v>
      </c>
      <c r="C149" s="3"/>
      <c r="D149" s="3"/>
      <c r="E149" s="5"/>
      <c r="F149" s="3"/>
      <c r="G149" s="3"/>
      <c r="H149" s="5"/>
      <c r="I149" s="5"/>
      <c r="J149" s="5"/>
      <c r="K149" s="5"/>
      <c r="L149" s="6"/>
      <c r="M149" s="6"/>
      <c r="N149" s="7"/>
      <c r="O149" s="3"/>
      <c r="P149" s="3"/>
      <c r="Q149" s="3"/>
      <c r="R149" s="3"/>
    </row>
    <row x14ac:dyDescent="0.25" r="150" customHeight="1" ht="18.75">
      <c r="A150" s="10" t="s">
        <v>218</v>
      </c>
      <c r="B150" s="11">
        <v>30</v>
      </c>
      <c r="C150" s="3"/>
      <c r="D150" s="3"/>
      <c r="E150" s="5"/>
      <c r="F150" s="3"/>
      <c r="G150" s="3"/>
      <c r="H150" s="5"/>
      <c r="I150" s="5"/>
      <c r="J150" s="5"/>
      <c r="K150" s="5"/>
      <c r="L150" s="6"/>
      <c r="M150" s="6"/>
      <c r="N150" s="7"/>
      <c r="O150" s="3"/>
      <c r="P150" s="3"/>
      <c r="Q150" s="3"/>
      <c r="R150" s="3"/>
    </row>
    <row x14ac:dyDescent="0.25" r="151" customHeight="1" ht="18.75">
      <c r="A151" s="10" t="s">
        <v>219</v>
      </c>
      <c r="B151" s="11">
        <v>30</v>
      </c>
      <c r="C151" s="3"/>
      <c r="D151" s="3"/>
      <c r="E151" s="5"/>
      <c r="F151" s="3"/>
      <c r="G151" s="3"/>
      <c r="H151" s="5"/>
      <c r="I151" s="5"/>
      <c r="J151" s="5"/>
      <c r="K151" s="5"/>
      <c r="L151" s="6"/>
      <c r="M151" s="6"/>
      <c r="N151" s="7"/>
      <c r="O151" s="3"/>
      <c r="P151" s="3"/>
      <c r="Q151" s="3"/>
      <c r="R151" s="3"/>
    </row>
    <row x14ac:dyDescent="0.25" r="152" customHeight="1" ht="18.75">
      <c r="A152" s="10" t="s">
        <v>220</v>
      </c>
      <c r="B152" s="11">
        <v>30</v>
      </c>
      <c r="C152" s="3"/>
      <c r="D152" s="3"/>
      <c r="E152" s="5"/>
      <c r="F152" s="3"/>
      <c r="G152" s="3"/>
      <c r="H152" s="5"/>
      <c r="I152" s="5"/>
      <c r="J152" s="5"/>
      <c r="K152" s="5"/>
      <c r="L152" s="6"/>
      <c r="M152" s="6"/>
      <c r="N152" s="7"/>
      <c r="O152" s="3"/>
      <c r="P152" s="3"/>
      <c r="Q152" s="3"/>
      <c r="R152" s="3"/>
    </row>
    <row x14ac:dyDescent="0.25" r="153" customHeight="1" ht="18.75">
      <c r="A153" s="10" t="s">
        <v>221</v>
      </c>
      <c r="B153" s="11">
        <v>30</v>
      </c>
      <c r="C153" s="3"/>
      <c r="D153" s="3"/>
      <c r="E153" s="5"/>
      <c r="F153" s="3"/>
      <c r="G153" s="3"/>
      <c r="H153" s="5"/>
      <c r="I153" s="5"/>
      <c r="J153" s="5"/>
      <c r="K153" s="5"/>
      <c r="L153" s="6"/>
      <c r="M153" s="6"/>
      <c r="N153" s="7"/>
      <c r="O153" s="3"/>
      <c r="P153" s="3"/>
      <c r="Q153" s="3"/>
      <c r="R153" s="3"/>
    </row>
    <row x14ac:dyDescent="0.25" r="154" customHeight="1" ht="18.75">
      <c r="A154" s="10" t="s">
        <v>222</v>
      </c>
      <c r="B154" s="11">
        <v>30</v>
      </c>
      <c r="C154" s="3"/>
      <c r="D154" s="3"/>
      <c r="E154" s="5"/>
      <c r="F154" s="3"/>
      <c r="G154" s="3"/>
      <c r="H154" s="5"/>
      <c r="I154" s="5"/>
      <c r="J154" s="5"/>
      <c r="K154" s="5"/>
      <c r="L154" s="6"/>
      <c r="M154" s="6"/>
      <c r="N154" s="7"/>
      <c r="O154" s="3"/>
      <c r="P154" s="3"/>
      <c r="Q154" s="3"/>
      <c r="R154" s="3"/>
    </row>
    <row x14ac:dyDescent="0.25" r="155" customHeight="1" ht="18.75">
      <c r="A155" s="10" t="s">
        <v>223</v>
      </c>
      <c r="B155" s="11">
        <v>30</v>
      </c>
      <c r="C155" s="3"/>
      <c r="D155" s="3"/>
      <c r="E155" s="5"/>
      <c r="F155" s="3"/>
      <c r="G155" s="3"/>
      <c r="H155" s="5"/>
      <c r="I155" s="5"/>
      <c r="J155" s="5"/>
      <c r="K155" s="5"/>
      <c r="L155" s="6"/>
      <c r="M155" s="6"/>
      <c r="N155" s="7"/>
      <c r="O155" s="3"/>
      <c r="P155" s="3"/>
      <c r="Q155" s="3"/>
      <c r="R155" s="3"/>
    </row>
    <row x14ac:dyDescent="0.25" r="156" customHeight="1" ht="18.75">
      <c r="A156" s="10" t="s">
        <v>224</v>
      </c>
      <c r="B156" s="11">
        <v>30</v>
      </c>
      <c r="C156" s="3"/>
      <c r="D156" s="3"/>
      <c r="E156" s="5"/>
      <c r="F156" s="3"/>
      <c r="G156" s="3"/>
      <c r="H156" s="5"/>
      <c r="I156" s="5"/>
      <c r="J156" s="5"/>
      <c r="K156" s="5"/>
      <c r="L156" s="6"/>
      <c r="M156" s="6"/>
      <c r="N156" s="7"/>
      <c r="O156" s="3"/>
      <c r="P156" s="3"/>
      <c r="Q156" s="3"/>
      <c r="R156" s="3"/>
    </row>
    <row x14ac:dyDescent="0.25" r="157" customHeight="1" ht="18.75">
      <c r="A157" s="10" t="s">
        <v>225</v>
      </c>
      <c r="B157" s="11">
        <v>30</v>
      </c>
      <c r="C157" s="3"/>
      <c r="D157" s="3"/>
      <c r="E157" s="5"/>
      <c r="F157" s="3"/>
      <c r="G157" s="3"/>
      <c r="H157" s="5"/>
      <c r="I157" s="5"/>
      <c r="J157" s="5"/>
      <c r="K157" s="5"/>
      <c r="L157" s="6"/>
      <c r="M157" s="6"/>
      <c r="N157" s="7"/>
      <c r="O157" s="3"/>
      <c r="P157" s="3"/>
      <c r="Q157" s="3"/>
      <c r="R157" s="3"/>
    </row>
    <row x14ac:dyDescent="0.25" r="158" customHeight="1" ht="18.75">
      <c r="A158" s="10" t="s">
        <v>226</v>
      </c>
      <c r="B158" s="11">
        <v>30</v>
      </c>
      <c r="C158" s="3"/>
      <c r="D158" s="3"/>
      <c r="E158" s="5"/>
      <c r="F158" s="3"/>
      <c r="G158" s="3"/>
      <c r="H158" s="5"/>
      <c r="I158" s="5"/>
      <c r="J158" s="5"/>
      <c r="K158" s="5"/>
      <c r="L158" s="6"/>
      <c r="M158" s="6"/>
      <c r="N158" s="7"/>
      <c r="O158" s="3"/>
      <c r="P158" s="3"/>
      <c r="Q158" s="3"/>
      <c r="R158" s="3"/>
    </row>
    <row x14ac:dyDescent="0.25" r="159" customHeight="1" ht="18.75">
      <c r="A159" s="10" t="s">
        <v>227</v>
      </c>
      <c r="B159" s="11">
        <v>30</v>
      </c>
      <c r="C159" s="3"/>
      <c r="D159" s="3"/>
      <c r="E159" s="5"/>
      <c r="F159" s="3"/>
      <c r="G159" s="3"/>
      <c r="H159" s="5"/>
      <c r="I159" s="5"/>
      <c r="J159" s="5"/>
      <c r="K159" s="5"/>
      <c r="L159" s="6"/>
      <c r="M159" s="6"/>
      <c r="N159" s="7"/>
      <c r="O159" s="3"/>
      <c r="P159" s="3"/>
      <c r="Q159" s="3"/>
      <c r="R159" s="3"/>
    </row>
    <row x14ac:dyDescent="0.25" r="160" customHeight="1" ht="18.75">
      <c r="A160" s="10" t="s">
        <v>228</v>
      </c>
      <c r="B160" s="11">
        <v>30</v>
      </c>
      <c r="C160" s="3"/>
      <c r="D160" s="3"/>
      <c r="E160" s="5"/>
      <c r="F160" s="3"/>
      <c r="G160" s="3"/>
      <c r="H160" s="5"/>
      <c r="I160" s="5"/>
      <c r="J160" s="5"/>
      <c r="K160" s="5"/>
      <c r="L160" s="6"/>
      <c r="M160" s="6"/>
      <c r="N160" s="7"/>
      <c r="O160" s="3"/>
      <c r="P160" s="3"/>
      <c r="Q160" s="3"/>
      <c r="R160" s="3"/>
    </row>
    <row x14ac:dyDescent="0.25" r="161" customHeight="1" ht="18.75">
      <c r="A161" s="10" t="s">
        <v>229</v>
      </c>
      <c r="B161" s="11">
        <v>30</v>
      </c>
      <c r="C161" s="3"/>
      <c r="D161" s="3"/>
      <c r="E161" s="5"/>
      <c r="F161" s="3"/>
      <c r="G161" s="3"/>
      <c r="H161" s="5"/>
      <c r="I161" s="5"/>
      <c r="J161" s="5"/>
      <c r="K161" s="5"/>
      <c r="L161" s="6"/>
      <c r="M161" s="6"/>
      <c r="N161" s="7"/>
      <c r="O161" s="3"/>
      <c r="P161" s="3"/>
      <c r="Q161" s="3"/>
      <c r="R161" s="3"/>
    </row>
    <row x14ac:dyDescent="0.25" r="162" customHeight="1" ht="18.75">
      <c r="A162" s="10" t="s">
        <v>230</v>
      </c>
      <c r="B162" s="11">
        <v>30</v>
      </c>
      <c r="C162" s="3"/>
      <c r="D162" s="3"/>
      <c r="E162" s="5"/>
      <c r="F162" s="3"/>
      <c r="G162" s="3"/>
      <c r="H162" s="5"/>
      <c r="I162" s="5"/>
      <c r="J162" s="5"/>
      <c r="K162" s="5"/>
      <c r="L162" s="6"/>
      <c r="M162" s="6"/>
      <c r="N162" s="7"/>
      <c r="O162" s="3"/>
      <c r="P162" s="3"/>
      <c r="Q162" s="3"/>
      <c r="R162" s="3"/>
    </row>
    <row x14ac:dyDescent="0.25" r="163" customHeight="1" ht="18.75">
      <c r="A163" s="10" t="s">
        <v>231</v>
      </c>
      <c r="B163" s="11">
        <v>30</v>
      </c>
      <c r="C163" s="3"/>
      <c r="D163" s="3"/>
      <c r="E163" s="5"/>
      <c r="F163" s="3"/>
      <c r="G163" s="3"/>
      <c r="H163" s="5"/>
      <c r="I163" s="5"/>
      <c r="J163" s="5"/>
      <c r="K163" s="5"/>
      <c r="L163" s="6"/>
      <c r="M163" s="6"/>
      <c r="N163" s="7"/>
      <c r="O163" s="3"/>
      <c r="P163" s="3"/>
      <c r="Q163" s="3"/>
      <c r="R163" s="3"/>
    </row>
    <row x14ac:dyDescent="0.25" r="164" customHeight="1" ht="18.75">
      <c r="A164" s="10" t="s">
        <v>232</v>
      </c>
      <c r="B164" s="11">
        <v>30</v>
      </c>
      <c r="C164" s="3"/>
      <c r="D164" s="3"/>
      <c r="E164" s="5"/>
      <c r="F164" s="3"/>
      <c r="G164" s="3"/>
      <c r="H164" s="5"/>
      <c r="I164" s="5"/>
      <c r="J164" s="5"/>
      <c r="K164" s="5"/>
      <c r="L164" s="6"/>
      <c r="M164" s="6"/>
      <c r="N164" s="7"/>
      <c r="O164" s="3"/>
      <c r="P164" s="3"/>
      <c r="Q164" s="3"/>
      <c r="R164" s="3"/>
    </row>
    <row x14ac:dyDescent="0.25" r="165" customHeight="1" ht="18.75">
      <c r="A165" s="10" t="s">
        <v>233</v>
      </c>
      <c r="B165" s="11">
        <v>30</v>
      </c>
      <c r="C165" s="3"/>
      <c r="D165" s="3"/>
      <c r="E165" s="5"/>
      <c r="F165" s="3"/>
      <c r="G165" s="3"/>
      <c r="H165" s="5"/>
      <c r="I165" s="5"/>
      <c r="J165" s="5"/>
      <c r="K165" s="5"/>
      <c r="L165" s="6"/>
      <c r="M165" s="6"/>
      <c r="N165" s="7"/>
      <c r="O165" s="3"/>
      <c r="P165" s="3"/>
      <c r="Q165" s="3"/>
      <c r="R165" s="3"/>
    </row>
    <row x14ac:dyDescent="0.25" r="166" customHeight="1" ht="18.75">
      <c r="A166" s="10" t="s">
        <v>234</v>
      </c>
      <c r="B166" s="11">
        <v>30</v>
      </c>
      <c r="C166" s="3"/>
      <c r="D166" s="3"/>
      <c r="E166" s="5"/>
      <c r="F166" s="3"/>
      <c r="G166" s="3"/>
      <c r="H166" s="5"/>
      <c r="I166" s="5"/>
      <c r="J166" s="5"/>
      <c r="K166" s="5"/>
      <c r="L166" s="6"/>
      <c r="M166" s="6"/>
      <c r="N166" s="7"/>
      <c r="O166" s="3"/>
      <c r="P166" s="3"/>
      <c r="Q166" s="3"/>
      <c r="R166" s="3"/>
    </row>
    <row x14ac:dyDescent="0.25" r="167" customHeight="1" ht="18.75">
      <c r="A167" s="10" t="s">
        <v>235</v>
      </c>
      <c r="B167" s="11">
        <v>30</v>
      </c>
      <c r="C167" s="3"/>
      <c r="D167" s="3"/>
      <c r="E167" s="5"/>
      <c r="F167" s="3"/>
      <c r="G167" s="3"/>
      <c r="H167" s="5"/>
      <c r="I167" s="5"/>
      <c r="J167" s="5"/>
      <c r="K167" s="5"/>
      <c r="L167" s="6"/>
      <c r="M167" s="6"/>
      <c r="N167" s="7"/>
      <c r="O167" s="3"/>
      <c r="P167" s="3"/>
      <c r="Q167" s="3"/>
      <c r="R167" s="3"/>
    </row>
    <row x14ac:dyDescent="0.25" r="168" customHeight="1" ht="18.75">
      <c r="A168" s="10" t="s">
        <v>236</v>
      </c>
      <c r="B168" s="11">
        <v>30</v>
      </c>
      <c r="C168" s="3"/>
      <c r="D168" s="3"/>
      <c r="E168" s="5"/>
      <c r="F168" s="3"/>
      <c r="G168" s="3"/>
      <c r="H168" s="5"/>
      <c r="I168" s="5"/>
      <c r="J168" s="5"/>
      <c r="K168" s="5"/>
      <c r="L168" s="6"/>
      <c r="M168" s="6"/>
      <c r="N168" s="7"/>
      <c r="O168" s="3"/>
      <c r="P168" s="3"/>
      <c r="Q168" s="3"/>
      <c r="R168" s="3"/>
    </row>
    <row x14ac:dyDescent="0.25" r="169" customHeight="1" ht="18.75">
      <c r="A169" s="10" t="s">
        <v>237</v>
      </c>
      <c r="B169" s="11">
        <v>30</v>
      </c>
      <c r="C169" s="3"/>
      <c r="D169" s="3"/>
      <c r="E169" s="5"/>
      <c r="F169" s="3"/>
      <c r="G169" s="3"/>
      <c r="H169" s="5"/>
      <c r="I169" s="5"/>
      <c r="J169" s="5"/>
      <c r="K169" s="5"/>
      <c r="L169" s="6"/>
      <c r="M169" s="6"/>
      <c r="N169" s="7"/>
      <c r="O169" s="3"/>
      <c r="P169" s="3"/>
      <c r="Q169" s="3"/>
      <c r="R169" s="3"/>
    </row>
    <row x14ac:dyDescent="0.25" r="170" customHeight="1" ht="18.75">
      <c r="A170" s="10" t="s">
        <v>238</v>
      </c>
      <c r="B170" s="11">
        <v>30</v>
      </c>
      <c r="C170" s="3"/>
      <c r="D170" s="3"/>
      <c r="E170" s="5"/>
      <c r="F170" s="3"/>
      <c r="G170" s="3"/>
      <c r="H170" s="5"/>
      <c r="I170" s="5"/>
      <c r="J170" s="5"/>
      <c r="K170" s="5"/>
      <c r="L170" s="6"/>
      <c r="M170" s="6"/>
      <c r="N170" s="7"/>
      <c r="O170" s="3"/>
      <c r="P170" s="3"/>
      <c r="Q170" s="3"/>
      <c r="R170" s="3"/>
    </row>
    <row x14ac:dyDescent="0.25" r="171" customHeight="1" ht="18.75">
      <c r="A171" s="10" t="s">
        <v>239</v>
      </c>
      <c r="B171" s="11">
        <v>30</v>
      </c>
      <c r="C171" s="3"/>
      <c r="D171" s="3"/>
      <c r="E171" s="5"/>
      <c r="F171" s="3"/>
      <c r="G171" s="3"/>
      <c r="H171" s="5"/>
      <c r="I171" s="5"/>
      <c r="J171" s="5"/>
      <c r="K171" s="5"/>
      <c r="L171" s="6"/>
      <c r="M171" s="6"/>
      <c r="N171" s="7"/>
      <c r="O171" s="3"/>
      <c r="P171" s="3"/>
      <c r="Q171" s="3"/>
      <c r="R171" s="3"/>
    </row>
    <row x14ac:dyDescent="0.25" r="172" customHeight="1" ht="18.75">
      <c r="A172" s="10" t="s">
        <v>240</v>
      </c>
      <c r="B172" s="11">
        <v>30</v>
      </c>
      <c r="C172" s="3"/>
      <c r="D172" s="3"/>
      <c r="E172" s="5"/>
      <c r="F172" s="3"/>
      <c r="G172" s="3"/>
      <c r="H172" s="5"/>
      <c r="I172" s="5"/>
      <c r="J172" s="5"/>
      <c r="K172" s="5"/>
      <c r="L172" s="6"/>
      <c r="M172" s="6"/>
      <c r="N172" s="7"/>
      <c r="O172" s="3"/>
      <c r="P172" s="3"/>
      <c r="Q172" s="3"/>
      <c r="R172" s="3"/>
    </row>
    <row x14ac:dyDescent="0.25" r="173" customHeight="1" ht="18.75">
      <c r="A173" s="10" t="s">
        <v>241</v>
      </c>
      <c r="B173" s="11">
        <v>31</v>
      </c>
      <c r="C173" s="3"/>
      <c r="D173" s="3"/>
      <c r="E173" s="5"/>
      <c r="F173" s="3"/>
      <c r="G173" s="3"/>
      <c r="H173" s="5"/>
      <c r="I173" s="5"/>
      <c r="J173" s="5"/>
      <c r="K173" s="5"/>
      <c r="L173" s="6"/>
      <c r="M173" s="6"/>
      <c r="N173" s="7"/>
      <c r="O173" s="3"/>
      <c r="P173" s="3"/>
      <c r="Q173" s="3"/>
      <c r="R173" s="3"/>
    </row>
    <row x14ac:dyDescent="0.25" r="174" customHeight="1" ht="18.75">
      <c r="A174" s="10" t="s">
        <v>242</v>
      </c>
      <c r="B174" s="11">
        <v>31</v>
      </c>
      <c r="C174" s="3"/>
      <c r="D174" s="3"/>
      <c r="E174" s="5"/>
      <c r="F174" s="3"/>
      <c r="G174" s="3"/>
      <c r="H174" s="5"/>
      <c r="I174" s="5"/>
      <c r="J174" s="5"/>
      <c r="K174" s="5"/>
      <c r="L174" s="6"/>
      <c r="M174" s="6"/>
      <c r="N174" s="7"/>
      <c r="O174" s="3"/>
      <c r="P174" s="3"/>
      <c r="Q174" s="3"/>
      <c r="R174" s="3"/>
    </row>
    <row x14ac:dyDescent="0.25" r="175" customHeight="1" ht="18.75">
      <c r="A175" s="10" t="s">
        <v>243</v>
      </c>
      <c r="B175" s="11">
        <v>31</v>
      </c>
      <c r="C175" s="3"/>
      <c r="D175" s="3"/>
      <c r="E175" s="5"/>
      <c r="F175" s="3"/>
      <c r="G175" s="3"/>
      <c r="H175" s="5"/>
      <c r="I175" s="5"/>
      <c r="J175" s="5"/>
      <c r="K175" s="5"/>
      <c r="L175" s="6"/>
      <c r="M175" s="6"/>
      <c r="N175" s="7"/>
      <c r="O175" s="3"/>
      <c r="P175" s="3"/>
      <c r="Q175" s="3"/>
      <c r="R175" s="3"/>
    </row>
    <row x14ac:dyDescent="0.25" r="176" customHeight="1" ht="18.75">
      <c r="A176" s="10" t="s">
        <v>244</v>
      </c>
      <c r="B176" s="11">
        <v>31</v>
      </c>
      <c r="C176" s="3"/>
      <c r="D176" s="3"/>
      <c r="E176" s="5"/>
      <c r="F176" s="3"/>
      <c r="G176" s="3"/>
      <c r="H176" s="5"/>
      <c r="I176" s="5"/>
      <c r="J176" s="5"/>
      <c r="K176" s="5"/>
      <c r="L176" s="6"/>
      <c r="M176" s="6"/>
      <c r="N176" s="7"/>
      <c r="O176" s="3"/>
      <c r="P176" s="3"/>
      <c r="Q176" s="3"/>
      <c r="R176" s="3"/>
    </row>
    <row x14ac:dyDescent="0.25" r="177" customHeight="1" ht="18.75">
      <c r="A177" s="10" t="s">
        <v>245</v>
      </c>
      <c r="B177" s="11">
        <v>31</v>
      </c>
      <c r="C177" s="3"/>
      <c r="D177" s="3"/>
      <c r="E177" s="5"/>
      <c r="F177" s="3"/>
      <c r="G177" s="3"/>
      <c r="H177" s="5"/>
      <c r="I177" s="5"/>
      <c r="J177" s="5"/>
      <c r="K177" s="5"/>
      <c r="L177" s="6"/>
      <c r="M177" s="6"/>
      <c r="N177" s="7"/>
      <c r="O177" s="3"/>
      <c r="P177" s="3"/>
      <c r="Q177" s="3"/>
      <c r="R177" s="3"/>
    </row>
    <row x14ac:dyDescent="0.25" r="178" customHeight="1" ht="18.75">
      <c r="A178" s="10" t="s">
        <v>246</v>
      </c>
      <c r="B178" s="11">
        <v>31</v>
      </c>
      <c r="C178" s="3"/>
      <c r="D178" s="3"/>
      <c r="E178" s="5"/>
      <c r="F178" s="3"/>
      <c r="G178" s="3"/>
      <c r="H178" s="5"/>
      <c r="I178" s="5"/>
      <c r="J178" s="5"/>
      <c r="K178" s="5"/>
      <c r="L178" s="6"/>
      <c r="M178" s="6"/>
      <c r="N178" s="7"/>
      <c r="O178" s="3"/>
      <c r="P178" s="3"/>
      <c r="Q178" s="3"/>
      <c r="R178" s="3"/>
    </row>
    <row x14ac:dyDescent="0.25" r="179" customHeight="1" ht="18.75">
      <c r="A179" s="10" t="s">
        <v>247</v>
      </c>
      <c r="B179" s="11">
        <v>31</v>
      </c>
      <c r="C179" s="3"/>
      <c r="D179" s="3"/>
      <c r="E179" s="5"/>
      <c r="F179" s="3"/>
      <c r="G179" s="3"/>
      <c r="H179" s="5"/>
      <c r="I179" s="5"/>
      <c r="J179" s="5"/>
      <c r="K179" s="5"/>
      <c r="L179" s="6"/>
      <c r="M179" s="6"/>
      <c r="N179" s="7"/>
      <c r="O179" s="3"/>
      <c r="P179" s="3"/>
      <c r="Q179" s="3"/>
      <c r="R179" s="3"/>
    </row>
    <row x14ac:dyDescent="0.25" r="180" customHeight="1" ht="18.75">
      <c r="A180" s="10" t="s">
        <v>248</v>
      </c>
      <c r="B180" s="11">
        <v>31</v>
      </c>
      <c r="C180" s="3"/>
      <c r="D180" s="3"/>
      <c r="E180" s="5"/>
      <c r="F180" s="3"/>
      <c r="G180" s="3"/>
      <c r="H180" s="5"/>
      <c r="I180" s="5"/>
      <c r="J180" s="5"/>
      <c r="K180" s="5"/>
      <c r="L180" s="6"/>
      <c r="M180" s="6"/>
      <c r="N180" s="7"/>
      <c r="O180" s="3"/>
      <c r="P180" s="3"/>
      <c r="Q180" s="3"/>
      <c r="R180" s="3"/>
    </row>
    <row x14ac:dyDescent="0.25" r="181" customHeight="1" ht="18.75">
      <c r="A181" s="10" t="s">
        <v>249</v>
      </c>
      <c r="B181" s="11">
        <v>31</v>
      </c>
      <c r="C181" s="3"/>
      <c r="D181" s="3"/>
      <c r="E181" s="5"/>
      <c r="F181" s="3"/>
      <c r="G181" s="3"/>
      <c r="H181" s="5"/>
      <c r="I181" s="5"/>
      <c r="J181" s="5"/>
      <c r="K181" s="5"/>
      <c r="L181" s="6"/>
      <c r="M181" s="6"/>
      <c r="N181" s="7"/>
      <c r="O181" s="3"/>
      <c r="P181" s="3"/>
      <c r="Q181" s="3"/>
      <c r="R181" s="3"/>
    </row>
    <row x14ac:dyDescent="0.25" r="182" customHeight="1" ht="18.75">
      <c r="A182" s="10" t="s">
        <v>250</v>
      </c>
      <c r="B182" s="11">
        <v>31</v>
      </c>
      <c r="C182" s="3"/>
      <c r="D182" s="3"/>
      <c r="E182" s="5"/>
      <c r="F182" s="3"/>
      <c r="G182" s="3"/>
      <c r="H182" s="5"/>
      <c r="I182" s="5"/>
      <c r="J182" s="5"/>
      <c r="K182" s="5"/>
      <c r="L182" s="6"/>
      <c r="M182" s="6"/>
      <c r="N182" s="7"/>
      <c r="O182" s="3"/>
      <c r="P182" s="3"/>
      <c r="Q182" s="3"/>
      <c r="R182" s="3"/>
    </row>
    <row x14ac:dyDescent="0.25" r="183" customHeight="1" ht="18.75">
      <c r="A183" s="10" t="s">
        <v>251</v>
      </c>
      <c r="B183" s="11">
        <v>31</v>
      </c>
      <c r="C183" s="3"/>
      <c r="D183" s="3"/>
      <c r="E183" s="5"/>
      <c r="F183" s="3"/>
      <c r="G183" s="3"/>
      <c r="H183" s="5"/>
      <c r="I183" s="5"/>
      <c r="J183" s="5"/>
      <c r="K183" s="5"/>
      <c r="L183" s="6"/>
      <c r="M183" s="6"/>
      <c r="N183" s="7"/>
      <c r="O183" s="3"/>
      <c r="P183" s="3"/>
      <c r="Q183" s="3"/>
      <c r="R183" s="3"/>
    </row>
    <row x14ac:dyDescent="0.25" r="184" customHeight="1" ht="18.75">
      <c r="A184" s="10" t="s">
        <v>252</v>
      </c>
      <c r="B184" s="11">
        <v>31</v>
      </c>
      <c r="C184" s="3"/>
      <c r="D184" s="3"/>
      <c r="E184" s="5"/>
      <c r="F184" s="3"/>
      <c r="G184" s="3"/>
      <c r="H184" s="5"/>
      <c r="I184" s="5"/>
      <c r="J184" s="5"/>
      <c r="K184" s="5"/>
      <c r="L184" s="6"/>
      <c r="M184" s="6"/>
      <c r="N184" s="7"/>
      <c r="O184" s="3"/>
      <c r="P184" s="3"/>
      <c r="Q184" s="3"/>
      <c r="R184" s="3"/>
    </row>
    <row x14ac:dyDescent="0.25" r="185" customHeight="1" ht="18.75">
      <c r="A185" s="10" t="s">
        <v>253</v>
      </c>
      <c r="B185" s="11">
        <v>31</v>
      </c>
      <c r="C185" s="3"/>
      <c r="D185" s="3"/>
      <c r="E185" s="5"/>
      <c r="F185" s="3"/>
      <c r="G185" s="3"/>
      <c r="H185" s="5"/>
      <c r="I185" s="5"/>
      <c r="J185" s="5"/>
      <c r="K185" s="5"/>
      <c r="L185" s="6"/>
      <c r="M185" s="6"/>
      <c r="N185" s="7"/>
      <c r="O185" s="3"/>
      <c r="P185" s="3"/>
      <c r="Q185" s="3"/>
      <c r="R185" s="3"/>
    </row>
    <row x14ac:dyDescent="0.25" r="186" customHeight="1" ht="18.75">
      <c r="A186" s="10" t="s">
        <v>254</v>
      </c>
      <c r="B186" s="11">
        <v>31</v>
      </c>
      <c r="C186" s="3"/>
      <c r="D186" s="3"/>
      <c r="E186" s="5"/>
      <c r="F186" s="3"/>
      <c r="G186" s="3"/>
      <c r="H186" s="5"/>
      <c r="I186" s="5"/>
      <c r="J186" s="5"/>
      <c r="K186" s="5"/>
      <c r="L186" s="6"/>
      <c r="M186" s="6"/>
      <c r="N186" s="7"/>
      <c r="O186" s="3"/>
      <c r="P186" s="3"/>
      <c r="Q186" s="3"/>
      <c r="R186" s="3"/>
    </row>
    <row x14ac:dyDescent="0.25" r="187" customHeight="1" ht="18.75">
      <c r="A187" s="10" t="s">
        <v>255</v>
      </c>
      <c r="B187" s="11">
        <v>31</v>
      </c>
      <c r="C187" s="3"/>
      <c r="D187" s="3"/>
      <c r="E187" s="5"/>
      <c r="F187" s="3"/>
      <c r="G187" s="3"/>
      <c r="H187" s="5"/>
      <c r="I187" s="5"/>
      <c r="J187" s="5"/>
      <c r="K187" s="5"/>
      <c r="L187" s="6"/>
      <c r="M187" s="6"/>
      <c r="N187" s="7"/>
      <c r="O187" s="3"/>
      <c r="P187" s="3"/>
      <c r="Q187" s="3"/>
      <c r="R187" s="3"/>
    </row>
    <row x14ac:dyDescent="0.25" r="188" customHeight="1" ht="18.75">
      <c r="A188" s="10" t="s">
        <v>256</v>
      </c>
      <c r="B188" s="11">
        <v>31</v>
      </c>
      <c r="C188" s="3"/>
      <c r="D188" s="3"/>
      <c r="E188" s="5"/>
      <c r="F188" s="3"/>
      <c r="G188" s="3"/>
      <c r="H188" s="5"/>
      <c r="I188" s="5"/>
      <c r="J188" s="5"/>
      <c r="K188" s="5"/>
      <c r="L188" s="6"/>
      <c r="M188" s="6"/>
      <c r="N188" s="7"/>
      <c r="O188" s="3"/>
      <c r="P188" s="3"/>
      <c r="Q188" s="3"/>
      <c r="R188" s="3"/>
    </row>
    <row x14ac:dyDescent="0.25" r="189" customHeight="1" ht="18.75">
      <c r="A189" s="10" t="s">
        <v>257</v>
      </c>
      <c r="B189" s="11">
        <v>31</v>
      </c>
      <c r="C189" s="3"/>
      <c r="D189" s="3"/>
      <c r="E189" s="5"/>
      <c r="F189" s="3"/>
      <c r="G189" s="3"/>
      <c r="H189" s="5"/>
      <c r="I189" s="5"/>
      <c r="J189" s="5"/>
      <c r="K189" s="5"/>
      <c r="L189" s="6"/>
      <c r="M189" s="6"/>
      <c r="N189" s="7"/>
      <c r="O189" s="3"/>
      <c r="P189" s="3"/>
      <c r="Q189" s="3"/>
      <c r="R189" s="3"/>
    </row>
    <row x14ac:dyDescent="0.25" r="190" customHeight="1" ht="18.75">
      <c r="A190" s="10" t="s">
        <v>258</v>
      </c>
      <c r="B190" s="11">
        <v>31</v>
      </c>
      <c r="C190" s="3"/>
      <c r="D190" s="3"/>
      <c r="E190" s="5"/>
      <c r="F190" s="3"/>
      <c r="G190" s="3"/>
      <c r="H190" s="5"/>
      <c r="I190" s="5"/>
      <c r="J190" s="5"/>
      <c r="K190" s="5"/>
      <c r="L190" s="6"/>
      <c r="M190" s="6"/>
      <c r="N190" s="7"/>
      <c r="O190" s="3"/>
      <c r="P190" s="3"/>
      <c r="Q190" s="3"/>
      <c r="R190" s="3"/>
    </row>
    <row x14ac:dyDescent="0.25" r="191" customHeight="1" ht="18.75">
      <c r="A191" s="10" t="s">
        <v>259</v>
      </c>
      <c r="B191" s="11">
        <v>31</v>
      </c>
      <c r="C191" s="3"/>
      <c r="D191" s="3"/>
      <c r="E191" s="5"/>
      <c r="F191" s="3"/>
      <c r="G191" s="3"/>
      <c r="H191" s="5"/>
      <c r="I191" s="5"/>
      <c r="J191" s="5"/>
      <c r="K191" s="5"/>
      <c r="L191" s="6"/>
      <c r="M191" s="6"/>
      <c r="N191" s="7"/>
      <c r="O191" s="3"/>
      <c r="P191" s="3"/>
      <c r="Q191" s="3"/>
      <c r="R191" s="3"/>
    </row>
    <row x14ac:dyDescent="0.25" r="192" customHeight="1" ht="18.75">
      <c r="A192" s="10" t="s">
        <v>260</v>
      </c>
      <c r="B192" s="11">
        <v>31</v>
      </c>
      <c r="C192" s="3"/>
      <c r="D192" s="3"/>
      <c r="E192" s="5"/>
      <c r="F192" s="3"/>
      <c r="G192" s="3"/>
      <c r="H192" s="5"/>
      <c r="I192" s="5"/>
      <c r="J192" s="5"/>
      <c r="K192" s="5"/>
      <c r="L192" s="6"/>
      <c r="M192" s="6"/>
      <c r="N192" s="7"/>
      <c r="O192" s="3"/>
      <c r="P192" s="3"/>
      <c r="Q192" s="3"/>
      <c r="R192" s="3"/>
    </row>
    <row x14ac:dyDescent="0.25" r="193" customHeight="1" ht="18.75">
      <c r="A193" s="10" t="s">
        <v>261</v>
      </c>
      <c r="B193" s="11">
        <v>31</v>
      </c>
      <c r="C193" s="3"/>
      <c r="D193" s="3"/>
      <c r="E193" s="5"/>
      <c r="F193" s="3"/>
      <c r="G193" s="3"/>
      <c r="H193" s="5"/>
      <c r="I193" s="5"/>
      <c r="J193" s="5"/>
      <c r="K193" s="5"/>
      <c r="L193" s="6"/>
      <c r="M193" s="6"/>
      <c r="N193" s="7"/>
      <c r="O193" s="3"/>
      <c r="P193" s="3"/>
      <c r="Q193" s="3"/>
      <c r="R193" s="3"/>
    </row>
    <row x14ac:dyDescent="0.25" r="194" customHeight="1" ht="18.75">
      <c r="A194" s="10" t="s">
        <v>262</v>
      </c>
      <c r="B194" s="11">
        <v>31</v>
      </c>
      <c r="C194" s="3"/>
      <c r="D194" s="3"/>
      <c r="E194" s="5"/>
      <c r="F194" s="3"/>
      <c r="G194" s="3"/>
      <c r="H194" s="5"/>
      <c r="I194" s="5"/>
      <c r="J194" s="5"/>
      <c r="K194" s="5"/>
      <c r="L194" s="6"/>
      <c r="M194" s="6"/>
      <c r="N194" s="7"/>
      <c r="O194" s="3"/>
      <c r="P194" s="3"/>
      <c r="Q194" s="3"/>
      <c r="R194" s="3"/>
    </row>
    <row x14ac:dyDescent="0.25" r="195" customHeight="1" ht="18.75">
      <c r="A195" s="10" t="s">
        <v>263</v>
      </c>
      <c r="B195" s="11">
        <v>31</v>
      </c>
      <c r="C195" s="3"/>
      <c r="D195" s="3"/>
      <c r="E195" s="5"/>
      <c r="F195" s="3"/>
      <c r="G195" s="3"/>
      <c r="H195" s="5"/>
      <c r="I195" s="5"/>
      <c r="J195" s="5"/>
      <c r="K195" s="5"/>
      <c r="L195" s="6"/>
      <c r="M195" s="6"/>
      <c r="N195" s="7"/>
      <c r="O195" s="3"/>
      <c r="P195" s="3"/>
      <c r="Q195" s="3"/>
      <c r="R195" s="3"/>
    </row>
    <row x14ac:dyDescent="0.25" r="196" customHeight="1" ht="18.75">
      <c r="A196" s="10" t="s">
        <v>264</v>
      </c>
      <c r="B196" s="11">
        <v>31</v>
      </c>
      <c r="C196" s="3"/>
      <c r="D196" s="3"/>
      <c r="E196" s="5"/>
      <c r="F196" s="3"/>
      <c r="G196" s="3"/>
      <c r="H196" s="5"/>
      <c r="I196" s="5"/>
      <c r="J196" s="5"/>
      <c r="K196" s="5"/>
      <c r="L196" s="6"/>
      <c r="M196" s="6"/>
      <c r="N196" s="7"/>
      <c r="O196" s="3"/>
      <c r="P196" s="3"/>
      <c r="Q196" s="3"/>
      <c r="R196" s="3"/>
    </row>
    <row x14ac:dyDescent="0.25" r="197" customHeight="1" ht="18.75">
      <c r="A197" s="10" t="s">
        <v>265</v>
      </c>
      <c r="B197" s="11">
        <v>31</v>
      </c>
      <c r="C197" s="3"/>
      <c r="D197" s="3"/>
      <c r="E197" s="5"/>
      <c r="F197" s="3"/>
      <c r="G197" s="3"/>
      <c r="H197" s="5"/>
      <c r="I197" s="5"/>
      <c r="J197" s="5"/>
      <c r="K197" s="5"/>
      <c r="L197" s="6"/>
      <c r="M197" s="6"/>
      <c r="N197" s="7"/>
      <c r="O197" s="3"/>
      <c r="P197" s="3"/>
      <c r="Q197" s="3"/>
      <c r="R197" s="3"/>
    </row>
    <row x14ac:dyDescent="0.25" r="198" customHeight="1" ht="18.75">
      <c r="A198" s="10" t="s">
        <v>266</v>
      </c>
      <c r="B198" s="11">
        <v>32</v>
      </c>
      <c r="C198" s="3"/>
      <c r="D198" s="3"/>
      <c r="E198" s="5"/>
      <c r="F198" s="3"/>
      <c r="G198" s="3"/>
      <c r="H198" s="5"/>
      <c r="I198" s="5"/>
      <c r="J198" s="5"/>
      <c r="K198" s="5"/>
      <c r="L198" s="6"/>
      <c r="M198" s="6"/>
      <c r="N198" s="7"/>
      <c r="O198" s="3"/>
      <c r="P198" s="3"/>
      <c r="Q198" s="3"/>
      <c r="R198" s="3"/>
    </row>
    <row x14ac:dyDescent="0.25" r="199" customHeight="1" ht="18.75">
      <c r="A199" s="10" t="s">
        <v>267</v>
      </c>
      <c r="B199" s="11">
        <v>32</v>
      </c>
      <c r="C199" s="3"/>
      <c r="D199" s="3"/>
      <c r="E199" s="5"/>
      <c r="F199" s="3"/>
      <c r="G199" s="3"/>
      <c r="H199" s="5"/>
      <c r="I199" s="5"/>
      <c r="J199" s="5"/>
      <c r="K199" s="5"/>
      <c r="L199" s="6"/>
      <c r="M199" s="6"/>
      <c r="N199" s="7"/>
      <c r="O199" s="3"/>
      <c r="P199" s="3"/>
      <c r="Q199" s="3"/>
      <c r="R199" s="3"/>
    </row>
    <row x14ac:dyDescent="0.25" r="200" customHeight="1" ht="18.75">
      <c r="A200" s="10" t="s">
        <v>268</v>
      </c>
      <c r="B200" s="11">
        <v>32</v>
      </c>
      <c r="C200" s="3"/>
      <c r="D200" s="3"/>
      <c r="E200" s="5"/>
      <c r="F200" s="3"/>
      <c r="G200" s="3"/>
      <c r="H200" s="5"/>
      <c r="I200" s="5"/>
      <c r="J200" s="5"/>
      <c r="K200" s="5"/>
      <c r="L200" s="6"/>
      <c r="M200" s="6"/>
      <c r="N200" s="7"/>
      <c r="O200" s="3"/>
      <c r="P200" s="3"/>
      <c r="Q200" s="3"/>
      <c r="R200" s="3"/>
    </row>
    <row x14ac:dyDescent="0.25" r="201" customHeight="1" ht="18.75">
      <c r="A201" s="10" t="s">
        <v>269</v>
      </c>
      <c r="B201" s="11">
        <v>32</v>
      </c>
      <c r="C201" s="3"/>
      <c r="D201" s="3"/>
      <c r="E201" s="5"/>
      <c r="F201" s="3"/>
      <c r="G201" s="3"/>
      <c r="H201" s="5"/>
      <c r="I201" s="5"/>
      <c r="J201" s="5"/>
      <c r="K201" s="5"/>
      <c r="L201" s="6"/>
      <c r="M201" s="6"/>
      <c r="N201" s="7"/>
      <c r="O201" s="3"/>
      <c r="P201" s="3"/>
      <c r="Q201" s="3"/>
      <c r="R201" s="3"/>
    </row>
    <row x14ac:dyDescent="0.25" r="202" customHeight="1" ht="18.75">
      <c r="A202" s="10" t="s">
        <v>270</v>
      </c>
      <c r="B202" s="11">
        <v>32</v>
      </c>
      <c r="C202" s="3"/>
      <c r="D202" s="3"/>
      <c r="E202" s="5"/>
      <c r="F202" s="3"/>
      <c r="G202" s="3"/>
      <c r="H202" s="5"/>
      <c r="I202" s="5"/>
      <c r="J202" s="5"/>
      <c r="K202" s="5"/>
      <c r="L202" s="6"/>
      <c r="M202" s="6"/>
      <c r="N202" s="7"/>
      <c r="O202" s="3"/>
      <c r="P202" s="3"/>
      <c r="Q202" s="3"/>
      <c r="R202" s="3"/>
    </row>
    <row x14ac:dyDescent="0.25" r="203" customHeight="1" ht="18.75">
      <c r="A203" s="10" t="s">
        <v>271</v>
      </c>
      <c r="B203" s="11">
        <v>32</v>
      </c>
      <c r="C203" s="3"/>
      <c r="D203" s="3"/>
      <c r="E203" s="5"/>
      <c r="F203" s="3"/>
      <c r="G203" s="3"/>
      <c r="H203" s="5"/>
      <c r="I203" s="5"/>
      <c r="J203" s="5"/>
      <c r="K203" s="5"/>
      <c r="L203" s="6"/>
      <c r="M203" s="6"/>
      <c r="N203" s="7"/>
      <c r="O203" s="3"/>
      <c r="P203" s="3"/>
      <c r="Q203" s="3"/>
      <c r="R203" s="3"/>
    </row>
    <row x14ac:dyDescent="0.25" r="204" customHeight="1" ht="18.75">
      <c r="A204" s="10" t="s">
        <v>272</v>
      </c>
      <c r="B204" s="11">
        <v>32</v>
      </c>
      <c r="C204" s="3"/>
      <c r="D204" s="3"/>
      <c r="E204" s="5"/>
      <c r="F204" s="3"/>
      <c r="G204" s="3"/>
      <c r="H204" s="5"/>
      <c r="I204" s="5"/>
      <c r="J204" s="5"/>
      <c r="K204" s="5"/>
      <c r="L204" s="6"/>
      <c r="M204" s="6"/>
      <c r="N204" s="7"/>
      <c r="O204" s="3"/>
      <c r="P204" s="3"/>
      <c r="Q204" s="3"/>
      <c r="R204" s="3"/>
    </row>
    <row x14ac:dyDescent="0.25" r="205" customHeight="1" ht="18.75">
      <c r="A205" s="10" t="s">
        <v>273</v>
      </c>
      <c r="B205" s="11">
        <v>32</v>
      </c>
      <c r="C205" s="3"/>
      <c r="D205" s="3"/>
      <c r="E205" s="5"/>
      <c r="F205" s="3"/>
      <c r="G205" s="3"/>
      <c r="H205" s="5"/>
      <c r="I205" s="5"/>
      <c r="J205" s="5"/>
      <c r="K205" s="5"/>
      <c r="L205" s="6"/>
      <c r="M205" s="6"/>
      <c r="N205" s="7"/>
      <c r="O205" s="3"/>
      <c r="P205" s="3"/>
      <c r="Q205" s="3"/>
      <c r="R205" s="3"/>
    </row>
    <row x14ac:dyDescent="0.25" r="206" customHeight="1" ht="18.75">
      <c r="A206" s="10" t="s">
        <v>274</v>
      </c>
      <c r="B206" s="11">
        <v>32</v>
      </c>
      <c r="C206" s="3"/>
      <c r="D206" s="3"/>
      <c r="E206" s="5"/>
      <c r="F206" s="3"/>
      <c r="G206" s="3"/>
      <c r="H206" s="5"/>
      <c r="I206" s="5"/>
      <c r="J206" s="5"/>
      <c r="K206" s="5"/>
      <c r="L206" s="6"/>
      <c r="M206" s="6"/>
      <c r="N206" s="7"/>
      <c r="O206" s="3"/>
      <c r="P206" s="3"/>
      <c r="Q206" s="3"/>
      <c r="R206" s="3"/>
    </row>
    <row x14ac:dyDescent="0.25" r="207" customHeight="1" ht="18.75">
      <c r="A207" s="10" t="s">
        <v>275</v>
      </c>
      <c r="B207" s="11">
        <v>32</v>
      </c>
      <c r="C207" s="3"/>
      <c r="D207" s="3"/>
      <c r="E207" s="5"/>
      <c r="F207" s="3"/>
      <c r="G207" s="3"/>
      <c r="H207" s="5"/>
      <c r="I207" s="5"/>
      <c r="J207" s="5"/>
      <c r="K207" s="5"/>
      <c r="L207" s="6"/>
      <c r="M207" s="6"/>
      <c r="N207" s="7"/>
      <c r="O207" s="3"/>
      <c r="P207" s="3"/>
      <c r="Q207" s="3"/>
      <c r="R207" s="3"/>
    </row>
    <row x14ac:dyDescent="0.25" r="208" customHeight="1" ht="18.75">
      <c r="A208" s="10" t="s">
        <v>276</v>
      </c>
      <c r="B208" s="11">
        <v>32</v>
      </c>
      <c r="C208" s="3"/>
      <c r="D208" s="3"/>
      <c r="E208" s="5"/>
      <c r="F208" s="3"/>
      <c r="G208" s="3"/>
      <c r="H208" s="5"/>
      <c r="I208" s="5"/>
      <c r="J208" s="5"/>
      <c r="K208" s="5"/>
      <c r="L208" s="6"/>
      <c r="M208" s="6"/>
      <c r="N208" s="7"/>
      <c r="O208" s="3"/>
      <c r="P208" s="3"/>
      <c r="Q208" s="3"/>
      <c r="R208" s="3"/>
    </row>
    <row x14ac:dyDescent="0.25" r="209" customHeight="1" ht="18.75">
      <c r="A209" s="10" t="s">
        <v>277</v>
      </c>
      <c r="B209" s="11">
        <v>32</v>
      </c>
      <c r="C209" s="3"/>
      <c r="D209" s="3"/>
      <c r="E209" s="5"/>
      <c r="F209" s="3"/>
      <c r="G209" s="3"/>
      <c r="H209" s="5"/>
      <c r="I209" s="5"/>
      <c r="J209" s="5"/>
      <c r="K209" s="5"/>
      <c r="L209" s="6"/>
      <c r="M209" s="6"/>
      <c r="N209" s="7"/>
      <c r="O209" s="3"/>
      <c r="P209" s="3"/>
      <c r="Q209" s="3"/>
      <c r="R209" s="3"/>
    </row>
    <row x14ac:dyDescent="0.25" r="210" customHeight="1" ht="18.75">
      <c r="A210" s="10" t="s">
        <v>278</v>
      </c>
      <c r="B210" s="11">
        <v>32</v>
      </c>
      <c r="C210" s="3"/>
      <c r="D210" s="3"/>
      <c r="E210" s="5"/>
      <c r="F210" s="3"/>
      <c r="G210" s="3"/>
      <c r="H210" s="5"/>
      <c r="I210" s="5"/>
      <c r="J210" s="5"/>
      <c r="K210" s="5"/>
      <c r="L210" s="6"/>
      <c r="M210" s="6"/>
      <c r="N210" s="7"/>
      <c r="O210" s="3"/>
      <c r="P210" s="3"/>
      <c r="Q210" s="3"/>
      <c r="R210" s="3"/>
    </row>
    <row x14ac:dyDescent="0.25" r="211" customHeight="1" ht="18.75">
      <c r="A211" s="10" t="s">
        <v>279</v>
      </c>
      <c r="B211" s="11">
        <v>32</v>
      </c>
      <c r="C211" s="3"/>
      <c r="D211" s="3"/>
      <c r="E211" s="5"/>
      <c r="F211" s="3"/>
      <c r="G211" s="3"/>
      <c r="H211" s="5"/>
      <c r="I211" s="5"/>
      <c r="J211" s="5"/>
      <c r="K211" s="5"/>
      <c r="L211" s="6"/>
      <c r="M211" s="6"/>
      <c r="N211" s="7"/>
      <c r="O211" s="3"/>
      <c r="P211" s="3"/>
      <c r="Q211" s="3"/>
      <c r="R211" s="3"/>
    </row>
    <row x14ac:dyDescent="0.25" r="212" customHeight="1" ht="18.75">
      <c r="A212" s="10" t="s">
        <v>280</v>
      </c>
      <c r="B212" s="11">
        <v>32</v>
      </c>
      <c r="C212" s="3"/>
      <c r="D212" s="3"/>
      <c r="E212" s="5"/>
      <c r="F212" s="3"/>
      <c r="G212" s="3"/>
      <c r="H212" s="5"/>
      <c r="I212" s="5"/>
      <c r="J212" s="5"/>
      <c r="K212" s="5"/>
      <c r="L212" s="6"/>
      <c r="M212" s="6"/>
      <c r="N212" s="7"/>
      <c r="O212" s="3"/>
      <c r="P212" s="3"/>
      <c r="Q212" s="3"/>
      <c r="R212" s="3"/>
    </row>
    <row x14ac:dyDescent="0.25" r="213" customHeight="1" ht="18.75">
      <c r="A213" s="10" t="s">
        <v>281</v>
      </c>
      <c r="B213" s="11">
        <v>32</v>
      </c>
      <c r="C213" s="3"/>
      <c r="D213" s="3"/>
      <c r="E213" s="5"/>
      <c r="F213" s="3"/>
      <c r="G213" s="3"/>
      <c r="H213" s="5"/>
      <c r="I213" s="5"/>
      <c r="J213" s="5"/>
      <c r="K213" s="5"/>
      <c r="L213" s="6"/>
      <c r="M213" s="6"/>
      <c r="N213" s="7"/>
      <c r="O213" s="3"/>
      <c r="P213" s="3"/>
      <c r="Q213" s="3"/>
      <c r="R213" s="3"/>
    </row>
    <row x14ac:dyDescent="0.25" r="214" customHeight="1" ht="18.75">
      <c r="A214" s="10" t="s">
        <v>282</v>
      </c>
      <c r="B214" s="11">
        <v>32</v>
      </c>
      <c r="C214" s="3"/>
      <c r="D214" s="3"/>
      <c r="E214" s="5"/>
      <c r="F214" s="3"/>
      <c r="G214" s="3"/>
      <c r="H214" s="5"/>
      <c r="I214" s="5"/>
      <c r="J214" s="5"/>
      <c r="K214" s="5"/>
      <c r="L214" s="6"/>
      <c r="M214" s="6"/>
      <c r="N214" s="7"/>
      <c r="O214" s="3"/>
      <c r="P214" s="3"/>
      <c r="Q214" s="3"/>
      <c r="R214" s="3"/>
    </row>
    <row x14ac:dyDescent="0.25" r="215" customHeight="1" ht="18.75">
      <c r="A215" s="10" t="s">
        <v>283</v>
      </c>
      <c r="B215" s="11">
        <v>32</v>
      </c>
      <c r="C215" s="3"/>
      <c r="D215" s="3"/>
      <c r="E215" s="5"/>
      <c r="F215" s="3"/>
      <c r="G215" s="3"/>
      <c r="H215" s="5"/>
      <c r="I215" s="5"/>
      <c r="J215" s="5"/>
      <c r="K215" s="5"/>
      <c r="L215" s="6"/>
      <c r="M215" s="6"/>
      <c r="N215" s="7"/>
      <c r="O215" s="3"/>
      <c r="P215" s="3"/>
      <c r="Q215" s="3"/>
      <c r="R215" s="3"/>
    </row>
    <row x14ac:dyDescent="0.25" r="216" customHeight="1" ht="18.75">
      <c r="A216" s="10" t="s">
        <v>284</v>
      </c>
      <c r="B216" s="11">
        <v>32</v>
      </c>
      <c r="C216" s="3"/>
      <c r="D216" s="3"/>
      <c r="E216" s="5"/>
      <c r="F216" s="3"/>
      <c r="G216" s="3"/>
      <c r="H216" s="5"/>
      <c r="I216" s="5"/>
      <c r="J216" s="5"/>
      <c r="K216" s="5"/>
      <c r="L216" s="6"/>
      <c r="M216" s="6"/>
      <c r="N216" s="7"/>
      <c r="O216" s="3"/>
      <c r="P216" s="3"/>
      <c r="Q216" s="3"/>
      <c r="R216" s="3"/>
    </row>
    <row x14ac:dyDescent="0.25" r="217" customHeight="1" ht="18.75">
      <c r="A217" s="10" t="s">
        <v>285</v>
      </c>
      <c r="B217" s="11">
        <v>32</v>
      </c>
      <c r="C217" s="3"/>
      <c r="D217" s="3"/>
      <c r="E217" s="5"/>
      <c r="F217" s="3"/>
      <c r="G217" s="3"/>
      <c r="H217" s="5"/>
      <c r="I217" s="5"/>
      <c r="J217" s="5"/>
      <c r="K217" s="5"/>
      <c r="L217" s="6"/>
      <c r="M217" s="6"/>
      <c r="N217" s="7"/>
      <c r="O217" s="3"/>
      <c r="P217" s="3"/>
      <c r="Q217" s="3"/>
      <c r="R217" s="3"/>
    </row>
    <row x14ac:dyDescent="0.25" r="218" customHeight="1" ht="18.75">
      <c r="A218" s="10" t="s">
        <v>286</v>
      </c>
      <c r="B218" s="11">
        <v>33</v>
      </c>
      <c r="C218" s="3"/>
      <c r="D218" s="3"/>
      <c r="E218" s="5"/>
      <c r="F218" s="3"/>
      <c r="G218" s="3"/>
      <c r="H218" s="5"/>
      <c r="I218" s="5"/>
      <c r="J218" s="5"/>
      <c r="K218" s="5"/>
      <c r="L218" s="6"/>
      <c r="M218" s="6"/>
      <c r="N218" s="7"/>
      <c r="O218" s="3"/>
      <c r="P218" s="3"/>
      <c r="Q218" s="3"/>
      <c r="R218" s="3"/>
    </row>
    <row x14ac:dyDescent="0.25" r="219" customHeight="1" ht="18.75">
      <c r="A219" s="10" t="s">
        <v>287</v>
      </c>
      <c r="B219" s="11">
        <v>33</v>
      </c>
      <c r="C219" s="3"/>
      <c r="D219" s="3"/>
      <c r="E219" s="5"/>
      <c r="F219" s="3"/>
      <c r="G219" s="3"/>
      <c r="H219" s="5"/>
      <c r="I219" s="5"/>
      <c r="J219" s="5"/>
      <c r="K219" s="5"/>
      <c r="L219" s="6"/>
      <c r="M219" s="6"/>
      <c r="N219" s="7"/>
      <c r="O219" s="3"/>
      <c r="P219" s="3"/>
      <c r="Q219" s="3"/>
      <c r="R219" s="3"/>
    </row>
    <row x14ac:dyDescent="0.25" r="220" customHeight="1" ht="18.75">
      <c r="A220" s="10" t="s">
        <v>288</v>
      </c>
      <c r="B220" s="11">
        <v>33</v>
      </c>
      <c r="C220" s="3"/>
      <c r="D220" s="3"/>
      <c r="E220" s="5"/>
      <c r="F220" s="3"/>
      <c r="G220" s="3"/>
      <c r="H220" s="5"/>
      <c r="I220" s="5"/>
      <c r="J220" s="5"/>
      <c r="K220" s="5"/>
      <c r="L220" s="6"/>
      <c r="M220" s="6"/>
      <c r="N220" s="7"/>
      <c r="O220" s="3"/>
      <c r="P220" s="3"/>
      <c r="Q220" s="3"/>
      <c r="R220" s="3"/>
    </row>
    <row x14ac:dyDescent="0.25" r="221" customHeight="1" ht="18.75">
      <c r="A221" s="10" t="s">
        <v>289</v>
      </c>
      <c r="B221" s="11">
        <v>33</v>
      </c>
      <c r="C221" s="3"/>
      <c r="D221" s="3"/>
      <c r="E221" s="5"/>
      <c r="F221" s="3"/>
      <c r="G221" s="3"/>
      <c r="H221" s="5"/>
      <c r="I221" s="5"/>
      <c r="J221" s="5"/>
      <c r="K221" s="5"/>
      <c r="L221" s="6"/>
      <c r="M221" s="6"/>
      <c r="N221" s="7"/>
      <c r="O221" s="3"/>
      <c r="P221" s="3"/>
      <c r="Q221" s="3"/>
      <c r="R221" s="3"/>
    </row>
    <row x14ac:dyDescent="0.25" r="222" customHeight="1" ht="18.75">
      <c r="A222" s="10" t="s">
        <v>290</v>
      </c>
      <c r="B222" s="11">
        <v>33</v>
      </c>
      <c r="C222" s="3"/>
      <c r="D222" s="3"/>
      <c r="E222" s="5"/>
      <c r="F222" s="3"/>
      <c r="G222" s="3"/>
      <c r="H222" s="5"/>
      <c r="I222" s="5"/>
      <c r="J222" s="5"/>
      <c r="K222" s="5"/>
      <c r="L222" s="6"/>
      <c r="M222" s="6"/>
      <c r="N222" s="7"/>
      <c r="O222" s="3"/>
      <c r="P222" s="3"/>
      <c r="Q222" s="3"/>
      <c r="R222" s="3"/>
    </row>
    <row x14ac:dyDescent="0.25" r="223" customHeight="1" ht="18.75">
      <c r="A223" s="10" t="s">
        <v>291</v>
      </c>
      <c r="B223" s="11">
        <v>33</v>
      </c>
      <c r="C223" s="3"/>
      <c r="D223" s="3"/>
      <c r="E223" s="5"/>
      <c r="F223" s="3"/>
      <c r="G223" s="3"/>
      <c r="H223" s="5"/>
      <c r="I223" s="5"/>
      <c r="J223" s="5"/>
      <c r="K223" s="5"/>
      <c r="L223" s="6"/>
      <c r="M223" s="6"/>
      <c r="N223" s="7"/>
      <c r="O223" s="3"/>
      <c r="P223" s="3"/>
      <c r="Q223" s="3"/>
      <c r="R223" s="3"/>
    </row>
    <row x14ac:dyDescent="0.25" r="224" customHeight="1" ht="18.75">
      <c r="A224" s="10" t="s">
        <v>292</v>
      </c>
      <c r="B224" s="11">
        <v>33</v>
      </c>
      <c r="C224" s="3"/>
      <c r="D224" s="3"/>
      <c r="E224" s="5"/>
      <c r="F224" s="3"/>
      <c r="G224" s="3"/>
      <c r="H224" s="5"/>
      <c r="I224" s="5"/>
      <c r="J224" s="5"/>
      <c r="K224" s="5"/>
      <c r="L224" s="6"/>
      <c r="M224" s="6"/>
      <c r="N224" s="7"/>
      <c r="O224" s="3"/>
      <c r="P224" s="3"/>
      <c r="Q224" s="3"/>
      <c r="R224" s="3"/>
    </row>
    <row x14ac:dyDescent="0.25" r="225" customHeight="1" ht="18.75">
      <c r="A225" s="10" t="s">
        <v>293</v>
      </c>
      <c r="B225" s="11">
        <v>33</v>
      </c>
      <c r="C225" s="3"/>
      <c r="D225" s="3"/>
      <c r="E225" s="5"/>
      <c r="F225" s="3"/>
      <c r="G225" s="3"/>
      <c r="H225" s="5"/>
      <c r="I225" s="5"/>
      <c r="J225" s="5"/>
      <c r="K225" s="5"/>
      <c r="L225" s="6"/>
      <c r="M225" s="6"/>
      <c r="N225" s="7"/>
      <c r="O225" s="3"/>
      <c r="P225" s="3"/>
      <c r="Q225" s="3"/>
      <c r="R225" s="3"/>
    </row>
    <row x14ac:dyDescent="0.25" r="226" customHeight="1" ht="18.75">
      <c r="A226" s="10" t="s">
        <v>294</v>
      </c>
      <c r="B226" s="11">
        <v>33</v>
      </c>
      <c r="C226" s="3"/>
      <c r="D226" s="3"/>
      <c r="E226" s="5"/>
      <c r="F226" s="3"/>
      <c r="G226" s="3"/>
      <c r="H226" s="5"/>
      <c r="I226" s="5"/>
      <c r="J226" s="5"/>
      <c r="K226" s="5"/>
      <c r="L226" s="6"/>
      <c r="M226" s="6"/>
      <c r="N226" s="7"/>
      <c r="O226" s="3"/>
      <c r="P226" s="3"/>
      <c r="Q226" s="3"/>
      <c r="R226" s="3"/>
    </row>
    <row x14ac:dyDescent="0.25" r="227" customHeight="1" ht="18.75">
      <c r="A227" s="10" t="s">
        <v>295</v>
      </c>
      <c r="B227" s="11">
        <v>33</v>
      </c>
      <c r="C227" s="3"/>
      <c r="D227" s="3"/>
      <c r="E227" s="5"/>
      <c r="F227" s="3"/>
      <c r="G227" s="3"/>
      <c r="H227" s="5"/>
      <c r="I227" s="5"/>
      <c r="J227" s="5"/>
      <c r="K227" s="5"/>
      <c r="L227" s="6"/>
      <c r="M227" s="6"/>
      <c r="N227" s="7"/>
      <c r="O227" s="3"/>
      <c r="P227" s="3"/>
      <c r="Q227" s="3"/>
      <c r="R227" s="3"/>
    </row>
    <row x14ac:dyDescent="0.25" r="228" customHeight="1" ht="18.75">
      <c r="A228" s="10" t="s">
        <v>296</v>
      </c>
      <c r="B228" s="11">
        <v>33</v>
      </c>
      <c r="C228" s="3"/>
      <c r="D228" s="3"/>
      <c r="E228" s="5"/>
      <c r="F228" s="3"/>
      <c r="G228" s="3"/>
      <c r="H228" s="5"/>
      <c r="I228" s="5"/>
      <c r="J228" s="5"/>
      <c r="K228" s="5"/>
      <c r="L228" s="6"/>
      <c r="M228" s="6"/>
      <c r="N228" s="7"/>
      <c r="O228" s="3"/>
      <c r="P228" s="3"/>
      <c r="Q228" s="3"/>
      <c r="R228" s="3"/>
    </row>
    <row x14ac:dyDescent="0.25" r="229" customHeight="1" ht="18.75">
      <c r="A229" s="10" t="s">
        <v>297</v>
      </c>
      <c r="B229" s="11">
        <v>33</v>
      </c>
      <c r="C229" s="3"/>
      <c r="D229" s="3"/>
      <c r="E229" s="5"/>
      <c r="F229" s="3"/>
      <c r="G229" s="3"/>
      <c r="H229" s="5"/>
      <c r="I229" s="5"/>
      <c r="J229" s="5"/>
      <c r="K229" s="5"/>
      <c r="L229" s="6"/>
      <c r="M229" s="6"/>
      <c r="N229" s="7"/>
      <c r="O229" s="3"/>
      <c r="P229" s="3"/>
      <c r="Q229" s="3"/>
      <c r="R229" s="3"/>
    </row>
    <row x14ac:dyDescent="0.25" r="230" customHeight="1" ht="18.75">
      <c r="A230" s="10" t="s">
        <v>298</v>
      </c>
      <c r="B230" s="11">
        <v>33</v>
      </c>
      <c r="C230" s="3"/>
      <c r="D230" s="3"/>
      <c r="E230" s="5"/>
      <c r="F230" s="3"/>
      <c r="G230" s="3"/>
      <c r="H230" s="5"/>
      <c r="I230" s="5"/>
      <c r="J230" s="5"/>
      <c r="K230" s="5"/>
      <c r="L230" s="6"/>
      <c r="M230" s="6"/>
      <c r="N230" s="7"/>
      <c r="O230" s="3"/>
      <c r="P230" s="3"/>
      <c r="Q230" s="3"/>
      <c r="R230" s="3"/>
    </row>
    <row x14ac:dyDescent="0.25" r="231" customHeight="1" ht="18.75">
      <c r="A231" s="10" t="s">
        <v>299</v>
      </c>
      <c r="B231" s="11">
        <v>33</v>
      </c>
      <c r="C231" s="3"/>
      <c r="D231" s="3"/>
      <c r="E231" s="5"/>
      <c r="F231" s="3"/>
      <c r="G231" s="3"/>
      <c r="H231" s="5"/>
      <c r="I231" s="5"/>
      <c r="J231" s="5"/>
      <c r="K231" s="5"/>
      <c r="L231" s="6"/>
      <c r="M231" s="6"/>
      <c r="N231" s="7"/>
      <c r="O231" s="3"/>
      <c r="P231" s="3"/>
      <c r="Q231" s="3"/>
      <c r="R231" s="3"/>
    </row>
    <row x14ac:dyDescent="0.25" r="232" customHeight="1" ht="18.75">
      <c r="A232" s="10" t="s">
        <v>300</v>
      </c>
      <c r="B232" s="11">
        <v>33</v>
      </c>
      <c r="C232" s="3"/>
      <c r="D232" s="3"/>
      <c r="E232" s="5"/>
      <c r="F232" s="3"/>
      <c r="G232" s="3"/>
      <c r="H232" s="5"/>
      <c r="I232" s="5"/>
      <c r="J232" s="5"/>
      <c r="K232" s="5"/>
      <c r="L232" s="6"/>
      <c r="M232" s="6"/>
      <c r="N232" s="7"/>
      <c r="O232" s="3"/>
      <c r="P232" s="3"/>
      <c r="Q232" s="3"/>
      <c r="R232" s="3"/>
    </row>
    <row x14ac:dyDescent="0.25" r="233" customHeight="1" ht="18.75">
      <c r="A233" s="10" t="s">
        <v>301</v>
      </c>
      <c r="B233" s="11">
        <v>33</v>
      </c>
      <c r="C233" s="3"/>
      <c r="D233" s="3"/>
      <c r="E233" s="5"/>
      <c r="F233" s="3"/>
      <c r="G233" s="3"/>
      <c r="H233" s="5"/>
      <c r="I233" s="5"/>
      <c r="J233" s="5"/>
      <c r="K233" s="5"/>
      <c r="L233" s="6"/>
      <c r="M233" s="6"/>
      <c r="N233" s="7"/>
      <c r="O233" s="3"/>
      <c r="P233" s="3"/>
      <c r="Q233" s="3"/>
      <c r="R233" s="3"/>
    </row>
    <row x14ac:dyDescent="0.25" r="234" customHeight="1" ht="18.75">
      <c r="A234" s="10" t="s">
        <v>302</v>
      </c>
      <c r="B234" s="11">
        <v>33</v>
      </c>
      <c r="C234" s="3"/>
      <c r="D234" s="3"/>
      <c r="E234" s="5"/>
      <c r="F234" s="3"/>
      <c r="G234" s="3"/>
      <c r="H234" s="5"/>
      <c r="I234" s="5"/>
      <c r="J234" s="5"/>
      <c r="K234" s="5"/>
      <c r="L234" s="6"/>
      <c r="M234" s="6"/>
      <c r="N234" s="7"/>
      <c r="O234" s="3"/>
      <c r="P234" s="3"/>
      <c r="Q234" s="3"/>
      <c r="R234" s="3"/>
    </row>
    <row x14ac:dyDescent="0.25" r="235" customHeight="1" ht="18.75">
      <c r="A235" s="10" t="s">
        <v>303</v>
      </c>
      <c r="B235" s="11">
        <v>33</v>
      </c>
      <c r="C235" s="3"/>
      <c r="D235" s="3"/>
      <c r="E235" s="5"/>
      <c r="F235" s="3"/>
      <c r="G235" s="3"/>
      <c r="H235" s="5"/>
      <c r="I235" s="5"/>
      <c r="J235" s="5"/>
      <c r="K235" s="5"/>
      <c r="L235" s="6"/>
      <c r="M235" s="6"/>
      <c r="N235" s="7"/>
      <c r="O235" s="3"/>
      <c r="P235" s="3"/>
      <c r="Q235" s="3"/>
      <c r="R235" s="3"/>
    </row>
    <row x14ac:dyDescent="0.25" r="236" customHeight="1" ht="18.75">
      <c r="A236" s="10" t="s">
        <v>304</v>
      </c>
      <c r="B236" s="11">
        <v>33</v>
      </c>
      <c r="C236" s="3"/>
      <c r="D236" s="3"/>
      <c r="E236" s="5"/>
      <c r="F236" s="3"/>
      <c r="G236" s="3"/>
      <c r="H236" s="5"/>
      <c r="I236" s="5"/>
      <c r="J236" s="5"/>
      <c r="K236" s="5"/>
      <c r="L236" s="6"/>
      <c r="M236" s="6"/>
      <c r="N236" s="7"/>
      <c r="O236" s="3"/>
      <c r="P236" s="3"/>
      <c r="Q236" s="3"/>
      <c r="R236" s="3"/>
    </row>
    <row x14ac:dyDescent="0.25" r="237" customHeight="1" ht="18.75">
      <c r="A237" s="10" t="s">
        <v>305</v>
      </c>
      <c r="B237" s="11">
        <v>33</v>
      </c>
      <c r="C237" s="3"/>
      <c r="D237" s="3"/>
      <c r="E237" s="5"/>
      <c r="F237" s="3"/>
      <c r="G237" s="3"/>
      <c r="H237" s="5"/>
      <c r="I237" s="5"/>
      <c r="J237" s="5"/>
      <c r="K237" s="5"/>
      <c r="L237" s="6"/>
      <c r="M237" s="6"/>
      <c r="N237" s="7"/>
      <c r="O237" s="3"/>
      <c r="P237" s="3"/>
      <c r="Q237" s="3"/>
      <c r="R237" s="3"/>
    </row>
    <row x14ac:dyDescent="0.25" r="238" customHeight="1" ht="18.75">
      <c r="A238" s="10" t="s">
        <v>306</v>
      </c>
      <c r="B238" s="11">
        <v>33</v>
      </c>
      <c r="C238" s="3"/>
      <c r="D238" s="3"/>
      <c r="E238" s="5"/>
      <c r="F238" s="3"/>
      <c r="G238" s="3"/>
      <c r="H238" s="5"/>
      <c r="I238" s="5"/>
      <c r="J238" s="5"/>
      <c r="K238" s="5"/>
      <c r="L238" s="6"/>
      <c r="M238" s="6"/>
      <c r="N238" s="7"/>
      <c r="O238" s="3"/>
      <c r="P238" s="3"/>
      <c r="Q238" s="3"/>
      <c r="R238" s="3"/>
    </row>
    <row x14ac:dyDescent="0.25" r="239" customHeight="1" ht="18.75">
      <c r="A239" s="10" t="s">
        <v>307</v>
      </c>
      <c r="B239" s="11">
        <v>33</v>
      </c>
      <c r="C239" s="3"/>
      <c r="D239" s="3"/>
      <c r="E239" s="5"/>
      <c r="F239" s="3"/>
      <c r="G239" s="3"/>
      <c r="H239" s="5"/>
      <c r="I239" s="5"/>
      <c r="J239" s="5"/>
      <c r="K239" s="5"/>
      <c r="L239" s="6"/>
      <c r="M239" s="6"/>
      <c r="N239" s="7"/>
      <c r="O239" s="3"/>
      <c r="P239" s="3"/>
      <c r="Q239" s="3"/>
      <c r="R239" s="3"/>
    </row>
    <row x14ac:dyDescent="0.25" r="240" customHeight="1" ht="18.75">
      <c r="A240" s="10" t="s">
        <v>308</v>
      </c>
      <c r="B240" s="11">
        <v>33</v>
      </c>
      <c r="C240" s="3"/>
      <c r="D240" s="3"/>
      <c r="E240" s="5"/>
      <c r="F240" s="3"/>
      <c r="G240" s="3"/>
      <c r="H240" s="5"/>
      <c r="I240" s="5"/>
      <c r="J240" s="5"/>
      <c r="K240" s="5"/>
      <c r="L240" s="6"/>
      <c r="M240" s="6"/>
      <c r="N240" s="7"/>
      <c r="O240" s="3"/>
      <c r="P240" s="3"/>
      <c r="Q240" s="3"/>
      <c r="R240" s="3"/>
    </row>
    <row x14ac:dyDescent="0.25" r="241" customHeight="1" ht="18.75">
      <c r="A241" s="10" t="s">
        <v>309</v>
      </c>
      <c r="B241" s="11">
        <v>33</v>
      </c>
      <c r="C241" s="3"/>
      <c r="D241" s="3"/>
      <c r="E241" s="5"/>
      <c r="F241" s="3"/>
      <c r="G241" s="3"/>
      <c r="H241" s="5"/>
      <c r="I241" s="5"/>
      <c r="J241" s="5"/>
      <c r="K241" s="5"/>
      <c r="L241" s="6"/>
      <c r="M241" s="6"/>
      <c r="N241" s="7"/>
      <c r="O241" s="3"/>
      <c r="P241" s="3"/>
      <c r="Q241" s="3"/>
      <c r="R241" s="3"/>
    </row>
    <row x14ac:dyDescent="0.25" r="242" customHeight="1" ht="18.75">
      <c r="A242" s="10" t="s">
        <v>310</v>
      </c>
      <c r="B242" s="11">
        <v>33</v>
      </c>
      <c r="C242" s="3"/>
      <c r="D242" s="3"/>
      <c r="E242" s="5"/>
      <c r="F242" s="3"/>
      <c r="G242" s="3"/>
      <c r="H242" s="5"/>
      <c r="I242" s="5"/>
      <c r="J242" s="5"/>
      <c r="K242" s="5"/>
      <c r="L242" s="6"/>
      <c r="M242" s="6"/>
      <c r="N242" s="7"/>
      <c r="O242" s="3"/>
      <c r="P242" s="3"/>
      <c r="Q242" s="3"/>
      <c r="R242" s="3"/>
    </row>
    <row x14ac:dyDescent="0.25" r="243" customHeight="1" ht="18.75">
      <c r="A243" s="10" t="s">
        <v>311</v>
      </c>
      <c r="B243" s="11">
        <v>33</v>
      </c>
      <c r="C243" s="3"/>
      <c r="D243" s="3"/>
      <c r="E243" s="5"/>
      <c r="F243" s="3"/>
      <c r="G243" s="3"/>
      <c r="H243" s="5"/>
      <c r="I243" s="5"/>
      <c r="J243" s="5"/>
      <c r="K243" s="5"/>
      <c r="L243" s="6"/>
      <c r="M243" s="6"/>
      <c r="N243" s="7"/>
      <c r="O243" s="3"/>
      <c r="P243" s="3"/>
      <c r="Q243" s="3"/>
      <c r="R243" s="3"/>
    </row>
    <row x14ac:dyDescent="0.25" r="244" customHeight="1" ht="18.75">
      <c r="A244" s="10" t="s">
        <v>312</v>
      </c>
      <c r="B244" s="11">
        <v>34</v>
      </c>
      <c r="C244" s="3"/>
      <c r="D244" s="3"/>
      <c r="E244" s="5"/>
      <c r="F244" s="3"/>
      <c r="G244" s="3"/>
      <c r="H244" s="5"/>
      <c r="I244" s="5"/>
      <c r="J244" s="5"/>
      <c r="K244" s="5"/>
      <c r="L244" s="6"/>
      <c r="M244" s="6"/>
      <c r="N244" s="7"/>
      <c r="O244" s="3"/>
      <c r="P244" s="3"/>
      <c r="Q244" s="3"/>
      <c r="R244" s="3"/>
    </row>
    <row x14ac:dyDescent="0.25" r="245" customHeight="1" ht="18.75">
      <c r="A245" s="10" t="s">
        <v>313</v>
      </c>
      <c r="B245" s="11">
        <v>34</v>
      </c>
      <c r="C245" s="3"/>
      <c r="D245" s="3"/>
      <c r="E245" s="5"/>
      <c r="F245" s="3"/>
      <c r="G245" s="3"/>
      <c r="H245" s="5"/>
      <c r="I245" s="5"/>
      <c r="J245" s="5"/>
      <c r="K245" s="5"/>
      <c r="L245" s="6"/>
      <c r="M245" s="6"/>
      <c r="N245" s="7"/>
      <c r="O245" s="3"/>
      <c r="P245" s="3"/>
      <c r="Q245" s="3"/>
      <c r="R245" s="3"/>
    </row>
    <row x14ac:dyDescent="0.25" r="246" customHeight="1" ht="18.75">
      <c r="A246" s="10" t="s">
        <v>314</v>
      </c>
      <c r="B246" s="11">
        <v>34</v>
      </c>
      <c r="C246" s="3"/>
      <c r="D246" s="3"/>
      <c r="E246" s="5"/>
      <c r="F246" s="3"/>
      <c r="G246" s="3"/>
      <c r="H246" s="5"/>
      <c r="I246" s="5"/>
      <c r="J246" s="5"/>
      <c r="K246" s="5"/>
      <c r="L246" s="6"/>
      <c r="M246" s="6"/>
      <c r="N246" s="7"/>
      <c r="O246" s="3"/>
      <c r="P246" s="3"/>
      <c r="Q246" s="3"/>
      <c r="R246" s="3"/>
    </row>
    <row x14ac:dyDescent="0.25" r="247" customHeight="1" ht="18.75">
      <c r="A247" s="10" t="s">
        <v>315</v>
      </c>
      <c r="B247" s="11">
        <v>34</v>
      </c>
      <c r="C247" s="3"/>
      <c r="D247" s="3"/>
      <c r="E247" s="5"/>
      <c r="F247" s="3"/>
      <c r="G247" s="3"/>
      <c r="H247" s="5"/>
      <c r="I247" s="5"/>
      <c r="J247" s="5"/>
      <c r="K247" s="5"/>
      <c r="L247" s="6"/>
      <c r="M247" s="6"/>
      <c r="N247" s="7"/>
      <c r="O247" s="3"/>
      <c r="P247" s="3"/>
      <c r="Q247" s="3"/>
      <c r="R247" s="3"/>
    </row>
    <row x14ac:dyDescent="0.25" r="248" customHeight="1" ht="18.75">
      <c r="A248" s="10" t="s">
        <v>316</v>
      </c>
      <c r="B248" s="11">
        <v>34</v>
      </c>
      <c r="C248" s="3"/>
      <c r="D248" s="3"/>
      <c r="E248" s="5"/>
      <c r="F248" s="3"/>
      <c r="G248" s="3"/>
      <c r="H248" s="5"/>
      <c r="I248" s="5"/>
      <c r="J248" s="5"/>
      <c r="K248" s="5"/>
      <c r="L248" s="6"/>
      <c r="M248" s="6"/>
      <c r="N248" s="7"/>
      <c r="O248" s="3"/>
      <c r="P248" s="3"/>
      <c r="Q248" s="3"/>
      <c r="R248" s="3"/>
    </row>
    <row x14ac:dyDescent="0.25" r="249" customHeight="1" ht="18.75">
      <c r="A249" s="10" t="s">
        <v>317</v>
      </c>
      <c r="B249" s="11">
        <v>34</v>
      </c>
      <c r="C249" s="3"/>
      <c r="D249" s="3"/>
      <c r="E249" s="5"/>
      <c r="F249" s="3"/>
      <c r="G249" s="3"/>
      <c r="H249" s="5"/>
      <c r="I249" s="5"/>
      <c r="J249" s="5"/>
      <c r="K249" s="5"/>
      <c r="L249" s="6"/>
      <c r="M249" s="6"/>
      <c r="N249" s="7"/>
      <c r="O249" s="3"/>
      <c r="P249" s="3"/>
      <c r="Q249" s="3"/>
      <c r="R249" s="3"/>
    </row>
    <row x14ac:dyDescent="0.25" r="250" customHeight="1" ht="18.75">
      <c r="A250" s="10" t="s">
        <v>318</v>
      </c>
      <c r="B250" s="11">
        <v>34</v>
      </c>
      <c r="C250" s="3"/>
      <c r="D250" s="3"/>
      <c r="E250" s="5"/>
      <c r="F250" s="3"/>
      <c r="G250" s="3"/>
      <c r="H250" s="5"/>
      <c r="I250" s="5"/>
      <c r="J250" s="5"/>
      <c r="K250" s="5"/>
      <c r="L250" s="6"/>
      <c r="M250" s="6"/>
      <c r="N250" s="7"/>
      <c r="O250" s="3"/>
      <c r="P250" s="3"/>
      <c r="Q250" s="3"/>
      <c r="R250" s="3"/>
    </row>
    <row x14ac:dyDescent="0.25" r="251" customHeight="1" ht="18.75">
      <c r="A251" s="10" t="s">
        <v>319</v>
      </c>
      <c r="B251" s="11">
        <v>34</v>
      </c>
      <c r="C251" s="3"/>
      <c r="D251" s="3"/>
      <c r="E251" s="5"/>
      <c r="F251" s="3"/>
      <c r="G251" s="3"/>
      <c r="H251" s="5"/>
      <c r="I251" s="5"/>
      <c r="J251" s="5"/>
      <c r="K251" s="5"/>
      <c r="L251" s="6"/>
      <c r="M251" s="6"/>
      <c r="N251" s="7"/>
      <c r="O251" s="3"/>
      <c r="P251" s="3"/>
      <c r="Q251" s="3"/>
      <c r="R251" s="3"/>
    </row>
    <row x14ac:dyDescent="0.25" r="252" customHeight="1" ht="18.75">
      <c r="A252" s="10" t="s">
        <v>320</v>
      </c>
      <c r="B252" s="11">
        <v>34</v>
      </c>
      <c r="C252" s="3"/>
      <c r="D252" s="3"/>
      <c r="E252" s="5"/>
      <c r="F252" s="3"/>
      <c r="G252" s="3"/>
      <c r="H252" s="5"/>
      <c r="I252" s="5"/>
      <c r="J252" s="5"/>
      <c r="K252" s="5"/>
      <c r="L252" s="6"/>
      <c r="M252" s="6"/>
      <c r="N252" s="7"/>
      <c r="O252" s="3"/>
      <c r="P252" s="3"/>
      <c r="Q252" s="3"/>
      <c r="R252" s="3"/>
    </row>
    <row x14ac:dyDescent="0.25" r="253" customHeight="1" ht="18.75">
      <c r="A253" s="10" t="s">
        <v>321</v>
      </c>
      <c r="B253" s="11">
        <v>34</v>
      </c>
      <c r="C253" s="3"/>
      <c r="D253" s="3"/>
      <c r="E253" s="5"/>
      <c r="F253" s="3"/>
      <c r="G253" s="3"/>
      <c r="H253" s="5"/>
      <c r="I253" s="5"/>
      <c r="J253" s="5"/>
      <c r="K253" s="5"/>
      <c r="L253" s="6"/>
      <c r="M253" s="6"/>
      <c r="N253" s="7"/>
      <c r="O253" s="3"/>
      <c r="P253" s="3"/>
      <c r="Q253" s="3"/>
      <c r="R253" s="3"/>
    </row>
    <row x14ac:dyDescent="0.25" r="254" customHeight="1" ht="18.75">
      <c r="A254" s="10" t="s">
        <v>322</v>
      </c>
      <c r="B254" s="11">
        <v>34</v>
      </c>
      <c r="C254" s="3"/>
      <c r="D254" s="3"/>
      <c r="E254" s="5"/>
      <c r="F254" s="3"/>
      <c r="G254" s="3"/>
      <c r="H254" s="5"/>
      <c r="I254" s="5"/>
      <c r="J254" s="5"/>
      <c r="K254" s="5"/>
      <c r="L254" s="6"/>
      <c r="M254" s="6"/>
      <c r="N254" s="7"/>
      <c r="O254" s="3"/>
      <c r="P254" s="3"/>
      <c r="Q254" s="3"/>
      <c r="R254" s="3"/>
    </row>
    <row x14ac:dyDescent="0.25" r="255" customHeight="1" ht="18.75">
      <c r="A255" s="10" t="s">
        <v>323</v>
      </c>
      <c r="B255" s="11">
        <v>34</v>
      </c>
      <c r="C255" s="3"/>
      <c r="D255" s="3"/>
      <c r="E255" s="5"/>
      <c r="F255" s="3"/>
      <c r="G255" s="3"/>
      <c r="H255" s="5"/>
      <c r="I255" s="5"/>
      <c r="J255" s="5"/>
      <c r="K255" s="5"/>
      <c r="L255" s="6"/>
      <c r="M255" s="6"/>
      <c r="N255" s="7"/>
      <c r="O255" s="3"/>
      <c r="P255" s="3"/>
      <c r="Q255" s="3"/>
      <c r="R255" s="3"/>
    </row>
    <row x14ac:dyDescent="0.25" r="256" customHeight="1" ht="18.75">
      <c r="A256" s="10" t="s">
        <v>324</v>
      </c>
      <c r="B256" s="11">
        <v>34</v>
      </c>
      <c r="C256" s="3"/>
      <c r="D256" s="3"/>
      <c r="E256" s="5"/>
      <c r="F256" s="3"/>
      <c r="G256" s="3"/>
      <c r="H256" s="5"/>
      <c r="I256" s="5"/>
      <c r="J256" s="5"/>
      <c r="K256" s="5"/>
      <c r="L256" s="6"/>
      <c r="M256" s="6"/>
      <c r="N256" s="7"/>
      <c r="O256" s="3"/>
      <c r="P256" s="3"/>
      <c r="Q256" s="3"/>
      <c r="R256" s="3"/>
    </row>
    <row x14ac:dyDescent="0.25" r="257" customHeight="1" ht="18.75">
      <c r="A257" s="10" t="s">
        <v>325</v>
      </c>
      <c r="B257" s="11">
        <v>34</v>
      </c>
      <c r="C257" s="3"/>
      <c r="D257" s="3"/>
      <c r="E257" s="5"/>
      <c r="F257" s="3"/>
      <c r="G257" s="3"/>
      <c r="H257" s="5"/>
      <c r="I257" s="5"/>
      <c r="J257" s="5"/>
      <c r="K257" s="5"/>
      <c r="L257" s="6"/>
      <c r="M257" s="6"/>
      <c r="N257" s="7"/>
      <c r="O257" s="3"/>
      <c r="P257" s="3"/>
      <c r="Q257" s="3"/>
      <c r="R257" s="3"/>
    </row>
    <row x14ac:dyDescent="0.25" r="258" customHeight="1" ht="18.75">
      <c r="A258" s="10" t="s">
        <v>326</v>
      </c>
      <c r="B258" s="11">
        <v>34</v>
      </c>
      <c r="C258" s="3"/>
      <c r="D258" s="3"/>
      <c r="E258" s="5"/>
      <c r="F258" s="3"/>
      <c r="G258" s="3"/>
      <c r="H258" s="5"/>
      <c r="I258" s="5"/>
      <c r="J258" s="5"/>
      <c r="K258" s="5"/>
      <c r="L258" s="6"/>
      <c r="M258" s="6"/>
      <c r="N258" s="7"/>
      <c r="O258" s="3"/>
      <c r="P258" s="3"/>
      <c r="Q258" s="3"/>
      <c r="R258" s="3"/>
    </row>
    <row x14ac:dyDescent="0.25" r="259" customHeight="1" ht="18.75">
      <c r="A259" s="10" t="s">
        <v>327</v>
      </c>
      <c r="B259" s="11">
        <v>34</v>
      </c>
      <c r="C259" s="3"/>
      <c r="D259" s="3"/>
      <c r="E259" s="5"/>
      <c r="F259" s="3"/>
      <c r="G259" s="3"/>
      <c r="H259" s="5"/>
      <c r="I259" s="5"/>
      <c r="J259" s="5"/>
      <c r="K259" s="5"/>
      <c r="L259" s="6"/>
      <c r="M259" s="6"/>
      <c r="N259" s="7"/>
      <c r="O259" s="3"/>
      <c r="P259" s="3"/>
      <c r="Q259" s="3"/>
      <c r="R259" s="3"/>
    </row>
    <row x14ac:dyDescent="0.25" r="260" customHeight="1" ht="18.75">
      <c r="A260" s="10" t="s">
        <v>328</v>
      </c>
      <c r="B260" s="11">
        <v>34</v>
      </c>
      <c r="C260" s="3"/>
      <c r="D260" s="3"/>
      <c r="E260" s="5"/>
      <c r="F260" s="3"/>
      <c r="G260" s="3"/>
      <c r="H260" s="5"/>
      <c r="I260" s="5"/>
      <c r="J260" s="5"/>
      <c r="K260" s="5"/>
      <c r="L260" s="6"/>
      <c r="M260" s="6"/>
      <c r="N260" s="7"/>
      <c r="O260" s="3"/>
      <c r="P260" s="3"/>
      <c r="Q260" s="3"/>
      <c r="R260" s="3"/>
    </row>
    <row x14ac:dyDescent="0.25" r="261" customHeight="1" ht="18.75">
      <c r="A261" s="10" t="s">
        <v>329</v>
      </c>
      <c r="B261" s="11">
        <v>34</v>
      </c>
      <c r="C261" s="3"/>
      <c r="D261" s="3"/>
      <c r="E261" s="5"/>
      <c r="F261" s="3"/>
      <c r="G261" s="3"/>
      <c r="H261" s="5"/>
      <c r="I261" s="5"/>
      <c r="J261" s="5"/>
      <c r="K261" s="5"/>
      <c r="L261" s="6"/>
      <c r="M261" s="6"/>
      <c r="N261" s="7"/>
      <c r="O261" s="3"/>
      <c r="P261" s="3"/>
      <c r="Q261" s="3"/>
      <c r="R261" s="3"/>
    </row>
    <row x14ac:dyDescent="0.25" r="262" customHeight="1" ht="18.75">
      <c r="A262" s="10" t="s">
        <v>330</v>
      </c>
      <c r="B262" s="11">
        <v>34</v>
      </c>
      <c r="C262" s="3"/>
      <c r="D262" s="3"/>
      <c r="E262" s="5"/>
      <c r="F262" s="3"/>
      <c r="G262" s="3"/>
      <c r="H262" s="5"/>
      <c r="I262" s="5"/>
      <c r="J262" s="5"/>
      <c r="K262" s="5"/>
      <c r="L262" s="6"/>
      <c r="M262" s="6"/>
      <c r="N262" s="7"/>
      <c r="O262" s="3"/>
      <c r="P262" s="3"/>
      <c r="Q262" s="3"/>
      <c r="R262" s="3"/>
    </row>
    <row x14ac:dyDescent="0.25" r="263" customHeight="1" ht="18.75">
      <c r="A263" s="10" t="s">
        <v>331</v>
      </c>
      <c r="B263" s="11">
        <v>34</v>
      </c>
      <c r="C263" s="3"/>
      <c r="D263" s="3"/>
      <c r="E263" s="5"/>
      <c r="F263" s="3"/>
      <c r="G263" s="3"/>
      <c r="H263" s="5"/>
      <c r="I263" s="5"/>
      <c r="J263" s="5"/>
      <c r="K263" s="5"/>
      <c r="L263" s="6"/>
      <c r="M263" s="6"/>
      <c r="N263" s="7"/>
      <c r="O263" s="3"/>
      <c r="P263" s="3"/>
      <c r="Q263" s="3"/>
      <c r="R263" s="3"/>
    </row>
    <row x14ac:dyDescent="0.25" r="264" customHeight="1" ht="18.75">
      <c r="A264" s="10" t="s">
        <v>332</v>
      </c>
      <c r="B264" s="11">
        <v>34</v>
      </c>
      <c r="C264" s="3"/>
      <c r="D264" s="3"/>
      <c r="E264" s="5"/>
      <c r="F264" s="3"/>
      <c r="G264" s="3"/>
      <c r="H264" s="5"/>
      <c r="I264" s="5"/>
      <c r="J264" s="5"/>
      <c r="K264" s="5"/>
      <c r="L264" s="6"/>
      <c r="M264" s="6"/>
      <c r="N264" s="7"/>
      <c r="O264" s="3"/>
      <c r="P264" s="3"/>
      <c r="Q264" s="3"/>
      <c r="R264" s="3"/>
    </row>
    <row x14ac:dyDescent="0.25" r="265" customHeight="1" ht="18.75">
      <c r="A265" s="10" t="s">
        <v>333</v>
      </c>
      <c r="B265" s="11">
        <v>34</v>
      </c>
      <c r="C265" s="3"/>
      <c r="D265" s="3"/>
      <c r="E265" s="5"/>
      <c r="F265" s="3"/>
      <c r="G265" s="3"/>
      <c r="H265" s="5"/>
      <c r="I265" s="5"/>
      <c r="J265" s="5"/>
      <c r="K265" s="5"/>
      <c r="L265" s="6"/>
      <c r="M265" s="6"/>
      <c r="N265" s="7"/>
      <c r="O265" s="3"/>
      <c r="P265" s="3"/>
      <c r="Q265" s="3"/>
      <c r="R265" s="3"/>
    </row>
    <row x14ac:dyDescent="0.25" r="266" customHeight="1" ht="18.75">
      <c r="A266" s="10" t="s">
        <v>334</v>
      </c>
      <c r="B266" s="19">
        <v>34.5</v>
      </c>
      <c r="C266" s="3"/>
      <c r="D266" s="3"/>
      <c r="E266" s="5"/>
      <c r="F266" s="3"/>
      <c r="G266" s="3"/>
      <c r="H266" s="5"/>
      <c r="I266" s="5"/>
      <c r="J266" s="5"/>
      <c r="K266" s="5"/>
      <c r="L266" s="6"/>
      <c r="M266" s="6"/>
      <c r="N266" s="7"/>
      <c r="O266" s="3"/>
      <c r="P266" s="3"/>
      <c r="Q266" s="3"/>
      <c r="R266" s="3"/>
    </row>
    <row x14ac:dyDescent="0.25" r="267" customHeight="1" ht="18.75">
      <c r="A267" s="10" t="s">
        <v>335</v>
      </c>
      <c r="B267" s="11">
        <v>35</v>
      </c>
      <c r="C267" s="3"/>
      <c r="D267" s="3"/>
      <c r="E267" s="5"/>
      <c r="F267" s="3"/>
      <c r="G267" s="3"/>
      <c r="H267" s="5"/>
      <c r="I267" s="5"/>
      <c r="J267" s="5"/>
      <c r="K267" s="5"/>
      <c r="L267" s="6"/>
      <c r="M267" s="6"/>
      <c r="N267" s="7"/>
      <c r="O267" s="3"/>
      <c r="P267" s="3"/>
      <c r="Q267" s="3"/>
      <c r="R267" s="3"/>
    </row>
    <row x14ac:dyDescent="0.25" r="268" customHeight="1" ht="18.75">
      <c r="A268" s="10" t="s">
        <v>336</v>
      </c>
      <c r="B268" s="11">
        <v>35</v>
      </c>
      <c r="C268" s="3"/>
      <c r="D268" s="3"/>
      <c r="E268" s="5"/>
      <c r="F268" s="3"/>
      <c r="G268" s="3"/>
      <c r="H268" s="5"/>
      <c r="I268" s="5"/>
      <c r="J268" s="5"/>
      <c r="K268" s="5"/>
      <c r="L268" s="6"/>
      <c r="M268" s="6"/>
      <c r="N268" s="7"/>
      <c r="O268" s="3"/>
      <c r="P268" s="3"/>
      <c r="Q268" s="3"/>
      <c r="R268" s="3"/>
    </row>
    <row x14ac:dyDescent="0.25" r="269" customHeight="1" ht="18.75">
      <c r="A269" s="10" t="s">
        <v>337</v>
      </c>
      <c r="B269" s="11">
        <v>35</v>
      </c>
      <c r="C269" s="3"/>
      <c r="D269" s="3"/>
      <c r="E269" s="5"/>
      <c r="F269" s="3"/>
      <c r="G269" s="3"/>
      <c r="H269" s="5"/>
      <c r="I269" s="5"/>
      <c r="J269" s="5"/>
      <c r="K269" s="5"/>
      <c r="L269" s="6"/>
      <c r="M269" s="6"/>
      <c r="N269" s="7"/>
      <c r="O269" s="3"/>
      <c r="P269" s="3"/>
      <c r="Q269" s="3"/>
      <c r="R269" s="3"/>
    </row>
    <row x14ac:dyDescent="0.25" r="270" customHeight="1" ht="18.75">
      <c r="A270" s="10" t="s">
        <v>338</v>
      </c>
      <c r="B270" s="11">
        <v>35</v>
      </c>
      <c r="C270" s="3"/>
      <c r="D270" s="3"/>
      <c r="E270" s="5"/>
      <c r="F270" s="3"/>
      <c r="G270" s="3"/>
      <c r="H270" s="5"/>
      <c r="I270" s="5"/>
      <c r="J270" s="5"/>
      <c r="K270" s="5"/>
      <c r="L270" s="6"/>
      <c r="M270" s="6"/>
      <c r="N270" s="7"/>
      <c r="O270" s="3"/>
      <c r="P270" s="3"/>
      <c r="Q270" s="3"/>
      <c r="R270" s="3"/>
    </row>
    <row x14ac:dyDescent="0.25" r="271" customHeight="1" ht="18.75">
      <c r="A271" s="10" t="s">
        <v>339</v>
      </c>
      <c r="B271" s="11">
        <v>35</v>
      </c>
      <c r="C271" s="3"/>
      <c r="D271" s="3"/>
      <c r="E271" s="5"/>
      <c r="F271" s="3"/>
      <c r="G271" s="3"/>
      <c r="H271" s="5"/>
      <c r="I271" s="5"/>
      <c r="J271" s="5"/>
      <c r="K271" s="5"/>
      <c r="L271" s="6"/>
      <c r="M271" s="6"/>
      <c r="N271" s="7"/>
      <c r="O271" s="3"/>
      <c r="P271" s="3"/>
      <c r="Q271" s="3"/>
      <c r="R271" s="3"/>
    </row>
    <row x14ac:dyDescent="0.25" r="272" customHeight="1" ht="18.75">
      <c r="A272" s="10" t="s">
        <v>340</v>
      </c>
      <c r="B272" s="11">
        <v>35</v>
      </c>
      <c r="C272" s="3"/>
      <c r="D272" s="3"/>
      <c r="E272" s="5"/>
      <c r="F272" s="3"/>
      <c r="G272" s="3"/>
      <c r="H272" s="5"/>
      <c r="I272" s="5"/>
      <c r="J272" s="5"/>
      <c r="K272" s="5"/>
      <c r="L272" s="6"/>
      <c r="M272" s="6"/>
      <c r="N272" s="7"/>
      <c r="O272" s="3"/>
      <c r="P272" s="3"/>
      <c r="Q272" s="3"/>
      <c r="R272" s="3"/>
    </row>
    <row x14ac:dyDescent="0.25" r="273" customHeight="1" ht="18.75">
      <c r="A273" s="10" t="s">
        <v>341</v>
      </c>
      <c r="B273" s="11">
        <v>35</v>
      </c>
      <c r="C273" s="3"/>
      <c r="D273" s="3"/>
      <c r="E273" s="5"/>
      <c r="F273" s="3"/>
      <c r="G273" s="3"/>
      <c r="H273" s="5"/>
      <c r="I273" s="5"/>
      <c r="J273" s="5"/>
      <c r="K273" s="5"/>
      <c r="L273" s="6"/>
      <c r="M273" s="6"/>
      <c r="N273" s="7"/>
      <c r="O273" s="3"/>
      <c r="P273" s="3"/>
      <c r="Q273" s="3"/>
      <c r="R273" s="3"/>
    </row>
    <row x14ac:dyDescent="0.25" r="274" customHeight="1" ht="18.75">
      <c r="A274" s="10" t="s">
        <v>342</v>
      </c>
      <c r="B274" s="11">
        <v>35</v>
      </c>
      <c r="C274" s="3"/>
      <c r="D274" s="3"/>
      <c r="E274" s="5"/>
      <c r="F274" s="3"/>
      <c r="G274" s="3"/>
      <c r="H274" s="5"/>
      <c r="I274" s="5"/>
      <c r="J274" s="5"/>
      <c r="K274" s="5"/>
      <c r="L274" s="6"/>
      <c r="M274" s="6"/>
      <c r="N274" s="7"/>
      <c r="O274" s="3"/>
      <c r="P274" s="3"/>
      <c r="Q274" s="3"/>
      <c r="R274" s="3"/>
    </row>
    <row x14ac:dyDescent="0.25" r="275" customHeight="1" ht="18.75">
      <c r="A275" s="10" t="s">
        <v>343</v>
      </c>
      <c r="B275" s="11">
        <v>35</v>
      </c>
      <c r="C275" s="3"/>
      <c r="D275" s="3"/>
      <c r="E275" s="5"/>
      <c r="F275" s="3"/>
      <c r="G275" s="3"/>
      <c r="H275" s="5"/>
      <c r="I275" s="5"/>
      <c r="J275" s="5"/>
      <c r="K275" s="5"/>
      <c r="L275" s="6"/>
      <c r="M275" s="6"/>
      <c r="N275" s="7"/>
      <c r="O275" s="3"/>
      <c r="P275" s="3"/>
      <c r="Q275" s="3"/>
      <c r="R275" s="3"/>
    </row>
    <row x14ac:dyDescent="0.25" r="276" customHeight="1" ht="18.75">
      <c r="A276" s="10" t="s">
        <v>344</v>
      </c>
      <c r="B276" s="11">
        <v>35</v>
      </c>
      <c r="C276" s="3"/>
      <c r="D276" s="3"/>
      <c r="E276" s="5"/>
      <c r="F276" s="3"/>
      <c r="G276" s="3"/>
      <c r="H276" s="5"/>
      <c r="I276" s="5"/>
      <c r="J276" s="5"/>
      <c r="K276" s="5"/>
      <c r="L276" s="6"/>
      <c r="M276" s="6"/>
      <c r="N276" s="7"/>
      <c r="O276" s="3"/>
      <c r="P276" s="3"/>
      <c r="Q276" s="3"/>
      <c r="R276" s="3"/>
    </row>
    <row x14ac:dyDescent="0.25" r="277" customHeight="1" ht="18.75">
      <c r="A277" s="10" t="s">
        <v>345</v>
      </c>
      <c r="B277" s="11">
        <v>35</v>
      </c>
      <c r="C277" s="3"/>
      <c r="D277" s="3"/>
      <c r="E277" s="5"/>
      <c r="F277" s="3"/>
      <c r="G277" s="3"/>
      <c r="H277" s="5"/>
      <c r="I277" s="5"/>
      <c r="J277" s="5"/>
      <c r="K277" s="5"/>
      <c r="L277" s="6"/>
      <c r="M277" s="6"/>
      <c r="N277" s="7"/>
      <c r="O277" s="3"/>
      <c r="P277" s="3"/>
      <c r="Q277" s="3"/>
      <c r="R277" s="3"/>
    </row>
    <row x14ac:dyDescent="0.25" r="278" customHeight="1" ht="18.75">
      <c r="A278" s="10" t="s">
        <v>346</v>
      </c>
      <c r="B278" s="11">
        <v>35</v>
      </c>
      <c r="C278" s="3"/>
      <c r="D278" s="3"/>
      <c r="E278" s="5"/>
      <c r="F278" s="3"/>
      <c r="G278" s="3"/>
      <c r="H278" s="5"/>
      <c r="I278" s="5"/>
      <c r="J278" s="5"/>
      <c r="K278" s="5"/>
      <c r="L278" s="6"/>
      <c r="M278" s="6"/>
      <c r="N278" s="7"/>
      <c r="O278" s="3"/>
      <c r="P278" s="3"/>
      <c r="Q278" s="3"/>
      <c r="R278" s="3"/>
    </row>
    <row x14ac:dyDescent="0.25" r="279" customHeight="1" ht="18.75">
      <c r="A279" s="10" t="s">
        <v>347</v>
      </c>
      <c r="B279" s="11">
        <v>35</v>
      </c>
      <c r="C279" s="3"/>
      <c r="D279" s="3"/>
      <c r="E279" s="5"/>
      <c r="F279" s="3"/>
      <c r="G279" s="3"/>
      <c r="H279" s="5"/>
      <c r="I279" s="5"/>
      <c r="J279" s="5"/>
      <c r="K279" s="5"/>
      <c r="L279" s="6"/>
      <c r="M279" s="6"/>
      <c r="N279" s="7"/>
      <c r="O279" s="3"/>
      <c r="P279" s="3"/>
      <c r="Q279" s="3"/>
      <c r="R279" s="3"/>
    </row>
    <row x14ac:dyDescent="0.25" r="280" customHeight="1" ht="18.75">
      <c r="A280" s="10" t="s">
        <v>348</v>
      </c>
      <c r="B280" s="11">
        <v>35</v>
      </c>
      <c r="C280" s="3"/>
      <c r="D280" s="3"/>
      <c r="E280" s="5"/>
      <c r="F280" s="3"/>
      <c r="G280" s="3"/>
      <c r="H280" s="5"/>
      <c r="I280" s="5"/>
      <c r="J280" s="5"/>
      <c r="K280" s="5"/>
      <c r="L280" s="6"/>
      <c r="M280" s="6"/>
      <c r="N280" s="7"/>
      <c r="O280" s="3"/>
      <c r="P280" s="3"/>
      <c r="Q280" s="3"/>
      <c r="R280" s="3"/>
    </row>
    <row x14ac:dyDescent="0.25" r="281" customHeight="1" ht="18.75">
      <c r="A281" s="10" t="s">
        <v>349</v>
      </c>
      <c r="B281" s="11">
        <v>35</v>
      </c>
      <c r="C281" s="3"/>
      <c r="D281" s="3"/>
      <c r="E281" s="5"/>
      <c r="F281" s="3"/>
      <c r="G281" s="3"/>
      <c r="H281" s="5"/>
      <c r="I281" s="5"/>
      <c r="J281" s="5"/>
      <c r="K281" s="5"/>
      <c r="L281" s="6"/>
      <c r="M281" s="6"/>
      <c r="N281" s="7"/>
      <c r="O281" s="3"/>
      <c r="P281" s="3"/>
      <c r="Q281" s="3"/>
      <c r="R281" s="3"/>
    </row>
    <row x14ac:dyDescent="0.25" r="282" customHeight="1" ht="18.75">
      <c r="A282" s="10" t="s">
        <v>350</v>
      </c>
      <c r="B282" s="11">
        <v>35</v>
      </c>
      <c r="C282" s="3"/>
      <c r="D282" s="3"/>
      <c r="E282" s="5"/>
      <c r="F282" s="3"/>
      <c r="G282" s="3"/>
      <c r="H282" s="5"/>
      <c r="I282" s="5"/>
      <c r="J282" s="5"/>
      <c r="K282" s="5"/>
      <c r="L282" s="6"/>
      <c r="M282" s="6"/>
      <c r="N282" s="7"/>
      <c r="O282" s="3"/>
      <c r="P282" s="3"/>
      <c r="Q282" s="3"/>
      <c r="R282" s="3"/>
    </row>
    <row x14ac:dyDescent="0.25" r="283" customHeight="1" ht="18.75">
      <c r="A283" s="10" t="s">
        <v>351</v>
      </c>
      <c r="B283" s="11">
        <v>35</v>
      </c>
      <c r="C283" s="3"/>
      <c r="D283" s="3"/>
      <c r="E283" s="5"/>
      <c r="F283" s="3"/>
      <c r="G283" s="3"/>
      <c r="H283" s="5"/>
      <c r="I283" s="5"/>
      <c r="J283" s="5"/>
      <c r="K283" s="5"/>
      <c r="L283" s="6"/>
      <c r="M283" s="6"/>
      <c r="N283" s="7"/>
      <c r="O283" s="3"/>
      <c r="P283" s="3"/>
      <c r="Q283" s="3"/>
      <c r="R283" s="3"/>
    </row>
    <row x14ac:dyDescent="0.25" r="284" customHeight="1" ht="18.75">
      <c r="A284" s="10" t="s">
        <v>352</v>
      </c>
      <c r="B284" s="11">
        <v>35</v>
      </c>
      <c r="C284" s="3"/>
      <c r="D284" s="3"/>
      <c r="E284" s="5"/>
      <c r="F284" s="3"/>
      <c r="G284" s="3"/>
      <c r="H284" s="5"/>
      <c r="I284" s="5"/>
      <c r="J284" s="5"/>
      <c r="K284" s="5"/>
      <c r="L284" s="6"/>
      <c r="M284" s="6"/>
      <c r="N284" s="7"/>
      <c r="O284" s="3"/>
      <c r="P284" s="3"/>
      <c r="Q284" s="3"/>
      <c r="R284" s="3"/>
    </row>
    <row x14ac:dyDescent="0.25" r="285" customHeight="1" ht="18.75">
      <c r="A285" s="10" t="s">
        <v>353</v>
      </c>
      <c r="B285" s="11">
        <v>36</v>
      </c>
      <c r="C285" s="3"/>
      <c r="D285" s="3"/>
      <c r="E285" s="5"/>
      <c r="F285" s="3"/>
      <c r="G285" s="3"/>
      <c r="H285" s="5"/>
      <c r="I285" s="5"/>
      <c r="J285" s="5"/>
      <c r="K285" s="5"/>
      <c r="L285" s="6"/>
      <c r="M285" s="6"/>
      <c r="N285" s="7"/>
      <c r="O285" s="3"/>
      <c r="P285" s="3"/>
      <c r="Q285" s="3"/>
      <c r="R285" s="3"/>
    </row>
    <row x14ac:dyDescent="0.25" r="286" customHeight="1" ht="18.75">
      <c r="A286" s="10" t="s">
        <v>354</v>
      </c>
      <c r="B286" s="11">
        <v>36</v>
      </c>
      <c r="C286" s="3"/>
      <c r="D286" s="3"/>
      <c r="E286" s="5"/>
      <c r="F286" s="3"/>
      <c r="G286" s="3"/>
      <c r="H286" s="5"/>
      <c r="I286" s="5"/>
      <c r="J286" s="5"/>
      <c r="K286" s="5"/>
      <c r="L286" s="6"/>
      <c r="M286" s="6"/>
      <c r="N286" s="7"/>
      <c r="O286" s="3"/>
      <c r="P286" s="3"/>
      <c r="Q286" s="3"/>
      <c r="R286" s="3"/>
    </row>
    <row x14ac:dyDescent="0.25" r="287" customHeight="1" ht="18.75">
      <c r="A287" s="10" t="s">
        <v>355</v>
      </c>
      <c r="B287" s="11">
        <v>36</v>
      </c>
      <c r="C287" s="3"/>
      <c r="D287" s="3"/>
      <c r="E287" s="5"/>
      <c r="F287" s="3"/>
      <c r="G287" s="3"/>
      <c r="H287" s="5"/>
      <c r="I287" s="5"/>
      <c r="J287" s="5"/>
      <c r="K287" s="5"/>
      <c r="L287" s="6"/>
      <c r="M287" s="6"/>
      <c r="N287" s="7"/>
      <c r="O287" s="3"/>
      <c r="P287" s="3"/>
      <c r="Q287" s="3"/>
      <c r="R287" s="3"/>
    </row>
    <row x14ac:dyDescent="0.25" r="288" customHeight="1" ht="18.75">
      <c r="A288" s="10" t="s">
        <v>356</v>
      </c>
      <c r="B288" s="11">
        <v>36</v>
      </c>
      <c r="C288" s="3"/>
      <c r="D288" s="3"/>
      <c r="E288" s="5"/>
      <c r="F288" s="3"/>
      <c r="G288" s="3"/>
      <c r="H288" s="5"/>
      <c r="I288" s="5"/>
      <c r="J288" s="5"/>
      <c r="K288" s="5"/>
      <c r="L288" s="6"/>
      <c r="M288" s="6"/>
      <c r="N288" s="7"/>
      <c r="O288" s="3"/>
      <c r="P288" s="3"/>
      <c r="Q288" s="3"/>
      <c r="R288" s="3"/>
    </row>
    <row x14ac:dyDescent="0.25" r="289" customHeight="1" ht="18.75">
      <c r="A289" s="10" t="s">
        <v>357</v>
      </c>
      <c r="B289" s="11">
        <v>36</v>
      </c>
      <c r="C289" s="3"/>
      <c r="D289" s="3"/>
      <c r="E289" s="5"/>
      <c r="F289" s="3"/>
      <c r="G289" s="3"/>
      <c r="H289" s="5"/>
      <c r="I289" s="5"/>
      <c r="J289" s="5"/>
      <c r="K289" s="5"/>
      <c r="L289" s="6"/>
      <c r="M289" s="6"/>
      <c r="N289" s="7"/>
      <c r="O289" s="3"/>
      <c r="P289" s="3"/>
      <c r="Q289" s="3"/>
      <c r="R289" s="3"/>
    </row>
    <row x14ac:dyDescent="0.25" r="290" customHeight="1" ht="18.75">
      <c r="A290" s="10" t="s">
        <v>358</v>
      </c>
      <c r="B290" s="11">
        <v>36</v>
      </c>
      <c r="C290" s="3"/>
      <c r="D290" s="3"/>
      <c r="E290" s="5"/>
      <c r="F290" s="3"/>
      <c r="G290" s="3"/>
      <c r="H290" s="5"/>
      <c r="I290" s="5"/>
      <c r="J290" s="5"/>
      <c r="K290" s="5"/>
      <c r="L290" s="6"/>
      <c r="M290" s="6"/>
      <c r="N290" s="7"/>
      <c r="O290" s="3"/>
      <c r="P290" s="3"/>
      <c r="Q290" s="3"/>
      <c r="R290" s="3"/>
    </row>
    <row x14ac:dyDescent="0.25" r="291" customHeight="1" ht="18.75">
      <c r="A291" s="10" t="s">
        <v>359</v>
      </c>
      <c r="B291" s="11">
        <v>36</v>
      </c>
      <c r="C291" s="3"/>
      <c r="D291" s="3"/>
      <c r="E291" s="5"/>
      <c r="F291" s="3"/>
      <c r="G291" s="3"/>
      <c r="H291" s="5"/>
      <c r="I291" s="5"/>
      <c r="J291" s="5"/>
      <c r="K291" s="5"/>
      <c r="L291" s="6"/>
      <c r="M291" s="6"/>
      <c r="N291" s="7"/>
      <c r="O291" s="3"/>
      <c r="P291" s="3"/>
      <c r="Q291" s="3"/>
      <c r="R291" s="3"/>
    </row>
    <row x14ac:dyDescent="0.25" r="292" customHeight="1" ht="18.75">
      <c r="A292" s="10" t="s">
        <v>360</v>
      </c>
      <c r="B292" s="11">
        <v>36</v>
      </c>
      <c r="C292" s="3"/>
      <c r="D292" s="3"/>
      <c r="E292" s="5"/>
      <c r="F292" s="3"/>
      <c r="G292" s="3"/>
      <c r="H292" s="5"/>
      <c r="I292" s="5"/>
      <c r="J292" s="5"/>
      <c r="K292" s="5"/>
      <c r="L292" s="6"/>
      <c r="M292" s="6"/>
      <c r="N292" s="7"/>
      <c r="O292" s="3"/>
      <c r="P292" s="3"/>
      <c r="Q292" s="3"/>
      <c r="R292" s="3"/>
    </row>
    <row x14ac:dyDescent="0.25" r="293" customHeight="1" ht="18.75">
      <c r="A293" s="10" t="s">
        <v>361</v>
      </c>
      <c r="B293" s="11">
        <v>36</v>
      </c>
      <c r="C293" s="3"/>
      <c r="D293" s="3"/>
      <c r="E293" s="5"/>
      <c r="F293" s="3"/>
      <c r="G293" s="3"/>
      <c r="H293" s="5"/>
      <c r="I293" s="5"/>
      <c r="J293" s="5"/>
      <c r="K293" s="5"/>
      <c r="L293" s="6"/>
      <c r="M293" s="6"/>
      <c r="N293" s="7"/>
      <c r="O293" s="3"/>
      <c r="P293" s="3"/>
      <c r="Q293" s="3"/>
      <c r="R293" s="3"/>
    </row>
    <row x14ac:dyDescent="0.25" r="294" customHeight="1" ht="18.75">
      <c r="A294" s="10" t="s">
        <v>362</v>
      </c>
      <c r="B294" s="11">
        <v>36</v>
      </c>
      <c r="C294" s="3"/>
      <c r="D294" s="3"/>
      <c r="E294" s="5"/>
      <c r="F294" s="3"/>
      <c r="G294" s="3"/>
      <c r="H294" s="5"/>
      <c r="I294" s="5"/>
      <c r="J294" s="5"/>
      <c r="K294" s="5"/>
      <c r="L294" s="6"/>
      <c r="M294" s="6"/>
      <c r="N294" s="7"/>
      <c r="O294" s="3"/>
      <c r="P294" s="3"/>
      <c r="Q294" s="3"/>
      <c r="R294" s="3"/>
    </row>
    <row x14ac:dyDescent="0.25" r="295" customHeight="1" ht="18.75">
      <c r="A295" s="10" t="s">
        <v>363</v>
      </c>
      <c r="B295" s="11">
        <v>36</v>
      </c>
      <c r="C295" s="3"/>
      <c r="D295" s="3"/>
      <c r="E295" s="5"/>
      <c r="F295" s="3"/>
      <c r="G295" s="3"/>
      <c r="H295" s="5"/>
      <c r="I295" s="5"/>
      <c r="J295" s="5"/>
      <c r="K295" s="5"/>
      <c r="L295" s="6"/>
      <c r="M295" s="6"/>
      <c r="N295" s="7"/>
      <c r="O295" s="3"/>
      <c r="P295" s="3"/>
      <c r="Q295" s="3"/>
      <c r="R295" s="3"/>
    </row>
    <row x14ac:dyDescent="0.25" r="296" customHeight="1" ht="18.75">
      <c r="A296" s="10" t="s">
        <v>364</v>
      </c>
      <c r="B296" s="11">
        <v>36</v>
      </c>
      <c r="C296" s="3"/>
      <c r="D296" s="3"/>
      <c r="E296" s="5"/>
      <c r="F296" s="3"/>
      <c r="G296" s="3"/>
      <c r="H296" s="5"/>
      <c r="I296" s="5"/>
      <c r="J296" s="5"/>
      <c r="K296" s="5"/>
      <c r="L296" s="6"/>
      <c r="M296" s="6"/>
      <c r="N296" s="7"/>
      <c r="O296" s="3"/>
      <c r="P296" s="3"/>
      <c r="Q296" s="3"/>
      <c r="R296" s="3"/>
    </row>
    <row x14ac:dyDescent="0.25" r="297" customHeight="1" ht="18.75">
      <c r="A297" s="10" t="s">
        <v>365</v>
      </c>
      <c r="B297" s="11">
        <v>36</v>
      </c>
      <c r="C297" s="3"/>
      <c r="D297" s="3"/>
      <c r="E297" s="5"/>
      <c r="F297" s="3"/>
      <c r="G297" s="3"/>
      <c r="H297" s="5"/>
      <c r="I297" s="5"/>
      <c r="J297" s="5"/>
      <c r="K297" s="5"/>
      <c r="L297" s="6"/>
      <c r="M297" s="6"/>
      <c r="N297" s="7"/>
      <c r="O297" s="3"/>
      <c r="P297" s="3"/>
      <c r="Q297" s="3"/>
      <c r="R297" s="3"/>
    </row>
    <row x14ac:dyDescent="0.25" r="298" customHeight="1" ht="18.75">
      <c r="A298" s="10" t="s">
        <v>366</v>
      </c>
      <c r="B298" s="11">
        <v>36</v>
      </c>
      <c r="C298" s="3"/>
      <c r="D298" s="3"/>
      <c r="E298" s="5"/>
      <c r="F298" s="3"/>
      <c r="G298" s="3"/>
      <c r="H298" s="5"/>
      <c r="I298" s="5"/>
      <c r="J298" s="5"/>
      <c r="K298" s="5"/>
      <c r="L298" s="6"/>
      <c r="M298" s="6"/>
      <c r="N298" s="7"/>
      <c r="O298" s="3"/>
      <c r="P298" s="3"/>
      <c r="Q298" s="3"/>
      <c r="R298" s="3"/>
    </row>
    <row x14ac:dyDescent="0.25" r="299" customHeight="1" ht="18.75">
      <c r="A299" s="10" t="s">
        <v>367</v>
      </c>
      <c r="B299" s="11">
        <v>36</v>
      </c>
      <c r="C299" s="3"/>
      <c r="D299" s="3"/>
      <c r="E299" s="5"/>
      <c r="F299" s="3"/>
      <c r="G299" s="3"/>
      <c r="H299" s="5"/>
      <c r="I299" s="5"/>
      <c r="J299" s="5"/>
      <c r="K299" s="5"/>
      <c r="L299" s="6"/>
      <c r="M299" s="6"/>
      <c r="N299" s="7"/>
      <c r="O299" s="3"/>
      <c r="P299" s="3"/>
      <c r="Q299" s="3"/>
      <c r="R299" s="3"/>
    </row>
    <row x14ac:dyDescent="0.25" r="300" customHeight="1" ht="18.75">
      <c r="A300" s="10" t="s">
        <v>368</v>
      </c>
      <c r="B300" s="11">
        <v>36</v>
      </c>
      <c r="C300" s="3"/>
      <c r="D300" s="3"/>
      <c r="E300" s="5"/>
      <c r="F300" s="3"/>
      <c r="G300" s="3"/>
      <c r="H300" s="5"/>
      <c r="I300" s="5"/>
      <c r="J300" s="5"/>
      <c r="K300" s="5"/>
      <c r="L300" s="6"/>
      <c r="M300" s="6"/>
      <c r="N300" s="7"/>
      <c r="O300" s="3"/>
      <c r="P300" s="3"/>
      <c r="Q300" s="3"/>
      <c r="R300" s="3"/>
    </row>
    <row x14ac:dyDescent="0.25" r="301" customHeight="1" ht="18.75">
      <c r="A301" s="10" t="s">
        <v>369</v>
      </c>
      <c r="B301" s="11">
        <v>36</v>
      </c>
      <c r="C301" s="3"/>
      <c r="D301" s="3"/>
      <c r="E301" s="5"/>
      <c r="F301" s="3"/>
      <c r="G301" s="3"/>
      <c r="H301" s="5"/>
      <c r="I301" s="5"/>
      <c r="J301" s="5"/>
      <c r="K301" s="5"/>
      <c r="L301" s="6"/>
      <c r="M301" s="6"/>
      <c r="N301" s="7"/>
      <c r="O301" s="3"/>
      <c r="P301" s="3"/>
      <c r="Q301" s="3"/>
      <c r="R301" s="3"/>
    </row>
    <row x14ac:dyDescent="0.25" r="302" customHeight="1" ht="18.75">
      <c r="A302" s="10" t="s">
        <v>370</v>
      </c>
      <c r="B302" s="11">
        <v>36</v>
      </c>
      <c r="C302" s="3"/>
      <c r="D302" s="3"/>
      <c r="E302" s="5"/>
      <c r="F302" s="3"/>
      <c r="G302" s="3"/>
      <c r="H302" s="5"/>
      <c r="I302" s="5"/>
      <c r="J302" s="5"/>
      <c r="K302" s="5"/>
      <c r="L302" s="6"/>
      <c r="M302" s="6"/>
      <c r="N302" s="7"/>
      <c r="O302" s="3"/>
      <c r="P302" s="3"/>
      <c r="Q302" s="3"/>
      <c r="R302" s="3"/>
    </row>
    <row x14ac:dyDescent="0.25" r="303" customHeight="1" ht="18.75">
      <c r="A303" s="10" t="s">
        <v>371</v>
      </c>
      <c r="B303" s="11">
        <v>36</v>
      </c>
      <c r="C303" s="3"/>
      <c r="D303" s="3"/>
      <c r="E303" s="5"/>
      <c r="F303" s="3"/>
      <c r="G303" s="3"/>
      <c r="H303" s="5"/>
      <c r="I303" s="5"/>
      <c r="J303" s="5"/>
      <c r="K303" s="5"/>
      <c r="L303" s="6"/>
      <c r="M303" s="6"/>
      <c r="N303" s="7"/>
      <c r="O303" s="3"/>
      <c r="P303" s="3"/>
      <c r="Q303" s="3"/>
      <c r="R303" s="3"/>
    </row>
    <row x14ac:dyDescent="0.25" r="304" customHeight="1" ht="18.75">
      <c r="A304" s="10" t="s">
        <v>372</v>
      </c>
      <c r="B304" s="11">
        <v>36</v>
      </c>
      <c r="C304" s="3"/>
      <c r="D304" s="3"/>
      <c r="E304" s="5"/>
      <c r="F304" s="3"/>
      <c r="G304" s="3"/>
      <c r="H304" s="5"/>
      <c r="I304" s="5"/>
      <c r="J304" s="5"/>
      <c r="K304" s="5"/>
      <c r="L304" s="6"/>
      <c r="M304" s="6"/>
      <c r="N304" s="7"/>
      <c r="O304" s="3"/>
      <c r="P304" s="3"/>
      <c r="Q304" s="3"/>
      <c r="R304" s="3"/>
    </row>
    <row x14ac:dyDescent="0.25" r="305" customHeight="1" ht="18.75">
      <c r="A305" s="10" t="s">
        <v>373</v>
      </c>
      <c r="B305" s="11">
        <v>36</v>
      </c>
      <c r="C305" s="3"/>
      <c r="D305" s="3"/>
      <c r="E305" s="5"/>
      <c r="F305" s="3"/>
      <c r="G305" s="3"/>
      <c r="H305" s="5"/>
      <c r="I305" s="5"/>
      <c r="J305" s="5"/>
      <c r="K305" s="5"/>
      <c r="L305" s="6"/>
      <c r="M305" s="6"/>
      <c r="N305" s="7"/>
      <c r="O305" s="3"/>
      <c r="P305" s="3"/>
      <c r="Q305" s="3"/>
      <c r="R305" s="3"/>
    </row>
    <row x14ac:dyDescent="0.25" r="306" customHeight="1" ht="18.75">
      <c r="A306" s="10" t="s">
        <v>374</v>
      </c>
      <c r="B306" s="11">
        <v>36</v>
      </c>
      <c r="C306" s="3"/>
      <c r="D306" s="3"/>
      <c r="E306" s="5"/>
      <c r="F306" s="3"/>
      <c r="G306" s="3"/>
      <c r="H306" s="5"/>
      <c r="I306" s="5"/>
      <c r="J306" s="5"/>
      <c r="K306" s="5"/>
      <c r="L306" s="6"/>
      <c r="M306" s="6"/>
      <c r="N306" s="7"/>
      <c r="O306" s="3"/>
      <c r="P306" s="3"/>
      <c r="Q306" s="3"/>
      <c r="R306" s="3"/>
    </row>
    <row x14ac:dyDescent="0.25" r="307" customHeight="1" ht="18.75">
      <c r="A307" s="10" t="s">
        <v>375</v>
      </c>
      <c r="B307" s="11">
        <v>36</v>
      </c>
      <c r="C307" s="3"/>
      <c r="D307" s="3"/>
      <c r="E307" s="5"/>
      <c r="F307" s="3"/>
      <c r="G307" s="3"/>
      <c r="H307" s="5"/>
      <c r="I307" s="5"/>
      <c r="J307" s="5"/>
      <c r="K307" s="5"/>
      <c r="L307" s="6"/>
      <c r="M307" s="6"/>
      <c r="N307" s="7"/>
      <c r="O307" s="3"/>
      <c r="P307" s="3"/>
      <c r="Q307" s="3"/>
      <c r="R307" s="3"/>
    </row>
    <row x14ac:dyDescent="0.25" r="308" customHeight="1" ht="18.75">
      <c r="A308" s="10" t="s">
        <v>376</v>
      </c>
      <c r="B308" s="11">
        <v>36</v>
      </c>
      <c r="C308" s="3"/>
      <c r="D308" s="3"/>
      <c r="E308" s="5"/>
      <c r="F308" s="3"/>
      <c r="G308" s="3"/>
      <c r="H308" s="5"/>
      <c r="I308" s="5"/>
      <c r="J308" s="5"/>
      <c r="K308" s="5"/>
      <c r="L308" s="6"/>
      <c r="M308" s="6"/>
      <c r="N308" s="7"/>
      <c r="O308" s="3"/>
      <c r="P308" s="3"/>
      <c r="Q308" s="3"/>
      <c r="R308" s="3"/>
    </row>
    <row x14ac:dyDescent="0.25" r="309" customHeight="1" ht="18.75">
      <c r="A309" s="10" t="s">
        <v>377</v>
      </c>
      <c r="B309" s="11">
        <v>36</v>
      </c>
      <c r="C309" s="3"/>
      <c r="D309" s="3"/>
      <c r="E309" s="5"/>
      <c r="F309" s="3"/>
      <c r="G309" s="3"/>
      <c r="H309" s="5"/>
      <c r="I309" s="5"/>
      <c r="J309" s="5"/>
      <c r="K309" s="5"/>
      <c r="L309" s="6"/>
      <c r="M309" s="6"/>
      <c r="N309" s="7"/>
      <c r="O309" s="3"/>
      <c r="P309" s="3"/>
      <c r="Q309" s="3"/>
      <c r="R309" s="3"/>
    </row>
    <row x14ac:dyDescent="0.25" r="310" customHeight="1" ht="18.75">
      <c r="A310" s="10" t="s">
        <v>378</v>
      </c>
      <c r="B310" s="11">
        <v>36</v>
      </c>
      <c r="C310" s="3"/>
      <c r="D310" s="3"/>
      <c r="E310" s="5"/>
      <c r="F310" s="3"/>
      <c r="G310" s="3"/>
      <c r="H310" s="5"/>
      <c r="I310" s="5"/>
      <c r="J310" s="5"/>
      <c r="K310" s="5"/>
      <c r="L310" s="6"/>
      <c r="M310" s="6"/>
      <c r="N310" s="7"/>
      <c r="O310" s="3"/>
      <c r="P310" s="3"/>
      <c r="Q310" s="3"/>
      <c r="R310" s="3"/>
    </row>
    <row x14ac:dyDescent="0.25" r="311" customHeight="1" ht="18.75">
      <c r="A311" s="10" t="s">
        <v>379</v>
      </c>
      <c r="B311" s="11">
        <v>36</v>
      </c>
      <c r="C311" s="3"/>
      <c r="D311" s="3"/>
      <c r="E311" s="5"/>
      <c r="F311" s="3"/>
      <c r="G311" s="3"/>
      <c r="H311" s="5"/>
      <c r="I311" s="5"/>
      <c r="J311" s="5"/>
      <c r="K311" s="5"/>
      <c r="L311" s="6"/>
      <c r="M311" s="6"/>
      <c r="N311" s="7"/>
      <c r="O311" s="3"/>
      <c r="P311" s="3"/>
      <c r="Q311" s="3"/>
      <c r="R311" s="3"/>
    </row>
    <row x14ac:dyDescent="0.25" r="312" customHeight="1" ht="18.75">
      <c r="A312" s="10" t="s">
        <v>380</v>
      </c>
      <c r="B312" s="11">
        <v>36</v>
      </c>
      <c r="C312" s="3"/>
      <c r="D312" s="3"/>
      <c r="E312" s="5"/>
      <c r="F312" s="3"/>
      <c r="G312" s="3"/>
      <c r="H312" s="5"/>
      <c r="I312" s="5"/>
      <c r="J312" s="5"/>
      <c r="K312" s="5"/>
      <c r="L312" s="6"/>
      <c r="M312" s="6"/>
      <c r="N312" s="7"/>
      <c r="O312" s="3"/>
      <c r="P312" s="3"/>
      <c r="Q312" s="3"/>
      <c r="R312" s="3"/>
    </row>
    <row x14ac:dyDescent="0.25" r="313" customHeight="1" ht="18.75">
      <c r="A313" s="10" t="s">
        <v>381</v>
      </c>
      <c r="B313" s="11">
        <v>37</v>
      </c>
      <c r="C313" s="3"/>
      <c r="D313" s="3"/>
      <c r="E313" s="5"/>
      <c r="F313" s="3"/>
      <c r="G313" s="3"/>
      <c r="H313" s="5"/>
      <c r="I313" s="5"/>
      <c r="J313" s="5"/>
      <c r="K313" s="5"/>
      <c r="L313" s="6"/>
      <c r="M313" s="6"/>
      <c r="N313" s="7"/>
      <c r="O313" s="3"/>
      <c r="P313" s="3"/>
      <c r="Q313" s="3"/>
      <c r="R313" s="3"/>
    </row>
    <row x14ac:dyDescent="0.25" r="314" customHeight="1" ht="18.75">
      <c r="A314" s="10" t="s">
        <v>382</v>
      </c>
      <c r="B314" s="11">
        <v>37</v>
      </c>
      <c r="C314" s="3"/>
      <c r="D314" s="3"/>
      <c r="E314" s="5"/>
      <c r="F314" s="3"/>
      <c r="G314" s="3"/>
      <c r="H314" s="5"/>
      <c r="I314" s="5"/>
      <c r="J314" s="5"/>
      <c r="K314" s="5"/>
      <c r="L314" s="6"/>
      <c r="M314" s="6"/>
      <c r="N314" s="7"/>
      <c r="O314" s="3"/>
      <c r="P314" s="3"/>
      <c r="Q314" s="3"/>
      <c r="R314" s="3"/>
    </row>
    <row x14ac:dyDescent="0.25" r="315" customHeight="1" ht="18.75">
      <c r="A315" s="10" t="s">
        <v>383</v>
      </c>
      <c r="B315" s="11">
        <v>37</v>
      </c>
      <c r="C315" s="3"/>
      <c r="D315" s="3"/>
      <c r="E315" s="5"/>
      <c r="F315" s="3"/>
      <c r="G315" s="3"/>
      <c r="H315" s="5"/>
      <c r="I315" s="5"/>
      <c r="J315" s="5"/>
      <c r="K315" s="5"/>
      <c r="L315" s="6"/>
      <c r="M315" s="6"/>
      <c r="N315" s="7"/>
      <c r="O315" s="3"/>
      <c r="P315" s="3"/>
      <c r="Q315" s="3"/>
      <c r="R315" s="3"/>
    </row>
    <row x14ac:dyDescent="0.25" r="316" customHeight="1" ht="18.75">
      <c r="A316" s="10" t="s">
        <v>384</v>
      </c>
      <c r="B316" s="11">
        <v>37</v>
      </c>
      <c r="C316" s="3"/>
      <c r="D316" s="3"/>
      <c r="E316" s="5"/>
      <c r="F316" s="3"/>
      <c r="G316" s="3"/>
      <c r="H316" s="5"/>
      <c r="I316" s="5"/>
      <c r="J316" s="5"/>
      <c r="K316" s="5"/>
      <c r="L316" s="6"/>
      <c r="M316" s="6"/>
      <c r="N316" s="7"/>
      <c r="O316" s="3"/>
      <c r="P316" s="3"/>
      <c r="Q316" s="3"/>
      <c r="R316" s="3"/>
    </row>
    <row x14ac:dyDescent="0.25" r="317" customHeight="1" ht="18.75">
      <c r="A317" s="10" t="s">
        <v>385</v>
      </c>
      <c r="B317" s="11">
        <v>37</v>
      </c>
      <c r="C317" s="3"/>
      <c r="D317" s="3"/>
      <c r="E317" s="5"/>
      <c r="F317" s="3"/>
      <c r="G317" s="3"/>
      <c r="H317" s="5"/>
      <c r="I317" s="5"/>
      <c r="J317" s="5"/>
      <c r="K317" s="5"/>
      <c r="L317" s="6"/>
      <c r="M317" s="6"/>
      <c r="N317" s="7"/>
      <c r="O317" s="3"/>
      <c r="P317" s="3"/>
      <c r="Q317" s="3"/>
      <c r="R317" s="3"/>
    </row>
    <row x14ac:dyDescent="0.25" r="318" customHeight="1" ht="18.75">
      <c r="A318" s="10" t="s">
        <v>386</v>
      </c>
      <c r="B318" s="11">
        <v>37</v>
      </c>
      <c r="C318" s="3"/>
      <c r="D318" s="3"/>
      <c r="E318" s="5"/>
      <c r="F318" s="3"/>
      <c r="G318" s="3"/>
      <c r="H318" s="5"/>
      <c r="I318" s="5"/>
      <c r="J318" s="5"/>
      <c r="K318" s="5"/>
      <c r="L318" s="6"/>
      <c r="M318" s="6"/>
      <c r="N318" s="7"/>
      <c r="O318" s="3"/>
      <c r="P318" s="3"/>
      <c r="Q318" s="3"/>
      <c r="R318" s="3"/>
    </row>
    <row x14ac:dyDescent="0.25" r="319" customHeight="1" ht="18.75">
      <c r="A319" s="10" t="s">
        <v>387</v>
      </c>
      <c r="B319" s="11">
        <v>37</v>
      </c>
      <c r="C319" s="3"/>
      <c r="D319" s="3"/>
      <c r="E319" s="5"/>
      <c r="F319" s="3"/>
      <c r="G319" s="3"/>
      <c r="H319" s="5"/>
      <c r="I319" s="5"/>
      <c r="J319" s="5"/>
      <c r="K319" s="5"/>
      <c r="L319" s="6"/>
      <c r="M319" s="6"/>
      <c r="N319" s="7"/>
      <c r="O319" s="3"/>
      <c r="P319" s="3"/>
      <c r="Q319" s="3"/>
      <c r="R319" s="3"/>
    </row>
    <row x14ac:dyDescent="0.25" r="320" customHeight="1" ht="18.75">
      <c r="A320" s="10" t="s">
        <v>388</v>
      </c>
      <c r="B320" s="11">
        <v>37</v>
      </c>
      <c r="C320" s="3"/>
      <c r="D320" s="3"/>
      <c r="E320" s="5"/>
      <c r="F320" s="3"/>
      <c r="G320" s="3"/>
      <c r="H320" s="5"/>
      <c r="I320" s="5"/>
      <c r="J320" s="5"/>
      <c r="K320" s="5"/>
      <c r="L320" s="6"/>
      <c r="M320" s="6"/>
      <c r="N320" s="7"/>
      <c r="O320" s="3"/>
      <c r="P320" s="3"/>
      <c r="Q320" s="3"/>
      <c r="R320" s="3"/>
    </row>
    <row x14ac:dyDescent="0.25" r="321" customHeight="1" ht="18.75">
      <c r="A321" s="10" t="s">
        <v>389</v>
      </c>
      <c r="B321" s="11">
        <v>37</v>
      </c>
      <c r="C321" s="3"/>
      <c r="D321" s="3"/>
      <c r="E321" s="5"/>
      <c r="F321" s="3"/>
      <c r="G321" s="3"/>
      <c r="H321" s="5"/>
      <c r="I321" s="5"/>
      <c r="J321" s="5"/>
      <c r="K321" s="5"/>
      <c r="L321" s="6"/>
      <c r="M321" s="6"/>
      <c r="N321" s="7"/>
      <c r="O321" s="3"/>
      <c r="P321" s="3"/>
      <c r="Q321" s="3"/>
      <c r="R321" s="3"/>
    </row>
    <row x14ac:dyDescent="0.25" r="322" customHeight="1" ht="18.75">
      <c r="A322" s="10" t="s">
        <v>390</v>
      </c>
      <c r="B322" s="11">
        <v>37</v>
      </c>
      <c r="C322" s="3"/>
      <c r="D322" s="3"/>
      <c r="E322" s="5"/>
      <c r="F322" s="3"/>
      <c r="G322" s="3"/>
      <c r="H322" s="5"/>
      <c r="I322" s="5"/>
      <c r="J322" s="5"/>
      <c r="K322" s="5"/>
      <c r="L322" s="6"/>
      <c r="M322" s="6"/>
      <c r="N322" s="7"/>
      <c r="O322" s="3"/>
      <c r="P322" s="3"/>
      <c r="Q322" s="3"/>
      <c r="R322" s="3"/>
    </row>
    <row x14ac:dyDescent="0.25" r="323" customHeight="1" ht="18.75">
      <c r="A323" s="10" t="s">
        <v>391</v>
      </c>
      <c r="B323" s="11">
        <v>37</v>
      </c>
      <c r="C323" s="3"/>
      <c r="D323" s="3"/>
      <c r="E323" s="5"/>
      <c r="F323" s="3"/>
      <c r="G323" s="3"/>
      <c r="H323" s="5"/>
      <c r="I323" s="5"/>
      <c r="J323" s="5"/>
      <c r="K323" s="5"/>
      <c r="L323" s="6"/>
      <c r="M323" s="6"/>
      <c r="N323" s="7"/>
      <c r="O323" s="3"/>
      <c r="P323" s="3"/>
      <c r="Q323" s="3"/>
      <c r="R323" s="3"/>
    </row>
    <row x14ac:dyDescent="0.25" r="324" customHeight="1" ht="18.75">
      <c r="A324" s="10" t="s">
        <v>392</v>
      </c>
      <c r="B324" s="11">
        <v>37</v>
      </c>
      <c r="C324" s="3"/>
      <c r="D324" s="3"/>
      <c r="E324" s="5"/>
      <c r="F324" s="3"/>
      <c r="G324" s="3"/>
      <c r="H324" s="5"/>
      <c r="I324" s="5"/>
      <c r="J324" s="5"/>
      <c r="K324" s="5"/>
      <c r="L324" s="6"/>
      <c r="M324" s="6"/>
      <c r="N324" s="7"/>
      <c r="O324" s="3"/>
      <c r="P324" s="3"/>
      <c r="Q324" s="3"/>
      <c r="R324" s="3"/>
    </row>
    <row x14ac:dyDescent="0.25" r="325" customHeight="1" ht="18.75">
      <c r="A325" s="10" t="s">
        <v>393</v>
      </c>
      <c r="B325" s="11">
        <v>37</v>
      </c>
      <c r="C325" s="3"/>
      <c r="D325" s="3"/>
      <c r="E325" s="5"/>
      <c r="F325" s="3"/>
      <c r="G325" s="3"/>
      <c r="H325" s="5"/>
      <c r="I325" s="5"/>
      <c r="J325" s="5"/>
      <c r="K325" s="5"/>
      <c r="L325" s="6"/>
      <c r="M325" s="6"/>
      <c r="N325" s="7"/>
      <c r="O325" s="3"/>
      <c r="P325" s="3"/>
      <c r="Q325" s="3"/>
      <c r="R325" s="3"/>
    </row>
    <row x14ac:dyDescent="0.25" r="326" customHeight="1" ht="18.75">
      <c r="A326" s="10" t="s">
        <v>394</v>
      </c>
      <c r="B326" s="11">
        <v>37</v>
      </c>
      <c r="C326" s="3"/>
      <c r="D326" s="3"/>
      <c r="E326" s="5"/>
      <c r="F326" s="3"/>
      <c r="G326" s="3"/>
      <c r="H326" s="5"/>
      <c r="I326" s="5"/>
      <c r="J326" s="5"/>
      <c r="K326" s="5"/>
      <c r="L326" s="6"/>
      <c r="M326" s="6"/>
      <c r="N326" s="7"/>
      <c r="O326" s="3"/>
      <c r="P326" s="3"/>
      <c r="Q326" s="3"/>
      <c r="R326" s="3"/>
    </row>
    <row x14ac:dyDescent="0.25" r="327" customHeight="1" ht="18.75">
      <c r="A327" s="10" t="s">
        <v>395</v>
      </c>
      <c r="B327" s="11">
        <v>37</v>
      </c>
      <c r="C327" s="3"/>
      <c r="D327" s="3"/>
      <c r="E327" s="5"/>
      <c r="F327" s="3"/>
      <c r="G327" s="3"/>
      <c r="H327" s="5"/>
      <c r="I327" s="5"/>
      <c r="J327" s="5"/>
      <c r="K327" s="5"/>
      <c r="L327" s="6"/>
      <c r="M327" s="6"/>
      <c r="N327" s="7"/>
      <c r="O327" s="3"/>
      <c r="P327" s="3"/>
      <c r="Q327" s="3"/>
      <c r="R327" s="3"/>
    </row>
    <row x14ac:dyDescent="0.25" r="328" customHeight="1" ht="18.75">
      <c r="A328" s="10" t="s">
        <v>396</v>
      </c>
      <c r="B328" s="11">
        <v>37</v>
      </c>
      <c r="C328" s="3"/>
      <c r="D328" s="3"/>
      <c r="E328" s="5"/>
      <c r="F328" s="3"/>
      <c r="G328" s="3"/>
      <c r="H328" s="5"/>
      <c r="I328" s="5"/>
      <c r="J328" s="5"/>
      <c r="K328" s="5"/>
      <c r="L328" s="6"/>
      <c r="M328" s="6"/>
      <c r="N328" s="7"/>
      <c r="O328" s="3"/>
      <c r="P328" s="3"/>
      <c r="Q328" s="3"/>
      <c r="R328" s="3"/>
    </row>
    <row x14ac:dyDescent="0.25" r="329" customHeight="1" ht="18.75">
      <c r="A329" s="10" t="s">
        <v>397</v>
      </c>
      <c r="B329" s="11">
        <v>37</v>
      </c>
      <c r="C329" s="3"/>
      <c r="D329" s="3"/>
      <c r="E329" s="5"/>
      <c r="F329" s="3"/>
      <c r="G329" s="3"/>
      <c r="H329" s="5"/>
      <c r="I329" s="5"/>
      <c r="J329" s="5"/>
      <c r="K329" s="5"/>
      <c r="L329" s="6"/>
      <c r="M329" s="6"/>
      <c r="N329" s="7"/>
      <c r="O329" s="3"/>
      <c r="P329" s="3"/>
      <c r="Q329" s="3"/>
      <c r="R329" s="3"/>
    </row>
    <row x14ac:dyDescent="0.25" r="330" customHeight="1" ht="18.75">
      <c r="A330" s="10" t="s">
        <v>398</v>
      </c>
      <c r="B330" s="11">
        <v>37</v>
      </c>
      <c r="C330" s="3"/>
      <c r="D330" s="3"/>
      <c r="E330" s="5"/>
      <c r="F330" s="3"/>
      <c r="G330" s="3"/>
      <c r="H330" s="5"/>
      <c r="I330" s="5"/>
      <c r="J330" s="5"/>
      <c r="K330" s="5"/>
      <c r="L330" s="6"/>
      <c r="M330" s="6"/>
      <c r="N330" s="7"/>
      <c r="O330" s="3"/>
      <c r="P330" s="3"/>
      <c r="Q330" s="3"/>
      <c r="R330" s="3"/>
    </row>
    <row x14ac:dyDescent="0.25" r="331" customHeight="1" ht="18.75">
      <c r="A331" s="10" t="s">
        <v>399</v>
      </c>
      <c r="B331" s="11">
        <v>37</v>
      </c>
      <c r="C331" s="3"/>
      <c r="D331" s="3"/>
      <c r="E331" s="5"/>
      <c r="F331" s="3"/>
      <c r="G331" s="3"/>
      <c r="H331" s="5"/>
      <c r="I331" s="5"/>
      <c r="J331" s="5"/>
      <c r="K331" s="5"/>
      <c r="L331" s="6"/>
      <c r="M331" s="6"/>
      <c r="N331" s="7"/>
      <c r="O331" s="3"/>
      <c r="P331" s="3"/>
      <c r="Q331" s="3"/>
      <c r="R331" s="3"/>
    </row>
    <row x14ac:dyDescent="0.25" r="332" customHeight="1" ht="18.75">
      <c r="A332" s="10" t="s">
        <v>400</v>
      </c>
      <c r="B332" s="11">
        <v>37</v>
      </c>
      <c r="C332" s="3"/>
      <c r="D332" s="3"/>
      <c r="E332" s="5"/>
      <c r="F332" s="3"/>
      <c r="G332" s="3"/>
      <c r="H332" s="5"/>
      <c r="I332" s="5"/>
      <c r="J332" s="5"/>
      <c r="K332" s="5"/>
      <c r="L332" s="6"/>
      <c r="M332" s="6"/>
      <c r="N332" s="7"/>
      <c r="O332" s="3"/>
      <c r="P332" s="3"/>
      <c r="Q332" s="3"/>
      <c r="R332" s="3"/>
    </row>
    <row x14ac:dyDescent="0.25" r="333" customHeight="1" ht="18.75">
      <c r="A333" s="10" t="s">
        <v>401</v>
      </c>
      <c r="B333" s="11">
        <v>37</v>
      </c>
      <c r="C333" s="3"/>
      <c r="D333" s="3"/>
      <c r="E333" s="5"/>
      <c r="F333" s="3"/>
      <c r="G333" s="3"/>
      <c r="H333" s="5"/>
      <c r="I333" s="5"/>
      <c r="J333" s="5"/>
      <c r="K333" s="5"/>
      <c r="L333" s="6"/>
      <c r="M333" s="6"/>
      <c r="N333" s="7"/>
      <c r="O333" s="3"/>
      <c r="P333" s="3"/>
      <c r="Q333" s="3"/>
      <c r="R333" s="3"/>
    </row>
    <row x14ac:dyDescent="0.25" r="334" customHeight="1" ht="18.75">
      <c r="A334" s="10" t="s">
        <v>402</v>
      </c>
      <c r="B334" s="11">
        <v>37</v>
      </c>
      <c r="C334" s="3"/>
      <c r="D334" s="3"/>
      <c r="E334" s="5"/>
      <c r="F334" s="3"/>
      <c r="G334" s="3"/>
      <c r="H334" s="5"/>
      <c r="I334" s="5"/>
      <c r="J334" s="5"/>
      <c r="K334" s="5"/>
      <c r="L334" s="6"/>
      <c r="M334" s="6"/>
      <c r="N334" s="7"/>
      <c r="O334" s="3"/>
      <c r="P334" s="3"/>
      <c r="Q334" s="3"/>
      <c r="R334" s="3"/>
    </row>
    <row x14ac:dyDescent="0.25" r="335" customHeight="1" ht="18.75">
      <c r="A335" s="10" t="s">
        <v>403</v>
      </c>
      <c r="B335" s="11">
        <v>37</v>
      </c>
      <c r="C335" s="3"/>
      <c r="D335" s="3"/>
      <c r="E335" s="5"/>
      <c r="F335" s="3"/>
      <c r="G335" s="3"/>
      <c r="H335" s="5"/>
      <c r="I335" s="5"/>
      <c r="J335" s="5"/>
      <c r="K335" s="5"/>
      <c r="L335" s="6"/>
      <c r="M335" s="6"/>
      <c r="N335" s="7"/>
      <c r="O335" s="3"/>
      <c r="P335" s="3"/>
      <c r="Q335" s="3"/>
      <c r="R335" s="3"/>
    </row>
    <row x14ac:dyDescent="0.25" r="336" customHeight="1" ht="18.75">
      <c r="A336" s="10" t="s">
        <v>404</v>
      </c>
      <c r="B336" s="11">
        <v>37</v>
      </c>
      <c r="C336" s="3"/>
      <c r="D336" s="3"/>
      <c r="E336" s="5"/>
      <c r="F336" s="3"/>
      <c r="G336" s="3"/>
      <c r="H336" s="5"/>
      <c r="I336" s="5"/>
      <c r="J336" s="5"/>
      <c r="K336" s="5"/>
      <c r="L336" s="6"/>
      <c r="M336" s="6"/>
      <c r="N336" s="7"/>
      <c r="O336" s="3"/>
      <c r="P336" s="3"/>
      <c r="Q336" s="3"/>
      <c r="R336" s="3"/>
    </row>
    <row x14ac:dyDescent="0.25" r="337" customHeight="1" ht="18.75">
      <c r="A337" s="10" t="s">
        <v>405</v>
      </c>
      <c r="B337" s="11">
        <v>37</v>
      </c>
      <c r="C337" s="3"/>
      <c r="D337" s="3"/>
      <c r="E337" s="5"/>
      <c r="F337" s="3"/>
      <c r="G337" s="3"/>
      <c r="H337" s="5"/>
      <c r="I337" s="5"/>
      <c r="J337" s="5"/>
      <c r="K337" s="5"/>
      <c r="L337" s="6"/>
      <c r="M337" s="6"/>
      <c r="N337" s="7"/>
      <c r="O337" s="3"/>
      <c r="P337" s="3"/>
      <c r="Q337" s="3"/>
      <c r="R337" s="3"/>
    </row>
    <row x14ac:dyDescent="0.25" r="338" customHeight="1" ht="18.75">
      <c r="A338" s="10" t="s">
        <v>406</v>
      </c>
      <c r="B338" s="11">
        <v>37</v>
      </c>
      <c r="C338" s="3"/>
      <c r="D338" s="3"/>
      <c r="E338" s="5"/>
      <c r="F338" s="3"/>
      <c r="G338" s="3"/>
      <c r="H338" s="5"/>
      <c r="I338" s="5"/>
      <c r="J338" s="5"/>
      <c r="K338" s="5"/>
      <c r="L338" s="6"/>
      <c r="M338" s="6"/>
      <c r="N338" s="7"/>
      <c r="O338" s="3"/>
      <c r="P338" s="3"/>
      <c r="Q338" s="3"/>
      <c r="R338" s="3"/>
    </row>
    <row x14ac:dyDescent="0.25" r="339" customHeight="1" ht="18.75">
      <c r="A339" s="10" t="s">
        <v>407</v>
      </c>
      <c r="B339" s="11">
        <v>37</v>
      </c>
      <c r="C339" s="3"/>
      <c r="D339" s="3"/>
      <c r="E339" s="5"/>
      <c r="F339" s="3"/>
      <c r="G339" s="3"/>
      <c r="H339" s="5"/>
      <c r="I339" s="5"/>
      <c r="J339" s="5"/>
      <c r="K339" s="5"/>
      <c r="L339" s="6"/>
      <c r="M339" s="6"/>
      <c r="N339" s="7"/>
      <c r="O339" s="3"/>
      <c r="P339" s="3"/>
      <c r="Q339" s="3"/>
      <c r="R339" s="3"/>
    </row>
    <row x14ac:dyDescent="0.25" r="340" customHeight="1" ht="18.75">
      <c r="A340" s="10" t="s">
        <v>408</v>
      </c>
      <c r="B340" s="11">
        <v>37</v>
      </c>
      <c r="C340" s="3"/>
      <c r="D340" s="3"/>
      <c r="E340" s="5"/>
      <c r="F340" s="3"/>
      <c r="G340" s="3"/>
      <c r="H340" s="5"/>
      <c r="I340" s="5"/>
      <c r="J340" s="5"/>
      <c r="K340" s="5"/>
      <c r="L340" s="6"/>
      <c r="M340" s="6"/>
      <c r="N340" s="7"/>
      <c r="O340" s="3"/>
      <c r="P340" s="3"/>
      <c r="Q340" s="3"/>
      <c r="R340" s="3"/>
    </row>
    <row x14ac:dyDescent="0.25" r="341" customHeight="1" ht="18.75">
      <c r="A341" s="10" t="s">
        <v>409</v>
      </c>
      <c r="B341" s="11">
        <v>38</v>
      </c>
      <c r="C341" s="3"/>
      <c r="D341" s="3"/>
      <c r="E341" s="5"/>
      <c r="F341" s="3"/>
      <c r="G341" s="3"/>
      <c r="H341" s="5"/>
      <c r="I341" s="5"/>
      <c r="J341" s="5"/>
      <c r="K341" s="5"/>
      <c r="L341" s="6"/>
      <c r="M341" s="6"/>
      <c r="N341" s="7"/>
      <c r="O341" s="3"/>
      <c r="P341" s="3"/>
      <c r="Q341" s="3"/>
      <c r="R341" s="3"/>
    </row>
    <row x14ac:dyDescent="0.25" r="342" customHeight="1" ht="18.75">
      <c r="A342" s="10" t="s">
        <v>410</v>
      </c>
      <c r="B342" s="11">
        <v>38</v>
      </c>
      <c r="C342" s="3"/>
      <c r="D342" s="3"/>
      <c r="E342" s="5"/>
      <c r="F342" s="3"/>
      <c r="G342" s="3"/>
      <c r="H342" s="5"/>
      <c r="I342" s="5"/>
      <c r="J342" s="5"/>
      <c r="K342" s="5"/>
      <c r="L342" s="6"/>
      <c r="M342" s="6"/>
      <c r="N342" s="7"/>
      <c r="O342" s="3"/>
      <c r="P342" s="3"/>
      <c r="Q342" s="3"/>
      <c r="R342" s="3"/>
    </row>
    <row x14ac:dyDescent="0.25" r="343" customHeight="1" ht="18.75">
      <c r="A343" s="10" t="s">
        <v>411</v>
      </c>
      <c r="B343" s="11">
        <v>38</v>
      </c>
      <c r="C343" s="3"/>
      <c r="D343" s="3"/>
      <c r="E343" s="5"/>
      <c r="F343" s="3"/>
      <c r="G343" s="3"/>
      <c r="H343" s="5"/>
      <c r="I343" s="5"/>
      <c r="J343" s="5"/>
      <c r="K343" s="5"/>
      <c r="L343" s="6"/>
      <c r="M343" s="6"/>
      <c r="N343" s="7"/>
      <c r="O343" s="3"/>
      <c r="P343" s="3"/>
      <c r="Q343" s="3"/>
      <c r="R343" s="3"/>
    </row>
    <row x14ac:dyDescent="0.25" r="344" customHeight="1" ht="18.75">
      <c r="A344" s="10" t="s">
        <v>412</v>
      </c>
      <c r="B344" s="11">
        <v>38</v>
      </c>
      <c r="C344" s="3"/>
      <c r="D344" s="3"/>
      <c r="E344" s="5"/>
      <c r="F344" s="3"/>
      <c r="G344" s="3"/>
      <c r="H344" s="5"/>
      <c r="I344" s="5"/>
      <c r="J344" s="5"/>
      <c r="K344" s="5"/>
      <c r="L344" s="6"/>
      <c r="M344" s="6"/>
      <c r="N344" s="7"/>
      <c r="O344" s="3"/>
      <c r="P344" s="3"/>
      <c r="Q344" s="3"/>
      <c r="R344" s="3"/>
    </row>
    <row x14ac:dyDescent="0.25" r="345" customHeight="1" ht="18.75">
      <c r="A345" s="10" t="s">
        <v>413</v>
      </c>
      <c r="B345" s="11">
        <v>38</v>
      </c>
      <c r="C345" s="3"/>
      <c r="D345" s="3"/>
      <c r="E345" s="5"/>
      <c r="F345" s="3"/>
      <c r="G345" s="3"/>
      <c r="H345" s="5"/>
      <c r="I345" s="5"/>
      <c r="J345" s="5"/>
      <c r="K345" s="5"/>
      <c r="L345" s="6"/>
      <c r="M345" s="6"/>
      <c r="N345" s="7"/>
      <c r="O345" s="3"/>
      <c r="P345" s="3"/>
      <c r="Q345" s="3"/>
      <c r="R345" s="3"/>
    </row>
    <row x14ac:dyDescent="0.25" r="346" customHeight="1" ht="18.75">
      <c r="A346" s="10" t="s">
        <v>414</v>
      </c>
      <c r="B346" s="11">
        <v>38</v>
      </c>
      <c r="C346" s="3"/>
      <c r="D346" s="3"/>
      <c r="E346" s="5"/>
      <c r="F346" s="3"/>
      <c r="G346" s="3"/>
      <c r="H346" s="5"/>
      <c r="I346" s="5"/>
      <c r="J346" s="5"/>
      <c r="K346" s="5"/>
      <c r="L346" s="6"/>
      <c r="M346" s="6"/>
      <c r="N346" s="7"/>
      <c r="O346" s="3"/>
      <c r="P346" s="3"/>
      <c r="Q346" s="3"/>
      <c r="R346" s="3"/>
    </row>
    <row x14ac:dyDescent="0.25" r="347" customHeight="1" ht="18.75">
      <c r="A347" s="10" t="s">
        <v>415</v>
      </c>
      <c r="B347" s="11">
        <v>38</v>
      </c>
      <c r="C347" s="3"/>
      <c r="D347" s="3"/>
      <c r="E347" s="5"/>
      <c r="F347" s="3"/>
      <c r="G347" s="3"/>
      <c r="H347" s="5"/>
      <c r="I347" s="5"/>
      <c r="J347" s="5"/>
      <c r="K347" s="5"/>
      <c r="L347" s="6"/>
      <c r="M347" s="6"/>
      <c r="N347" s="7"/>
      <c r="O347" s="3"/>
      <c r="P347" s="3"/>
      <c r="Q347" s="3"/>
      <c r="R347" s="3"/>
    </row>
    <row x14ac:dyDescent="0.25" r="348" customHeight="1" ht="18.75">
      <c r="A348" s="10" t="s">
        <v>416</v>
      </c>
      <c r="B348" s="11">
        <v>38</v>
      </c>
      <c r="C348" s="3"/>
      <c r="D348" s="3"/>
      <c r="E348" s="5"/>
      <c r="F348" s="3"/>
      <c r="G348" s="3"/>
      <c r="H348" s="5"/>
      <c r="I348" s="5"/>
      <c r="J348" s="5"/>
      <c r="K348" s="5"/>
      <c r="L348" s="6"/>
      <c r="M348" s="6"/>
      <c r="N348" s="7"/>
      <c r="O348" s="3"/>
      <c r="P348" s="3"/>
      <c r="Q348" s="3"/>
      <c r="R348" s="3"/>
    </row>
    <row x14ac:dyDescent="0.25" r="349" customHeight="1" ht="18.75">
      <c r="A349" s="10" t="s">
        <v>417</v>
      </c>
      <c r="B349" s="11">
        <v>38</v>
      </c>
      <c r="C349" s="3"/>
      <c r="D349" s="3"/>
      <c r="E349" s="5"/>
      <c r="F349" s="3"/>
      <c r="G349" s="3"/>
      <c r="H349" s="5"/>
      <c r="I349" s="5"/>
      <c r="J349" s="5"/>
      <c r="K349" s="5"/>
      <c r="L349" s="6"/>
      <c r="M349" s="6"/>
      <c r="N349" s="7"/>
      <c r="O349" s="3"/>
      <c r="P349" s="3"/>
      <c r="Q349" s="3"/>
      <c r="R349" s="3"/>
    </row>
    <row x14ac:dyDescent="0.25" r="350" customHeight="1" ht="18.75">
      <c r="A350" s="10" t="s">
        <v>418</v>
      </c>
      <c r="B350" s="11">
        <v>38</v>
      </c>
      <c r="C350" s="3"/>
      <c r="D350" s="3"/>
      <c r="E350" s="5"/>
      <c r="F350" s="3"/>
      <c r="G350" s="3"/>
      <c r="H350" s="5"/>
      <c r="I350" s="5"/>
      <c r="J350" s="5"/>
      <c r="K350" s="5"/>
      <c r="L350" s="6"/>
      <c r="M350" s="6"/>
      <c r="N350" s="7"/>
      <c r="O350" s="3"/>
      <c r="P350" s="3"/>
      <c r="Q350" s="3"/>
      <c r="R350" s="3"/>
    </row>
    <row x14ac:dyDescent="0.25" r="351" customHeight="1" ht="18.75">
      <c r="A351" s="10" t="s">
        <v>419</v>
      </c>
      <c r="B351" s="11">
        <v>38</v>
      </c>
      <c r="C351" s="3"/>
      <c r="D351" s="3"/>
      <c r="E351" s="5"/>
      <c r="F351" s="3"/>
      <c r="G351" s="3"/>
      <c r="H351" s="5"/>
      <c r="I351" s="5"/>
      <c r="J351" s="5"/>
      <c r="K351" s="5"/>
      <c r="L351" s="6"/>
      <c r="M351" s="6"/>
      <c r="N351" s="7"/>
      <c r="O351" s="3"/>
      <c r="P351" s="3"/>
      <c r="Q351" s="3"/>
      <c r="R351" s="3"/>
    </row>
    <row x14ac:dyDescent="0.25" r="352" customHeight="1" ht="18.75">
      <c r="A352" s="10" t="s">
        <v>420</v>
      </c>
      <c r="B352" s="11">
        <v>38</v>
      </c>
      <c r="C352" s="3"/>
      <c r="D352" s="3"/>
      <c r="E352" s="5"/>
      <c r="F352" s="3"/>
      <c r="G352" s="3"/>
      <c r="H352" s="5"/>
      <c r="I352" s="5"/>
      <c r="J352" s="5"/>
      <c r="K352" s="5"/>
      <c r="L352" s="6"/>
      <c r="M352" s="6"/>
      <c r="N352" s="7"/>
      <c r="O352" s="3"/>
      <c r="P352" s="3"/>
      <c r="Q352" s="3"/>
      <c r="R352" s="3"/>
    </row>
    <row x14ac:dyDescent="0.25" r="353" customHeight="1" ht="18.75">
      <c r="A353" s="10" t="s">
        <v>421</v>
      </c>
      <c r="B353" s="11">
        <v>38</v>
      </c>
      <c r="C353" s="3"/>
      <c r="D353" s="3"/>
      <c r="E353" s="5"/>
      <c r="F353" s="3"/>
      <c r="G353" s="3"/>
      <c r="H353" s="5"/>
      <c r="I353" s="5"/>
      <c r="J353" s="5"/>
      <c r="K353" s="5"/>
      <c r="L353" s="6"/>
      <c r="M353" s="6"/>
      <c r="N353" s="7"/>
      <c r="O353" s="3"/>
      <c r="P353" s="3"/>
      <c r="Q353" s="3"/>
      <c r="R353" s="3"/>
    </row>
    <row x14ac:dyDescent="0.25" r="354" customHeight="1" ht="18.75">
      <c r="A354" s="10" t="s">
        <v>422</v>
      </c>
      <c r="B354" s="11">
        <v>38</v>
      </c>
      <c r="C354" s="3"/>
      <c r="D354" s="3"/>
      <c r="E354" s="5"/>
      <c r="F354" s="3"/>
      <c r="G354" s="3"/>
      <c r="H354" s="5"/>
      <c r="I354" s="5"/>
      <c r="J354" s="5"/>
      <c r="K354" s="5"/>
      <c r="L354" s="6"/>
      <c r="M354" s="6"/>
      <c r="N354" s="7"/>
      <c r="O354" s="3"/>
      <c r="P354" s="3"/>
      <c r="Q354" s="3"/>
      <c r="R354" s="3"/>
    </row>
    <row x14ac:dyDescent="0.25" r="355" customHeight="1" ht="18.75">
      <c r="A355" s="10" t="s">
        <v>423</v>
      </c>
      <c r="B355" s="11">
        <v>38</v>
      </c>
      <c r="C355" s="3"/>
      <c r="D355" s="3"/>
      <c r="E355" s="5"/>
      <c r="F355" s="3"/>
      <c r="G355" s="3"/>
      <c r="H355" s="5"/>
      <c r="I355" s="5"/>
      <c r="J355" s="5"/>
      <c r="K355" s="5"/>
      <c r="L355" s="6"/>
      <c r="M355" s="6"/>
      <c r="N355" s="7"/>
      <c r="O355" s="3"/>
      <c r="P355" s="3"/>
      <c r="Q355" s="3"/>
      <c r="R355" s="3"/>
    </row>
    <row x14ac:dyDescent="0.25" r="356" customHeight="1" ht="18.75">
      <c r="A356" s="10" t="s">
        <v>424</v>
      </c>
      <c r="B356" s="11">
        <v>38</v>
      </c>
      <c r="C356" s="3"/>
      <c r="D356" s="3"/>
      <c r="E356" s="5"/>
      <c r="F356" s="3"/>
      <c r="G356" s="3"/>
      <c r="H356" s="5"/>
      <c r="I356" s="5"/>
      <c r="J356" s="5"/>
      <c r="K356" s="5"/>
      <c r="L356" s="6"/>
      <c r="M356" s="6"/>
      <c r="N356" s="7"/>
      <c r="O356" s="3"/>
      <c r="P356" s="3"/>
      <c r="Q356" s="3"/>
      <c r="R356" s="3"/>
    </row>
    <row x14ac:dyDescent="0.25" r="357" customHeight="1" ht="18.75">
      <c r="A357" s="10" t="s">
        <v>425</v>
      </c>
      <c r="B357" s="11">
        <v>38</v>
      </c>
      <c r="C357" s="3"/>
      <c r="D357" s="3"/>
      <c r="E357" s="5"/>
      <c r="F357" s="3"/>
      <c r="G357" s="3"/>
      <c r="H357" s="5"/>
      <c r="I357" s="5"/>
      <c r="J357" s="5"/>
      <c r="K357" s="5"/>
      <c r="L357" s="6"/>
      <c r="M357" s="6"/>
      <c r="N357" s="7"/>
      <c r="O357" s="3"/>
      <c r="P357" s="3"/>
      <c r="Q357" s="3"/>
      <c r="R357" s="3"/>
    </row>
    <row x14ac:dyDescent="0.25" r="358" customHeight="1" ht="18.75">
      <c r="A358" s="10" t="s">
        <v>426</v>
      </c>
      <c r="B358" s="11">
        <v>39</v>
      </c>
      <c r="C358" s="3"/>
      <c r="D358" s="3"/>
      <c r="E358" s="5"/>
      <c r="F358" s="3"/>
      <c r="G358" s="3"/>
      <c r="H358" s="5"/>
      <c r="I358" s="5"/>
      <c r="J358" s="5"/>
      <c r="K358" s="5"/>
      <c r="L358" s="6"/>
      <c r="M358" s="6"/>
      <c r="N358" s="7"/>
      <c r="O358" s="3"/>
      <c r="P358" s="3"/>
      <c r="Q358" s="3"/>
      <c r="R358" s="3"/>
    </row>
    <row x14ac:dyDescent="0.25" r="359" customHeight="1" ht="18.75">
      <c r="A359" s="10" t="s">
        <v>427</v>
      </c>
      <c r="B359" s="11">
        <v>39</v>
      </c>
      <c r="C359" s="3"/>
      <c r="D359" s="3"/>
      <c r="E359" s="5"/>
      <c r="F359" s="3"/>
      <c r="G359" s="3"/>
      <c r="H359" s="5"/>
      <c r="I359" s="5"/>
      <c r="J359" s="5"/>
      <c r="K359" s="5"/>
      <c r="L359" s="6"/>
      <c r="M359" s="6"/>
      <c r="N359" s="7"/>
      <c r="O359" s="3"/>
      <c r="P359" s="3"/>
      <c r="Q359" s="3"/>
      <c r="R359" s="3"/>
    </row>
    <row x14ac:dyDescent="0.25" r="360" customHeight="1" ht="18.75">
      <c r="A360" s="10" t="s">
        <v>428</v>
      </c>
      <c r="B360" s="11">
        <v>39</v>
      </c>
      <c r="C360" s="3"/>
      <c r="D360" s="3"/>
      <c r="E360" s="5"/>
      <c r="F360" s="3"/>
      <c r="G360" s="3"/>
      <c r="H360" s="5"/>
      <c r="I360" s="5"/>
      <c r="J360" s="5"/>
      <c r="K360" s="5"/>
      <c r="L360" s="6"/>
      <c r="M360" s="6"/>
      <c r="N360" s="7"/>
      <c r="O360" s="3"/>
      <c r="P360" s="3"/>
      <c r="Q360" s="3"/>
      <c r="R360" s="3"/>
    </row>
    <row x14ac:dyDescent="0.25" r="361" customHeight="1" ht="18.75">
      <c r="A361" s="10" t="s">
        <v>429</v>
      </c>
      <c r="B361" s="11">
        <v>39</v>
      </c>
      <c r="C361" s="3"/>
      <c r="D361" s="3"/>
      <c r="E361" s="5"/>
      <c r="F361" s="3"/>
      <c r="G361" s="3"/>
      <c r="H361" s="5"/>
      <c r="I361" s="5"/>
      <c r="J361" s="5"/>
      <c r="K361" s="5"/>
      <c r="L361" s="6"/>
      <c r="M361" s="6"/>
      <c r="N361" s="7"/>
      <c r="O361" s="3"/>
      <c r="P361" s="3"/>
      <c r="Q361" s="3"/>
      <c r="R361" s="3"/>
    </row>
    <row x14ac:dyDescent="0.25" r="362" customHeight="1" ht="18.75">
      <c r="A362" s="10" t="s">
        <v>430</v>
      </c>
      <c r="B362" s="11">
        <v>39</v>
      </c>
      <c r="C362" s="3"/>
      <c r="D362" s="3"/>
      <c r="E362" s="5"/>
      <c r="F362" s="3"/>
      <c r="G362" s="3"/>
      <c r="H362" s="5"/>
      <c r="I362" s="5"/>
      <c r="J362" s="5"/>
      <c r="K362" s="5"/>
      <c r="L362" s="6"/>
      <c r="M362" s="6"/>
      <c r="N362" s="7"/>
      <c r="O362" s="3"/>
      <c r="P362" s="3"/>
      <c r="Q362" s="3"/>
      <c r="R362" s="3"/>
    </row>
    <row x14ac:dyDescent="0.25" r="363" customHeight="1" ht="18.75">
      <c r="A363" s="10" t="s">
        <v>431</v>
      </c>
      <c r="B363" s="11">
        <v>39</v>
      </c>
      <c r="C363" s="3"/>
      <c r="D363" s="3"/>
      <c r="E363" s="5"/>
      <c r="F363" s="3"/>
      <c r="G363" s="3"/>
      <c r="H363" s="5"/>
      <c r="I363" s="5"/>
      <c r="J363" s="5"/>
      <c r="K363" s="5"/>
      <c r="L363" s="6"/>
      <c r="M363" s="6"/>
      <c r="N363" s="7"/>
      <c r="O363" s="3"/>
      <c r="P363" s="3"/>
      <c r="Q363" s="3"/>
      <c r="R363" s="3"/>
    </row>
    <row x14ac:dyDescent="0.25" r="364" customHeight="1" ht="18.75">
      <c r="A364" s="10" t="s">
        <v>432</v>
      </c>
      <c r="B364" s="11">
        <v>39</v>
      </c>
      <c r="C364" s="3"/>
      <c r="D364" s="3"/>
      <c r="E364" s="5"/>
      <c r="F364" s="3"/>
      <c r="G364" s="3"/>
      <c r="H364" s="5"/>
      <c r="I364" s="5"/>
      <c r="J364" s="5"/>
      <c r="K364" s="5"/>
      <c r="L364" s="6"/>
      <c r="M364" s="6"/>
      <c r="N364" s="7"/>
      <c r="O364" s="3"/>
      <c r="P364" s="3"/>
      <c r="Q364" s="3"/>
      <c r="R364" s="3"/>
    </row>
    <row x14ac:dyDescent="0.25" r="365" customHeight="1" ht="18.75">
      <c r="A365" s="10" t="s">
        <v>433</v>
      </c>
      <c r="B365" s="11">
        <v>39</v>
      </c>
      <c r="C365" s="3"/>
      <c r="D365" s="3"/>
      <c r="E365" s="5"/>
      <c r="F365" s="3"/>
      <c r="G365" s="3"/>
      <c r="H365" s="5"/>
      <c r="I365" s="5"/>
      <c r="J365" s="5"/>
      <c r="K365" s="5"/>
      <c r="L365" s="6"/>
      <c r="M365" s="6"/>
      <c r="N365" s="7"/>
      <c r="O365" s="3"/>
      <c r="P365" s="3"/>
      <c r="Q365" s="3"/>
      <c r="R365" s="3"/>
    </row>
    <row x14ac:dyDescent="0.25" r="366" customHeight="1" ht="18.75">
      <c r="A366" s="10" t="s">
        <v>434</v>
      </c>
      <c r="B366" s="11">
        <v>39</v>
      </c>
      <c r="C366" s="3"/>
      <c r="D366" s="3"/>
      <c r="E366" s="5"/>
      <c r="F366" s="3"/>
      <c r="G366" s="3"/>
      <c r="H366" s="5"/>
      <c r="I366" s="5"/>
      <c r="J366" s="5"/>
      <c r="K366" s="5"/>
      <c r="L366" s="6"/>
      <c r="M366" s="6"/>
      <c r="N366" s="7"/>
      <c r="O366" s="3"/>
      <c r="P366" s="3"/>
      <c r="Q366" s="3"/>
      <c r="R366" s="3"/>
    </row>
    <row x14ac:dyDescent="0.25" r="367" customHeight="1" ht="18.75">
      <c r="A367" s="10" t="s">
        <v>435</v>
      </c>
      <c r="B367" s="11">
        <v>39</v>
      </c>
      <c r="C367" s="3"/>
      <c r="D367" s="3"/>
      <c r="E367" s="5"/>
      <c r="F367" s="3"/>
      <c r="G367" s="3"/>
      <c r="H367" s="5"/>
      <c r="I367" s="5"/>
      <c r="J367" s="5"/>
      <c r="K367" s="5"/>
      <c r="L367" s="6"/>
      <c r="M367" s="6"/>
      <c r="N367" s="7"/>
      <c r="O367" s="3"/>
      <c r="P367" s="3"/>
      <c r="Q367" s="3"/>
      <c r="R367" s="3"/>
    </row>
    <row x14ac:dyDescent="0.25" r="368" customHeight="1" ht="18.75">
      <c r="A368" s="10" t="s">
        <v>436</v>
      </c>
      <c r="B368" s="11">
        <v>39</v>
      </c>
      <c r="C368" s="3"/>
      <c r="D368" s="3"/>
      <c r="E368" s="5"/>
      <c r="F368" s="3"/>
      <c r="G368" s="3"/>
      <c r="H368" s="5"/>
      <c r="I368" s="5"/>
      <c r="J368" s="5"/>
      <c r="K368" s="5"/>
      <c r="L368" s="6"/>
      <c r="M368" s="6"/>
      <c r="N368" s="7"/>
      <c r="O368" s="3"/>
      <c r="P368" s="3"/>
      <c r="Q368" s="3"/>
      <c r="R368" s="3"/>
    </row>
    <row x14ac:dyDescent="0.25" r="369" customHeight="1" ht="18.75">
      <c r="A369" s="10" t="s">
        <v>437</v>
      </c>
      <c r="B369" s="11">
        <v>39</v>
      </c>
      <c r="C369" s="3"/>
      <c r="D369" s="3"/>
      <c r="E369" s="5"/>
      <c r="F369" s="3"/>
      <c r="G369" s="3"/>
      <c r="H369" s="5"/>
      <c r="I369" s="5"/>
      <c r="J369" s="5"/>
      <c r="K369" s="5"/>
      <c r="L369" s="6"/>
      <c r="M369" s="6"/>
      <c r="N369" s="7"/>
      <c r="O369" s="3"/>
      <c r="P369" s="3"/>
      <c r="Q369" s="3"/>
      <c r="R369" s="3"/>
    </row>
    <row x14ac:dyDescent="0.25" r="370" customHeight="1" ht="18.75">
      <c r="A370" s="10" t="s">
        <v>438</v>
      </c>
      <c r="B370" s="11">
        <v>39</v>
      </c>
      <c r="C370" s="3"/>
      <c r="D370" s="3"/>
      <c r="E370" s="5"/>
      <c r="F370" s="3"/>
      <c r="G370" s="3"/>
      <c r="H370" s="5"/>
      <c r="I370" s="5"/>
      <c r="J370" s="5"/>
      <c r="K370" s="5"/>
      <c r="L370" s="6"/>
      <c r="M370" s="6"/>
      <c r="N370" s="7"/>
      <c r="O370" s="3"/>
      <c r="P370" s="3"/>
      <c r="Q370" s="3"/>
      <c r="R370" s="3"/>
    </row>
    <row x14ac:dyDescent="0.25" r="371" customHeight="1" ht="18.75">
      <c r="A371" s="10" t="s">
        <v>439</v>
      </c>
      <c r="B371" s="11">
        <v>39</v>
      </c>
      <c r="C371" s="3"/>
      <c r="D371" s="3"/>
      <c r="E371" s="5"/>
      <c r="F371" s="3"/>
      <c r="G371" s="3"/>
      <c r="H371" s="5"/>
      <c r="I371" s="5"/>
      <c r="J371" s="5"/>
      <c r="K371" s="5"/>
      <c r="L371" s="6"/>
      <c r="M371" s="6"/>
      <c r="N371" s="7"/>
      <c r="O371" s="3"/>
      <c r="P371" s="3"/>
      <c r="Q371" s="3"/>
      <c r="R371" s="3"/>
    </row>
    <row x14ac:dyDescent="0.25" r="372" customHeight="1" ht="18.75">
      <c r="A372" s="10" t="s">
        <v>440</v>
      </c>
      <c r="B372" s="11">
        <v>39</v>
      </c>
      <c r="C372" s="3"/>
      <c r="D372" s="3"/>
      <c r="E372" s="5"/>
      <c r="F372" s="3"/>
      <c r="G372" s="3"/>
      <c r="H372" s="5"/>
      <c r="I372" s="5"/>
      <c r="J372" s="5"/>
      <c r="K372" s="5"/>
      <c r="L372" s="6"/>
      <c r="M372" s="6"/>
      <c r="N372" s="7"/>
      <c r="O372" s="3"/>
      <c r="P372" s="3"/>
      <c r="Q372" s="3"/>
      <c r="R372" s="3"/>
    </row>
    <row x14ac:dyDescent="0.25" r="373" customHeight="1" ht="18.75">
      <c r="A373" s="10" t="s">
        <v>441</v>
      </c>
      <c r="B373" s="11">
        <v>39</v>
      </c>
      <c r="C373" s="3"/>
      <c r="D373" s="3"/>
      <c r="E373" s="5"/>
      <c r="F373" s="3"/>
      <c r="G373" s="3"/>
      <c r="H373" s="5"/>
      <c r="I373" s="5"/>
      <c r="J373" s="5"/>
      <c r="K373" s="5"/>
      <c r="L373" s="6"/>
      <c r="M373" s="6"/>
      <c r="N373" s="7"/>
      <c r="O373" s="3"/>
      <c r="P373" s="3"/>
      <c r="Q373" s="3"/>
      <c r="R373" s="3"/>
    </row>
    <row x14ac:dyDescent="0.25" r="374" customHeight="1" ht="18.75">
      <c r="A374" s="10" t="s">
        <v>442</v>
      </c>
      <c r="B374" s="11">
        <v>39</v>
      </c>
      <c r="C374" s="3"/>
      <c r="D374" s="3"/>
      <c r="E374" s="5"/>
      <c r="F374" s="3"/>
      <c r="G374" s="3"/>
      <c r="H374" s="5"/>
      <c r="I374" s="5"/>
      <c r="J374" s="5"/>
      <c r="K374" s="5"/>
      <c r="L374" s="6"/>
      <c r="M374" s="6"/>
      <c r="N374" s="7"/>
      <c r="O374" s="3"/>
      <c r="P374" s="3"/>
      <c r="Q374" s="3"/>
      <c r="R374" s="3"/>
    </row>
    <row x14ac:dyDescent="0.25" r="375" customHeight="1" ht="18.75">
      <c r="A375" s="10" t="s">
        <v>443</v>
      </c>
      <c r="B375" s="11">
        <v>39</v>
      </c>
      <c r="C375" s="3"/>
      <c r="D375" s="3"/>
      <c r="E375" s="5"/>
      <c r="F375" s="3"/>
      <c r="G375" s="3"/>
      <c r="H375" s="5"/>
      <c r="I375" s="5"/>
      <c r="J375" s="5"/>
      <c r="K375" s="5"/>
      <c r="L375" s="6"/>
      <c r="M375" s="6"/>
      <c r="N375" s="7"/>
      <c r="O375" s="3"/>
      <c r="P375" s="3"/>
      <c r="Q375" s="3"/>
      <c r="R375" s="3"/>
    </row>
    <row x14ac:dyDescent="0.25" r="376" customHeight="1" ht="18.75">
      <c r="A376" s="10" t="s">
        <v>444</v>
      </c>
      <c r="B376" s="11">
        <v>39</v>
      </c>
      <c r="C376" s="3"/>
      <c r="D376" s="3"/>
      <c r="E376" s="5"/>
      <c r="F376" s="3"/>
      <c r="G376" s="3"/>
      <c r="H376" s="5"/>
      <c r="I376" s="5"/>
      <c r="J376" s="5"/>
      <c r="K376" s="5"/>
      <c r="L376" s="6"/>
      <c r="M376" s="6"/>
      <c r="N376" s="7"/>
      <c r="O376" s="3"/>
      <c r="P376" s="3"/>
      <c r="Q376" s="3"/>
      <c r="R376" s="3"/>
    </row>
    <row x14ac:dyDescent="0.25" r="377" customHeight="1" ht="18.75">
      <c r="A377" s="10" t="s">
        <v>445</v>
      </c>
      <c r="B377" s="11">
        <v>40</v>
      </c>
      <c r="C377" s="3"/>
      <c r="D377" s="3"/>
      <c r="E377" s="5"/>
      <c r="F377" s="3"/>
      <c r="G377" s="3"/>
      <c r="H377" s="5"/>
      <c r="I377" s="5"/>
      <c r="J377" s="5"/>
      <c r="K377" s="5"/>
      <c r="L377" s="6"/>
      <c r="M377" s="6"/>
      <c r="N377" s="7"/>
      <c r="O377" s="3"/>
      <c r="P377" s="3"/>
      <c r="Q377" s="3"/>
      <c r="R377" s="3"/>
    </row>
    <row x14ac:dyDescent="0.25" r="378" customHeight="1" ht="18.75">
      <c r="A378" s="10" t="s">
        <v>446</v>
      </c>
      <c r="B378" s="11">
        <v>40</v>
      </c>
      <c r="C378" s="3"/>
      <c r="D378" s="3"/>
      <c r="E378" s="5"/>
      <c r="F378" s="3"/>
      <c r="G378" s="3"/>
      <c r="H378" s="5"/>
      <c r="I378" s="5"/>
      <c r="J378" s="5"/>
      <c r="K378" s="5"/>
      <c r="L378" s="6"/>
      <c r="M378" s="6"/>
      <c r="N378" s="7"/>
      <c r="O378" s="3"/>
      <c r="P378" s="3"/>
      <c r="Q378" s="3"/>
      <c r="R378" s="3"/>
    </row>
    <row x14ac:dyDescent="0.25" r="379" customHeight="1" ht="18.75">
      <c r="A379" s="10" t="s">
        <v>447</v>
      </c>
      <c r="B379" s="11">
        <v>40</v>
      </c>
      <c r="C379" s="3"/>
      <c r="D379" s="3"/>
      <c r="E379" s="5"/>
      <c r="F379" s="3"/>
      <c r="G379" s="3"/>
      <c r="H379" s="5"/>
      <c r="I379" s="5"/>
      <c r="J379" s="5"/>
      <c r="K379" s="5"/>
      <c r="L379" s="6"/>
      <c r="M379" s="6"/>
      <c r="N379" s="7"/>
      <c r="O379" s="3"/>
      <c r="P379" s="3"/>
      <c r="Q379" s="3"/>
      <c r="R379" s="3"/>
    </row>
    <row x14ac:dyDescent="0.25" r="380" customHeight="1" ht="18.75">
      <c r="A380" s="10" t="s">
        <v>448</v>
      </c>
      <c r="B380" s="11">
        <v>40</v>
      </c>
      <c r="C380" s="3"/>
      <c r="D380" s="3"/>
      <c r="E380" s="5"/>
      <c r="F380" s="3"/>
      <c r="G380" s="3"/>
      <c r="H380" s="5"/>
      <c r="I380" s="5"/>
      <c r="J380" s="5"/>
      <c r="K380" s="5"/>
      <c r="L380" s="6"/>
      <c r="M380" s="6"/>
      <c r="N380" s="7"/>
      <c r="O380" s="3"/>
      <c r="P380" s="3"/>
      <c r="Q380" s="3"/>
      <c r="R380" s="3"/>
    </row>
    <row x14ac:dyDescent="0.25" r="381" customHeight="1" ht="18.75">
      <c r="A381" s="10" t="s">
        <v>449</v>
      </c>
      <c r="B381" s="11">
        <v>40</v>
      </c>
      <c r="C381" s="3"/>
      <c r="D381" s="3"/>
      <c r="E381" s="5"/>
      <c r="F381" s="3"/>
      <c r="G381" s="3"/>
      <c r="H381" s="5"/>
      <c r="I381" s="5"/>
      <c r="J381" s="5"/>
      <c r="K381" s="5"/>
      <c r="L381" s="6"/>
      <c r="M381" s="6"/>
      <c r="N381" s="7"/>
      <c r="O381" s="3"/>
      <c r="P381" s="3"/>
      <c r="Q381" s="3"/>
      <c r="R381" s="3"/>
    </row>
    <row x14ac:dyDescent="0.25" r="382" customHeight="1" ht="18.75">
      <c r="A382" s="10" t="s">
        <v>450</v>
      </c>
      <c r="B382" s="11">
        <v>40</v>
      </c>
      <c r="C382" s="3"/>
      <c r="D382" s="3"/>
      <c r="E382" s="5"/>
      <c r="F382" s="3"/>
      <c r="G382" s="3"/>
      <c r="H382" s="5"/>
      <c r="I382" s="5"/>
      <c r="J382" s="5"/>
      <c r="K382" s="5"/>
      <c r="L382" s="6"/>
      <c r="M382" s="6"/>
      <c r="N382" s="7"/>
      <c r="O382" s="3"/>
      <c r="P382" s="3"/>
      <c r="Q382" s="3"/>
      <c r="R382" s="3"/>
    </row>
    <row x14ac:dyDescent="0.25" r="383" customHeight="1" ht="18.75">
      <c r="A383" s="10" t="s">
        <v>451</v>
      </c>
      <c r="B383" s="11">
        <v>40</v>
      </c>
      <c r="C383" s="3"/>
      <c r="D383" s="3"/>
      <c r="E383" s="5"/>
      <c r="F383" s="3"/>
      <c r="G383" s="3"/>
      <c r="H383" s="5"/>
      <c r="I383" s="5"/>
      <c r="J383" s="5"/>
      <c r="K383" s="5"/>
      <c r="L383" s="6"/>
      <c r="M383" s="6"/>
      <c r="N383" s="7"/>
      <c r="O383" s="3"/>
      <c r="P383" s="3"/>
      <c r="Q383" s="3"/>
      <c r="R383" s="3"/>
    </row>
    <row x14ac:dyDescent="0.25" r="384" customHeight="1" ht="18.75">
      <c r="A384" s="10" t="s">
        <v>452</v>
      </c>
      <c r="B384" s="11">
        <v>40</v>
      </c>
      <c r="C384" s="3"/>
      <c r="D384" s="3"/>
      <c r="E384" s="5"/>
      <c r="F384" s="3"/>
      <c r="G384" s="3"/>
      <c r="H384" s="5"/>
      <c r="I384" s="5"/>
      <c r="J384" s="5"/>
      <c r="K384" s="5"/>
      <c r="L384" s="6"/>
      <c r="M384" s="6"/>
      <c r="N384" s="7"/>
      <c r="O384" s="3"/>
      <c r="P384" s="3"/>
      <c r="Q384" s="3"/>
      <c r="R384" s="3"/>
    </row>
    <row x14ac:dyDescent="0.25" r="385" customHeight="1" ht="18.75">
      <c r="A385" s="10" t="s">
        <v>453</v>
      </c>
      <c r="B385" s="11">
        <v>40</v>
      </c>
      <c r="C385" s="3"/>
      <c r="D385" s="3"/>
      <c r="E385" s="5"/>
      <c r="F385" s="3"/>
      <c r="G385" s="3"/>
      <c r="H385" s="5"/>
      <c r="I385" s="5"/>
      <c r="J385" s="5"/>
      <c r="K385" s="5"/>
      <c r="L385" s="6"/>
      <c r="M385" s="6"/>
      <c r="N385" s="7"/>
      <c r="O385" s="3"/>
      <c r="P385" s="3"/>
      <c r="Q385" s="3"/>
      <c r="R385" s="3"/>
    </row>
    <row x14ac:dyDescent="0.25" r="386" customHeight="1" ht="18.75">
      <c r="A386" s="10" t="s">
        <v>454</v>
      </c>
      <c r="B386" s="11">
        <v>40</v>
      </c>
      <c r="C386" s="3"/>
      <c r="D386" s="3"/>
      <c r="E386" s="5"/>
      <c r="F386" s="3"/>
      <c r="G386" s="3"/>
      <c r="H386" s="5"/>
      <c r="I386" s="5"/>
      <c r="J386" s="5"/>
      <c r="K386" s="5"/>
      <c r="L386" s="6"/>
      <c r="M386" s="6"/>
      <c r="N386" s="7"/>
      <c r="O386" s="3"/>
      <c r="P386" s="3"/>
      <c r="Q386" s="3"/>
      <c r="R386" s="3"/>
    </row>
    <row x14ac:dyDescent="0.25" r="387" customHeight="1" ht="18.75">
      <c r="A387" s="10" t="s">
        <v>455</v>
      </c>
      <c r="B387" s="11">
        <v>40</v>
      </c>
      <c r="C387" s="3"/>
      <c r="D387" s="3"/>
      <c r="E387" s="5"/>
      <c r="F387" s="3"/>
      <c r="G387" s="3"/>
      <c r="H387" s="5"/>
      <c r="I387" s="5"/>
      <c r="J387" s="5"/>
      <c r="K387" s="5"/>
      <c r="L387" s="6"/>
      <c r="M387" s="6"/>
      <c r="N387" s="7"/>
      <c r="O387" s="3"/>
      <c r="P387" s="3"/>
      <c r="Q387" s="3"/>
      <c r="R387" s="3"/>
    </row>
    <row x14ac:dyDescent="0.25" r="388" customHeight="1" ht="18.75">
      <c r="A388" s="10" t="s">
        <v>456</v>
      </c>
      <c r="B388" s="11">
        <v>40</v>
      </c>
      <c r="C388" s="3"/>
      <c r="D388" s="3"/>
      <c r="E388" s="5"/>
      <c r="F388" s="3"/>
      <c r="G388" s="3"/>
      <c r="H388" s="5"/>
      <c r="I388" s="5"/>
      <c r="J388" s="5"/>
      <c r="K388" s="5"/>
      <c r="L388" s="6"/>
      <c r="M388" s="6"/>
      <c r="N388" s="7"/>
      <c r="O388" s="3"/>
      <c r="P388" s="3"/>
      <c r="Q388" s="3"/>
      <c r="R388" s="3"/>
    </row>
    <row x14ac:dyDescent="0.25" r="389" customHeight="1" ht="18.75">
      <c r="A389" s="10" t="s">
        <v>457</v>
      </c>
      <c r="B389" s="11">
        <v>40</v>
      </c>
      <c r="C389" s="3"/>
      <c r="D389" s="3"/>
      <c r="E389" s="5"/>
      <c r="F389" s="3"/>
      <c r="G389" s="3"/>
      <c r="H389" s="5"/>
      <c r="I389" s="5"/>
      <c r="J389" s="5"/>
      <c r="K389" s="5"/>
      <c r="L389" s="6"/>
      <c r="M389" s="6"/>
      <c r="N389" s="7"/>
      <c r="O389" s="3"/>
      <c r="P389" s="3"/>
      <c r="Q389" s="3"/>
      <c r="R389" s="3"/>
    </row>
    <row x14ac:dyDescent="0.25" r="390" customHeight="1" ht="18.75">
      <c r="A390" s="10" t="s">
        <v>458</v>
      </c>
      <c r="B390" s="11">
        <v>40</v>
      </c>
      <c r="C390" s="3"/>
      <c r="D390" s="3"/>
      <c r="E390" s="5"/>
      <c r="F390" s="3"/>
      <c r="G390" s="3"/>
      <c r="H390" s="5"/>
      <c r="I390" s="5"/>
      <c r="J390" s="5"/>
      <c r="K390" s="5"/>
      <c r="L390" s="6"/>
      <c r="M390" s="6"/>
      <c r="N390" s="7"/>
      <c r="O390" s="3"/>
      <c r="P390" s="3"/>
      <c r="Q390" s="3"/>
      <c r="R390" s="3"/>
    </row>
    <row x14ac:dyDescent="0.25" r="391" customHeight="1" ht="18.75">
      <c r="A391" s="10" t="s">
        <v>459</v>
      </c>
      <c r="B391" s="11">
        <v>40</v>
      </c>
      <c r="C391" s="3"/>
      <c r="D391" s="3"/>
      <c r="E391" s="5"/>
      <c r="F391" s="3"/>
      <c r="G391" s="3"/>
      <c r="H391" s="5"/>
      <c r="I391" s="5"/>
      <c r="J391" s="5"/>
      <c r="K391" s="5"/>
      <c r="L391" s="6"/>
      <c r="M391" s="6"/>
      <c r="N391" s="7"/>
      <c r="O391" s="3"/>
      <c r="P391" s="3"/>
      <c r="Q391" s="3"/>
      <c r="R391" s="3"/>
    </row>
    <row x14ac:dyDescent="0.25" r="392" customHeight="1" ht="18.75">
      <c r="A392" s="10" t="s">
        <v>460</v>
      </c>
      <c r="B392" s="11">
        <v>40</v>
      </c>
      <c r="C392" s="3"/>
      <c r="D392" s="3"/>
      <c r="E392" s="5"/>
      <c r="F392" s="3"/>
      <c r="G392" s="3"/>
      <c r="H392" s="5"/>
      <c r="I392" s="5"/>
      <c r="J392" s="5"/>
      <c r="K392" s="5"/>
      <c r="L392" s="6"/>
      <c r="M392" s="6"/>
      <c r="N392" s="7"/>
      <c r="O392" s="3"/>
      <c r="P392" s="3"/>
      <c r="Q392" s="3"/>
      <c r="R392" s="3"/>
    </row>
    <row x14ac:dyDescent="0.25" r="393" customHeight="1" ht="18.75">
      <c r="A393" s="10" t="s">
        <v>461</v>
      </c>
      <c r="B393" s="11">
        <v>40</v>
      </c>
      <c r="C393" s="3"/>
      <c r="D393" s="3"/>
      <c r="E393" s="5"/>
      <c r="F393" s="3"/>
      <c r="G393" s="3"/>
      <c r="H393" s="5"/>
      <c r="I393" s="5"/>
      <c r="J393" s="5"/>
      <c r="K393" s="5"/>
      <c r="L393" s="6"/>
      <c r="M393" s="6"/>
      <c r="N393" s="7"/>
      <c r="O393" s="3"/>
      <c r="P393" s="3"/>
      <c r="Q393" s="3"/>
      <c r="R393" s="3"/>
    </row>
    <row x14ac:dyDescent="0.25" r="394" customHeight="1" ht="18.75">
      <c r="A394" s="10" t="s">
        <v>462</v>
      </c>
      <c r="B394" s="11">
        <v>40</v>
      </c>
      <c r="C394" s="3"/>
      <c r="D394" s="3"/>
      <c r="E394" s="5"/>
      <c r="F394" s="3"/>
      <c r="G394" s="3"/>
      <c r="H394" s="5"/>
      <c r="I394" s="5"/>
      <c r="J394" s="5"/>
      <c r="K394" s="5"/>
      <c r="L394" s="6"/>
      <c r="M394" s="6"/>
      <c r="N394" s="7"/>
      <c r="O394" s="3"/>
      <c r="P394" s="3"/>
      <c r="Q394" s="3"/>
      <c r="R394" s="3"/>
    </row>
    <row x14ac:dyDescent="0.25" r="395" customHeight="1" ht="18.75">
      <c r="A395" s="10" t="s">
        <v>463</v>
      </c>
      <c r="B395" s="11">
        <v>40</v>
      </c>
      <c r="C395" s="3"/>
      <c r="D395" s="3"/>
      <c r="E395" s="5"/>
      <c r="F395" s="3"/>
      <c r="G395" s="3"/>
      <c r="H395" s="5"/>
      <c r="I395" s="5"/>
      <c r="J395" s="5"/>
      <c r="K395" s="5"/>
      <c r="L395" s="6"/>
      <c r="M395" s="6"/>
      <c r="N395" s="7"/>
      <c r="O395" s="3"/>
      <c r="P395" s="3"/>
      <c r="Q395" s="3"/>
      <c r="R395" s="3"/>
    </row>
    <row x14ac:dyDescent="0.25" r="396" customHeight="1" ht="18.75">
      <c r="A396" s="10" t="s">
        <v>464</v>
      </c>
      <c r="B396" s="11">
        <v>40</v>
      </c>
      <c r="C396" s="3"/>
      <c r="D396" s="3"/>
      <c r="E396" s="5"/>
      <c r="F396" s="3"/>
      <c r="G396" s="3"/>
      <c r="H396" s="5"/>
      <c r="I396" s="5"/>
      <c r="J396" s="5"/>
      <c r="K396" s="5"/>
      <c r="L396" s="6"/>
      <c r="M396" s="6"/>
      <c r="N396" s="7"/>
      <c r="O396" s="3"/>
      <c r="P396" s="3"/>
      <c r="Q396" s="3"/>
      <c r="R396" s="3"/>
    </row>
    <row x14ac:dyDescent="0.25" r="397" customHeight="1" ht="18.75">
      <c r="A397" s="10" t="s">
        <v>465</v>
      </c>
      <c r="B397" s="11">
        <v>40</v>
      </c>
      <c r="C397" s="3"/>
      <c r="D397" s="3"/>
      <c r="E397" s="5"/>
      <c r="F397" s="3"/>
      <c r="G397" s="3"/>
      <c r="H397" s="5"/>
      <c r="I397" s="5"/>
      <c r="J397" s="5"/>
      <c r="K397" s="5"/>
      <c r="L397" s="6"/>
      <c r="M397" s="6"/>
      <c r="N397" s="7"/>
      <c r="O397" s="3"/>
      <c r="P397" s="3"/>
      <c r="Q397" s="3"/>
      <c r="R397" s="3"/>
    </row>
    <row x14ac:dyDescent="0.25" r="398" customHeight="1" ht="18.75">
      <c r="A398" s="10" t="s">
        <v>466</v>
      </c>
      <c r="B398" s="11">
        <v>40</v>
      </c>
      <c r="C398" s="3"/>
      <c r="D398" s="3"/>
      <c r="E398" s="5"/>
      <c r="F398" s="3"/>
      <c r="G398" s="3"/>
      <c r="H398" s="5"/>
      <c r="I398" s="5"/>
      <c r="J398" s="5"/>
      <c r="K398" s="5"/>
      <c r="L398" s="6"/>
      <c r="M398" s="6"/>
      <c r="N398" s="7"/>
      <c r="O398" s="3"/>
      <c r="P398" s="3"/>
      <c r="Q398" s="3"/>
      <c r="R398" s="3"/>
    </row>
    <row x14ac:dyDescent="0.25" r="399" customHeight="1" ht="18.75">
      <c r="A399" s="10" t="s">
        <v>467</v>
      </c>
      <c r="B399" s="11">
        <v>40</v>
      </c>
      <c r="C399" s="3"/>
      <c r="D399" s="3"/>
      <c r="E399" s="5"/>
      <c r="F399" s="3"/>
      <c r="G399" s="3"/>
      <c r="H399" s="5"/>
      <c r="I399" s="5"/>
      <c r="J399" s="5"/>
      <c r="K399" s="5"/>
      <c r="L399" s="6"/>
      <c r="M399" s="6"/>
      <c r="N399" s="7"/>
      <c r="O399" s="3"/>
      <c r="P399" s="3"/>
      <c r="Q399" s="3"/>
      <c r="R399" s="3"/>
    </row>
    <row x14ac:dyDescent="0.25" r="400" customHeight="1" ht="18.75">
      <c r="A400" s="10" t="s">
        <v>468</v>
      </c>
      <c r="B400" s="11">
        <v>40</v>
      </c>
      <c r="C400" s="3"/>
      <c r="D400" s="3"/>
      <c r="E400" s="5"/>
      <c r="F400" s="3"/>
      <c r="G400" s="3"/>
      <c r="H400" s="5"/>
      <c r="I400" s="5"/>
      <c r="J400" s="5"/>
      <c r="K400" s="5"/>
      <c r="L400" s="6"/>
      <c r="M400" s="6"/>
      <c r="N400" s="7"/>
      <c r="O400" s="3"/>
      <c r="P400" s="3"/>
      <c r="Q400" s="3"/>
      <c r="R400" s="3"/>
    </row>
    <row x14ac:dyDescent="0.25" r="401" customHeight="1" ht="18.75">
      <c r="A401" s="10" t="s">
        <v>469</v>
      </c>
      <c r="B401" s="11">
        <v>40</v>
      </c>
      <c r="C401" s="3"/>
      <c r="D401" s="3"/>
      <c r="E401" s="5"/>
      <c r="F401" s="3"/>
      <c r="G401" s="3"/>
      <c r="H401" s="5"/>
      <c r="I401" s="5"/>
      <c r="J401" s="5"/>
      <c r="K401" s="5"/>
      <c r="L401" s="6"/>
      <c r="M401" s="6"/>
      <c r="N401" s="7"/>
      <c r="O401" s="3"/>
      <c r="P401" s="3"/>
      <c r="Q401" s="3"/>
      <c r="R401" s="3"/>
    </row>
    <row x14ac:dyDescent="0.25" r="402" customHeight="1" ht="18.75">
      <c r="A402" s="10" t="s">
        <v>470</v>
      </c>
      <c r="B402" s="11">
        <v>40</v>
      </c>
      <c r="C402" s="3"/>
      <c r="D402" s="3"/>
      <c r="E402" s="5"/>
      <c r="F402" s="3"/>
      <c r="G402" s="3"/>
      <c r="H402" s="5"/>
      <c r="I402" s="5"/>
      <c r="J402" s="5"/>
      <c r="K402" s="5"/>
      <c r="L402" s="6"/>
      <c r="M402" s="6"/>
      <c r="N402" s="7"/>
      <c r="O402" s="3"/>
      <c r="P402" s="3"/>
      <c r="Q402" s="3"/>
      <c r="R402" s="3"/>
    </row>
    <row x14ac:dyDescent="0.25" r="403" customHeight="1" ht="18.75">
      <c r="A403" s="10" t="s">
        <v>471</v>
      </c>
      <c r="B403" s="11">
        <v>41</v>
      </c>
      <c r="C403" s="3"/>
      <c r="D403" s="3"/>
      <c r="E403" s="5"/>
      <c r="F403" s="3"/>
      <c r="G403" s="3"/>
      <c r="H403" s="5"/>
      <c r="I403" s="5"/>
      <c r="J403" s="5"/>
      <c r="K403" s="5"/>
      <c r="L403" s="6"/>
      <c r="M403" s="6"/>
      <c r="N403" s="7"/>
      <c r="O403" s="3"/>
      <c r="P403" s="3"/>
      <c r="Q403" s="3"/>
      <c r="R403" s="3"/>
    </row>
    <row x14ac:dyDescent="0.25" r="404" customHeight="1" ht="18.75">
      <c r="A404" s="10" t="s">
        <v>472</v>
      </c>
      <c r="B404" s="11">
        <v>41</v>
      </c>
      <c r="C404" s="3"/>
      <c r="D404" s="3"/>
      <c r="E404" s="5"/>
      <c r="F404" s="3"/>
      <c r="G404" s="3"/>
      <c r="H404" s="5"/>
      <c r="I404" s="5"/>
      <c r="J404" s="5"/>
      <c r="K404" s="5"/>
      <c r="L404" s="6"/>
      <c r="M404" s="6"/>
      <c r="N404" s="7"/>
      <c r="O404" s="3"/>
      <c r="P404" s="3"/>
      <c r="Q404" s="3"/>
      <c r="R404" s="3"/>
    </row>
    <row x14ac:dyDescent="0.25" r="405" customHeight="1" ht="18.75">
      <c r="A405" s="10" t="s">
        <v>473</v>
      </c>
      <c r="B405" s="11">
        <v>41</v>
      </c>
      <c r="C405" s="3"/>
      <c r="D405" s="3"/>
      <c r="E405" s="5"/>
      <c r="F405" s="3"/>
      <c r="G405" s="3"/>
      <c r="H405" s="5"/>
      <c r="I405" s="5"/>
      <c r="J405" s="5"/>
      <c r="K405" s="5"/>
      <c r="L405" s="6"/>
      <c r="M405" s="6"/>
      <c r="N405" s="7"/>
      <c r="O405" s="3"/>
      <c r="P405" s="3"/>
      <c r="Q405" s="3"/>
      <c r="R405" s="3"/>
    </row>
    <row x14ac:dyDescent="0.25" r="406" customHeight="1" ht="18.75">
      <c r="A406" s="10" t="s">
        <v>474</v>
      </c>
      <c r="B406" s="11">
        <v>41</v>
      </c>
      <c r="C406" s="3"/>
      <c r="D406" s="3"/>
      <c r="E406" s="5"/>
      <c r="F406" s="3"/>
      <c r="G406" s="3"/>
      <c r="H406" s="5"/>
      <c r="I406" s="5"/>
      <c r="J406" s="5"/>
      <c r="K406" s="5"/>
      <c r="L406" s="6"/>
      <c r="M406" s="6"/>
      <c r="N406" s="7"/>
      <c r="O406" s="3"/>
      <c r="P406" s="3"/>
      <c r="Q406" s="3"/>
      <c r="R406" s="3"/>
    </row>
    <row x14ac:dyDescent="0.25" r="407" customHeight="1" ht="18.75">
      <c r="A407" s="10" t="s">
        <v>475</v>
      </c>
      <c r="B407" s="11">
        <v>41</v>
      </c>
      <c r="C407" s="3"/>
      <c r="D407" s="3"/>
      <c r="E407" s="5"/>
      <c r="F407" s="3"/>
      <c r="G407" s="3"/>
      <c r="H407" s="5"/>
      <c r="I407" s="5"/>
      <c r="J407" s="5"/>
      <c r="K407" s="5"/>
      <c r="L407" s="6"/>
      <c r="M407" s="6"/>
      <c r="N407" s="7"/>
      <c r="O407" s="3"/>
      <c r="P407" s="3"/>
      <c r="Q407" s="3"/>
      <c r="R407" s="3"/>
    </row>
    <row x14ac:dyDescent="0.25" r="408" customHeight="1" ht="18.75">
      <c r="A408" s="10" t="s">
        <v>476</v>
      </c>
      <c r="B408" s="11">
        <v>41</v>
      </c>
      <c r="C408" s="3"/>
      <c r="D408" s="3"/>
      <c r="E408" s="5"/>
      <c r="F408" s="3"/>
      <c r="G408" s="3"/>
      <c r="H408" s="5"/>
      <c r="I408" s="5"/>
      <c r="J408" s="5"/>
      <c r="K408" s="5"/>
      <c r="L408" s="6"/>
      <c r="M408" s="6"/>
      <c r="N408" s="7"/>
      <c r="O408" s="3"/>
      <c r="P408" s="3"/>
      <c r="Q408" s="3"/>
      <c r="R408" s="3"/>
    </row>
    <row x14ac:dyDescent="0.25" r="409" customHeight="1" ht="18.75">
      <c r="A409" s="10" t="s">
        <v>477</v>
      </c>
      <c r="B409" s="11">
        <v>41</v>
      </c>
      <c r="C409" s="3"/>
      <c r="D409" s="3"/>
      <c r="E409" s="5"/>
      <c r="F409" s="3"/>
      <c r="G409" s="3"/>
      <c r="H409" s="5"/>
      <c r="I409" s="5"/>
      <c r="J409" s="5"/>
      <c r="K409" s="5"/>
      <c r="L409" s="6"/>
      <c r="M409" s="6"/>
      <c r="N409" s="7"/>
      <c r="O409" s="3"/>
      <c r="P409" s="3"/>
      <c r="Q409" s="3"/>
      <c r="R409" s="3"/>
    </row>
    <row x14ac:dyDescent="0.25" r="410" customHeight="1" ht="18.75">
      <c r="A410" s="10" t="s">
        <v>478</v>
      </c>
      <c r="B410" s="11">
        <v>41</v>
      </c>
      <c r="C410" s="3"/>
      <c r="D410" s="3"/>
      <c r="E410" s="5"/>
      <c r="F410" s="3"/>
      <c r="G410" s="3"/>
      <c r="H410" s="5"/>
      <c r="I410" s="5"/>
      <c r="J410" s="5"/>
      <c r="K410" s="5"/>
      <c r="L410" s="6"/>
      <c r="M410" s="6"/>
      <c r="N410" s="7"/>
      <c r="O410" s="3"/>
      <c r="P410" s="3"/>
      <c r="Q410" s="3"/>
      <c r="R410" s="3"/>
    </row>
    <row x14ac:dyDescent="0.25" r="411" customHeight="1" ht="18.75">
      <c r="A411" s="10" t="s">
        <v>479</v>
      </c>
      <c r="B411" s="11">
        <v>41</v>
      </c>
      <c r="C411" s="3"/>
      <c r="D411" s="3"/>
      <c r="E411" s="5"/>
      <c r="F411" s="3"/>
      <c r="G411" s="3"/>
      <c r="H411" s="5"/>
      <c r="I411" s="5"/>
      <c r="J411" s="5"/>
      <c r="K411" s="5"/>
      <c r="L411" s="6"/>
      <c r="M411" s="6"/>
      <c r="N411" s="7"/>
      <c r="O411" s="3"/>
      <c r="P411" s="3"/>
      <c r="Q411" s="3"/>
      <c r="R411" s="3"/>
    </row>
    <row x14ac:dyDescent="0.25" r="412" customHeight="1" ht="18.75">
      <c r="A412" s="10" t="s">
        <v>480</v>
      </c>
      <c r="B412" s="11">
        <v>41</v>
      </c>
      <c r="C412" s="3"/>
      <c r="D412" s="3"/>
      <c r="E412" s="5"/>
      <c r="F412" s="3"/>
      <c r="G412" s="3"/>
      <c r="H412" s="5"/>
      <c r="I412" s="5"/>
      <c r="J412" s="5"/>
      <c r="K412" s="5"/>
      <c r="L412" s="6"/>
      <c r="M412" s="6"/>
      <c r="N412" s="7"/>
      <c r="O412" s="3"/>
      <c r="P412" s="3"/>
      <c r="Q412" s="3"/>
      <c r="R412" s="3"/>
    </row>
    <row x14ac:dyDescent="0.25" r="413" customHeight="1" ht="18.75">
      <c r="A413" s="10" t="s">
        <v>481</v>
      </c>
      <c r="B413" s="11">
        <v>41</v>
      </c>
      <c r="C413" s="3"/>
      <c r="D413" s="3"/>
      <c r="E413" s="5"/>
      <c r="F413" s="3"/>
      <c r="G413" s="3"/>
      <c r="H413" s="5"/>
      <c r="I413" s="5"/>
      <c r="J413" s="5"/>
      <c r="K413" s="5"/>
      <c r="L413" s="6"/>
      <c r="M413" s="6"/>
      <c r="N413" s="7"/>
      <c r="O413" s="3"/>
      <c r="P413" s="3"/>
      <c r="Q413" s="3"/>
      <c r="R413" s="3"/>
    </row>
    <row x14ac:dyDescent="0.25" r="414" customHeight="1" ht="18.75">
      <c r="A414" s="10" t="s">
        <v>482</v>
      </c>
      <c r="B414" s="11">
        <v>41</v>
      </c>
      <c r="C414" s="3"/>
      <c r="D414" s="3"/>
      <c r="E414" s="5"/>
      <c r="F414" s="3"/>
      <c r="G414" s="3"/>
      <c r="H414" s="5"/>
      <c r="I414" s="5"/>
      <c r="J414" s="5"/>
      <c r="K414" s="5"/>
      <c r="L414" s="6"/>
      <c r="M414" s="6"/>
      <c r="N414" s="7"/>
      <c r="O414" s="3"/>
      <c r="P414" s="3"/>
      <c r="Q414" s="3"/>
      <c r="R414" s="3"/>
    </row>
    <row x14ac:dyDescent="0.25" r="415" customHeight="1" ht="18.75">
      <c r="A415" s="10" t="s">
        <v>483</v>
      </c>
      <c r="B415" s="11">
        <v>41</v>
      </c>
      <c r="C415" s="3"/>
      <c r="D415" s="3"/>
      <c r="E415" s="5"/>
      <c r="F415" s="3"/>
      <c r="G415" s="3"/>
      <c r="H415" s="5"/>
      <c r="I415" s="5"/>
      <c r="J415" s="5"/>
      <c r="K415" s="5"/>
      <c r="L415" s="6"/>
      <c r="M415" s="6"/>
      <c r="N415" s="7"/>
      <c r="O415" s="3"/>
      <c r="P415" s="3"/>
      <c r="Q415" s="3"/>
      <c r="R415" s="3"/>
    </row>
    <row x14ac:dyDescent="0.25" r="416" customHeight="1" ht="18.75">
      <c r="A416" s="10" t="s">
        <v>484</v>
      </c>
      <c r="B416" s="11">
        <v>41</v>
      </c>
      <c r="C416" s="3"/>
      <c r="D416" s="3"/>
      <c r="E416" s="5"/>
      <c r="F416" s="3"/>
      <c r="G416" s="3"/>
      <c r="H416" s="5"/>
      <c r="I416" s="5"/>
      <c r="J416" s="5"/>
      <c r="K416" s="5"/>
      <c r="L416" s="6"/>
      <c r="M416" s="6"/>
      <c r="N416" s="7"/>
      <c r="O416" s="3"/>
      <c r="P416" s="3"/>
      <c r="Q416" s="3"/>
      <c r="R416" s="3"/>
    </row>
    <row x14ac:dyDescent="0.25" r="417" customHeight="1" ht="18.75">
      <c r="A417" s="10" t="s">
        <v>485</v>
      </c>
      <c r="B417" s="11">
        <v>41</v>
      </c>
      <c r="C417" s="3"/>
      <c r="D417" s="3"/>
      <c r="E417" s="5"/>
      <c r="F417" s="3"/>
      <c r="G417" s="3"/>
      <c r="H417" s="5"/>
      <c r="I417" s="5"/>
      <c r="J417" s="5"/>
      <c r="K417" s="5"/>
      <c r="L417" s="6"/>
      <c r="M417" s="6"/>
      <c r="N417" s="7"/>
      <c r="O417" s="3"/>
      <c r="P417" s="3"/>
      <c r="Q417" s="3"/>
      <c r="R417" s="3"/>
    </row>
    <row x14ac:dyDescent="0.25" r="418" customHeight="1" ht="18.75">
      <c r="A418" s="10" t="s">
        <v>486</v>
      </c>
      <c r="B418" s="11">
        <v>41</v>
      </c>
      <c r="C418" s="3"/>
      <c r="D418" s="3"/>
      <c r="E418" s="5"/>
      <c r="F418" s="3"/>
      <c r="G418" s="3"/>
      <c r="H418" s="5"/>
      <c r="I418" s="5"/>
      <c r="J418" s="5"/>
      <c r="K418" s="5"/>
      <c r="L418" s="6"/>
      <c r="M418" s="6"/>
      <c r="N418" s="7"/>
      <c r="O418" s="3"/>
      <c r="P418" s="3"/>
      <c r="Q418" s="3"/>
      <c r="R418" s="3"/>
    </row>
    <row x14ac:dyDescent="0.25" r="419" customHeight="1" ht="18.75">
      <c r="A419" s="10" t="s">
        <v>487</v>
      </c>
      <c r="B419" s="11">
        <v>41</v>
      </c>
      <c r="C419" s="3"/>
      <c r="D419" s="3"/>
      <c r="E419" s="5"/>
      <c r="F419" s="3"/>
      <c r="G419" s="3"/>
      <c r="H419" s="5"/>
      <c r="I419" s="5"/>
      <c r="J419" s="5"/>
      <c r="K419" s="5"/>
      <c r="L419" s="6"/>
      <c r="M419" s="6"/>
      <c r="N419" s="7"/>
      <c r="O419" s="3"/>
      <c r="P419" s="3"/>
      <c r="Q419" s="3"/>
      <c r="R419" s="3"/>
    </row>
    <row x14ac:dyDescent="0.25" r="420" customHeight="1" ht="18.75">
      <c r="A420" s="10" t="s">
        <v>488</v>
      </c>
      <c r="B420" s="11">
        <v>41</v>
      </c>
      <c r="C420" s="3"/>
      <c r="D420" s="3"/>
      <c r="E420" s="5"/>
      <c r="F420" s="3"/>
      <c r="G420" s="3"/>
      <c r="H420" s="5"/>
      <c r="I420" s="5"/>
      <c r="J420" s="5"/>
      <c r="K420" s="5"/>
      <c r="L420" s="6"/>
      <c r="M420" s="6"/>
      <c r="N420" s="7"/>
      <c r="O420" s="3"/>
      <c r="P420" s="3"/>
      <c r="Q420" s="3"/>
      <c r="R420" s="3"/>
    </row>
    <row x14ac:dyDescent="0.25" r="421" customHeight="1" ht="18.75">
      <c r="A421" s="10" t="s">
        <v>489</v>
      </c>
      <c r="B421" s="11">
        <v>41</v>
      </c>
      <c r="C421" s="3"/>
      <c r="D421" s="3"/>
      <c r="E421" s="5"/>
      <c r="F421" s="3"/>
      <c r="G421" s="3"/>
      <c r="H421" s="5"/>
      <c r="I421" s="5"/>
      <c r="J421" s="5"/>
      <c r="K421" s="5"/>
      <c r="L421" s="6"/>
      <c r="M421" s="6"/>
      <c r="N421" s="7"/>
      <c r="O421" s="3"/>
      <c r="P421" s="3"/>
      <c r="Q421" s="3"/>
      <c r="R421" s="3"/>
    </row>
    <row x14ac:dyDescent="0.25" r="422" customHeight="1" ht="18.75">
      <c r="A422" s="10" t="s">
        <v>490</v>
      </c>
      <c r="B422" s="11">
        <v>41</v>
      </c>
      <c r="C422" s="3"/>
      <c r="D422" s="3"/>
      <c r="E422" s="5"/>
      <c r="F422" s="3"/>
      <c r="G422" s="3"/>
      <c r="H422" s="5"/>
      <c r="I422" s="5"/>
      <c r="J422" s="5"/>
      <c r="K422" s="5"/>
      <c r="L422" s="6"/>
      <c r="M422" s="6"/>
      <c r="N422" s="7"/>
      <c r="O422" s="3"/>
      <c r="P422" s="3"/>
      <c r="Q422" s="3"/>
      <c r="R422" s="3"/>
    </row>
    <row x14ac:dyDescent="0.25" r="423" customHeight="1" ht="18.75">
      <c r="A423" s="10" t="s">
        <v>491</v>
      </c>
      <c r="B423" s="11">
        <v>41</v>
      </c>
      <c r="C423" s="3"/>
      <c r="D423" s="3"/>
      <c r="E423" s="5"/>
      <c r="F423" s="3"/>
      <c r="G423" s="3"/>
      <c r="H423" s="5"/>
      <c r="I423" s="5"/>
      <c r="J423" s="5"/>
      <c r="K423" s="5"/>
      <c r="L423" s="6"/>
      <c r="M423" s="6"/>
      <c r="N423" s="7"/>
      <c r="O423" s="3"/>
      <c r="P423" s="3"/>
      <c r="Q423" s="3"/>
      <c r="R423" s="3"/>
    </row>
    <row x14ac:dyDescent="0.25" r="424" customHeight="1" ht="18.75">
      <c r="A424" s="10" t="s">
        <v>492</v>
      </c>
      <c r="B424" s="11">
        <v>41</v>
      </c>
      <c r="C424" s="3"/>
      <c r="D424" s="3"/>
      <c r="E424" s="5"/>
      <c r="F424" s="3"/>
      <c r="G424" s="3"/>
      <c r="H424" s="5"/>
      <c r="I424" s="5"/>
      <c r="J424" s="5"/>
      <c r="K424" s="5"/>
      <c r="L424" s="6"/>
      <c r="M424" s="6"/>
      <c r="N424" s="7"/>
      <c r="O424" s="3"/>
      <c r="P424" s="3"/>
      <c r="Q424" s="3"/>
      <c r="R424" s="3"/>
    </row>
    <row x14ac:dyDescent="0.25" r="425" customHeight="1" ht="18.75">
      <c r="A425" s="10" t="s">
        <v>493</v>
      </c>
      <c r="B425" s="11">
        <v>41</v>
      </c>
      <c r="C425" s="3"/>
      <c r="D425" s="3"/>
      <c r="E425" s="5"/>
      <c r="F425" s="3"/>
      <c r="G425" s="3"/>
      <c r="H425" s="5"/>
      <c r="I425" s="5"/>
      <c r="J425" s="5"/>
      <c r="K425" s="5"/>
      <c r="L425" s="6"/>
      <c r="M425" s="6"/>
      <c r="N425" s="7"/>
      <c r="O425" s="3"/>
      <c r="P425" s="3"/>
      <c r="Q425" s="3"/>
      <c r="R425" s="3"/>
    </row>
    <row x14ac:dyDescent="0.25" r="426" customHeight="1" ht="18.75">
      <c r="A426" s="10" t="s">
        <v>494</v>
      </c>
      <c r="B426" s="11">
        <v>41</v>
      </c>
      <c r="C426" s="3"/>
      <c r="D426" s="3"/>
      <c r="E426" s="5"/>
      <c r="F426" s="3"/>
      <c r="G426" s="3"/>
      <c r="H426" s="5"/>
      <c r="I426" s="5"/>
      <c r="J426" s="5"/>
      <c r="K426" s="5"/>
      <c r="L426" s="6"/>
      <c r="M426" s="6"/>
      <c r="N426" s="7"/>
      <c r="O426" s="3"/>
      <c r="P426" s="3"/>
      <c r="Q426" s="3"/>
      <c r="R426" s="3"/>
    </row>
    <row x14ac:dyDescent="0.25" r="427" customHeight="1" ht="18.75">
      <c r="A427" s="10" t="s">
        <v>495</v>
      </c>
      <c r="B427" s="11">
        <v>41</v>
      </c>
      <c r="C427" s="3"/>
      <c r="D427" s="3"/>
      <c r="E427" s="5"/>
      <c r="F427" s="3"/>
      <c r="G427" s="3"/>
      <c r="H427" s="5"/>
      <c r="I427" s="5"/>
      <c r="J427" s="5"/>
      <c r="K427" s="5"/>
      <c r="L427" s="6"/>
      <c r="M427" s="6"/>
      <c r="N427" s="7"/>
      <c r="O427" s="3"/>
      <c r="P427" s="3"/>
      <c r="Q427" s="3"/>
      <c r="R427" s="3"/>
    </row>
    <row x14ac:dyDescent="0.25" r="428" customHeight="1" ht="18.75">
      <c r="A428" s="10" t="s">
        <v>496</v>
      </c>
      <c r="B428" s="19">
        <v>41.5</v>
      </c>
      <c r="C428" s="3"/>
      <c r="D428" s="3"/>
      <c r="E428" s="5"/>
      <c r="F428" s="3"/>
      <c r="G428" s="3"/>
      <c r="H428" s="5"/>
      <c r="I428" s="5"/>
      <c r="J428" s="5"/>
      <c r="K428" s="5"/>
      <c r="L428" s="6"/>
      <c r="M428" s="6"/>
      <c r="N428" s="7"/>
      <c r="O428" s="3"/>
      <c r="P428" s="3"/>
      <c r="Q428" s="3"/>
      <c r="R428" s="3"/>
    </row>
    <row x14ac:dyDescent="0.25" r="429" customHeight="1" ht="18.75">
      <c r="A429" s="10" t="s">
        <v>497</v>
      </c>
      <c r="B429" s="11">
        <v>42</v>
      </c>
      <c r="C429" s="3"/>
      <c r="D429" s="3"/>
      <c r="E429" s="5"/>
      <c r="F429" s="3"/>
      <c r="G429" s="3"/>
      <c r="H429" s="5"/>
      <c r="I429" s="5"/>
      <c r="J429" s="5"/>
      <c r="K429" s="5"/>
      <c r="L429" s="6"/>
      <c r="M429" s="6"/>
      <c r="N429" s="7"/>
      <c r="O429" s="3"/>
      <c r="P429" s="3"/>
      <c r="Q429" s="3"/>
      <c r="R429" s="3"/>
    </row>
    <row x14ac:dyDescent="0.25" r="430" customHeight="1" ht="18.75">
      <c r="A430" s="10" t="s">
        <v>498</v>
      </c>
      <c r="B430" s="11">
        <v>42</v>
      </c>
      <c r="C430" s="3"/>
      <c r="D430" s="3"/>
      <c r="E430" s="5"/>
      <c r="F430" s="3"/>
      <c r="G430" s="3"/>
      <c r="H430" s="5"/>
      <c r="I430" s="5"/>
      <c r="J430" s="5"/>
      <c r="K430" s="5"/>
      <c r="L430" s="6"/>
      <c r="M430" s="6"/>
      <c r="N430" s="7"/>
      <c r="O430" s="3"/>
      <c r="P430" s="3"/>
      <c r="Q430" s="3"/>
      <c r="R430" s="3"/>
    </row>
    <row x14ac:dyDescent="0.25" r="431" customHeight="1" ht="18.75">
      <c r="A431" s="10" t="s">
        <v>499</v>
      </c>
      <c r="B431" s="11">
        <v>42</v>
      </c>
      <c r="C431" s="3"/>
      <c r="D431" s="3"/>
      <c r="E431" s="5"/>
      <c r="F431" s="3"/>
      <c r="G431" s="3"/>
      <c r="H431" s="5"/>
      <c r="I431" s="5"/>
      <c r="J431" s="5"/>
      <c r="K431" s="5"/>
      <c r="L431" s="6"/>
      <c r="M431" s="6"/>
      <c r="N431" s="7"/>
      <c r="O431" s="3"/>
      <c r="P431" s="3"/>
      <c r="Q431" s="3"/>
      <c r="R431" s="3"/>
    </row>
    <row x14ac:dyDescent="0.25" r="432" customHeight="1" ht="18.75">
      <c r="A432" s="10" t="s">
        <v>500</v>
      </c>
      <c r="B432" s="11">
        <v>42</v>
      </c>
      <c r="C432" s="3"/>
      <c r="D432" s="3"/>
      <c r="E432" s="5"/>
      <c r="F432" s="3"/>
      <c r="G432" s="3"/>
      <c r="H432" s="5"/>
      <c r="I432" s="5"/>
      <c r="J432" s="5"/>
      <c r="K432" s="5"/>
      <c r="L432" s="6"/>
      <c r="M432" s="6"/>
      <c r="N432" s="7"/>
      <c r="O432" s="3"/>
      <c r="P432" s="3"/>
      <c r="Q432" s="3"/>
      <c r="R432" s="3"/>
    </row>
    <row x14ac:dyDescent="0.25" r="433" customHeight="1" ht="18.75">
      <c r="A433" s="10" t="s">
        <v>501</v>
      </c>
      <c r="B433" s="11">
        <v>42</v>
      </c>
      <c r="C433" s="3"/>
      <c r="D433" s="3"/>
      <c r="E433" s="5"/>
      <c r="F433" s="3"/>
      <c r="G433" s="3"/>
      <c r="H433" s="5"/>
      <c r="I433" s="5"/>
      <c r="J433" s="5"/>
      <c r="K433" s="5"/>
      <c r="L433" s="6"/>
      <c r="M433" s="6"/>
      <c r="N433" s="7"/>
      <c r="O433" s="3"/>
      <c r="P433" s="3"/>
      <c r="Q433" s="3"/>
      <c r="R433" s="3"/>
    </row>
    <row x14ac:dyDescent="0.25" r="434" customHeight="1" ht="18.75">
      <c r="A434" s="10" t="s">
        <v>502</v>
      </c>
      <c r="B434" s="11">
        <v>42</v>
      </c>
      <c r="C434" s="3"/>
      <c r="D434" s="3"/>
      <c r="E434" s="5"/>
      <c r="F434" s="3"/>
      <c r="G434" s="3"/>
      <c r="H434" s="5"/>
      <c r="I434" s="5"/>
      <c r="J434" s="5"/>
      <c r="K434" s="5"/>
      <c r="L434" s="6"/>
      <c r="M434" s="6"/>
      <c r="N434" s="7"/>
      <c r="O434" s="3"/>
      <c r="P434" s="3"/>
      <c r="Q434" s="3"/>
      <c r="R434" s="3"/>
    </row>
    <row x14ac:dyDescent="0.25" r="435" customHeight="1" ht="18.75">
      <c r="A435" s="10" t="s">
        <v>503</v>
      </c>
      <c r="B435" s="11">
        <v>42</v>
      </c>
      <c r="C435" s="3"/>
      <c r="D435" s="3"/>
      <c r="E435" s="5"/>
      <c r="F435" s="3"/>
      <c r="G435" s="3"/>
      <c r="H435" s="5"/>
      <c r="I435" s="5"/>
      <c r="J435" s="5"/>
      <c r="K435" s="5"/>
      <c r="L435" s="6"/>
      <c r="M435" s="6"/>
      <c r="N435" s="7"/>
      <c r="O435" s="3"/>
      <c r="P435" s="3"/>
      <c r="Q435" s="3"/>
      <c r="R435" s="3"/>
    </row>
    <row x14ac:dyDescent="0.25" r="436" customHeight="1" ht="18.75">
      <c r="A436" s="10" t="s">
        <v>504</v>
      </c>
      <c r="B436" s="11">
        <v>42</v>
      </c>
      <c r="C436" s="3"/>
      <c r="D436" s="3"/>
      <c r="E436" s="5"/>
      <c r="F436" s="3"/>
      <c r="G436" s="3"/>
      <c r="H436" s="5"/>
      <c r="I436" s="5"/>
      <c r="J436" s="5"/>
      <c r="K436" s="5"/>
      <c r="L436" s="6"/>
      <c r="M436" s="6"/>
      <c r="N436" s="7"/>
      <c r="O436" s="3"/>
      <c r="P436" s="3"/>
      <c r="Q436" s="3"/>
      <c r="R436" s="3"/>
    </row>
    <row x14ac:dyDescent="0.25" r="437" customHeight="1" ht="18.75">
      <c r="A437" s="10" t="s">
        <v>505</v>
      </c>
      <c r="B437" s="11">
        <v>42</v>
      </c>
      <c r="C437" s="3"/>
      <c r="D437" s="3"/>
      <c r="E437" s="5"/>
      <c r="F437" s="3"/>
      <c r="G437" s="3"/>
      <c r="H437" s="5"/>
      <c r="I437" s="5"/>
      <c r="J437" s="5"/>
      <c r="K437" s="5"/>
      <c r="L437" s="6"/>
      <c r="M437" s="6"/>
      <c r="N437" s="7"/>
      <c r="O437" s="3"/>
      <c r="P437" s="3"/>
      <c r="Q437" s="3"/>
      <c r="R437" s="3"/>
    </row>
    <row x14ac:dyDescent="0.25" r="438" customHeight="1" ht="18.75">
      <c r="A438" s="10" t="s">
        <v>506</v>
      </c>
      <c r="B438" s="11">
        <v>42</v>
      </c>
      <c r="C438" s="3"/>
      <c r="D438" s="3"/>
      <c r="E438" s="5"/>
      <c r="F438" s="3"/>
      <c r="G438" s="3"/>
      <c r="H438" s="5"/>
      <c r="I438" s="5"/>
      <c r="J438" s="5"/>
      <c r="K438" s="5"/>
      <c r="L438" s="6"/>
      <c r="M438" s="6"/>
      <c r="N438" s="7"/>
      <c r="O438" s="3"/>
      <c r="P438" s="3"/>
      <c r="Q438" s="3"/>
      <c r="R438" s="3"/>
    </row>
    <row x14ac:dyDescent="0.25" r="439" customHeight="1" ht="18.75">
      <c r="A439" s="10" t="s">
        <v>507</v>
      </c>
      <c r="B439" s="11">
        <v>42</v>
      </c>
      <c r="C439" s="3"/>
      <c r="D439" s="3"/>
      <c r="E439" s="5"/>
      <c r="F439" s="3"/>
      <c r="G439" s="3"/>
      <c r="H439" s="5"/>
      <c r="I439" s="5"/>
      <c r="J439" s="5"/>
      <c r="K439" s="5"/>
      <c r="L439" s="6"/>
      <c r="M439" s="6"/>
      <c r="N439" s="7"/>
      <c r="O439" s="3"/>
      <c r="P439" s="3"/>
      <c r="Q439" s="3"/>
      <c r="R439" s="3"/>
    </row>
    <row x14ac:dyDescent="0.25" r="440" customHeight="1" ht="18.75">
      <c r="A440" s="10" t="s">
        <v>508</v>
      </c>
      <c r="B440" s="11">
        <v>42</v>
      </c>
      <c r="C440" s="3"/>
      <c r="D440" s="3"/>
      <c r="E440" s="5"/>
      <c r="F440" s="3"/>
      <c r="G440" s="3"/>
      <c r="H440" s="5"/>
      <c r="I440" s="5"/>
      <c r="J440" s="5"/>
      <c r="K440" s="5"/>
      <c r="L440" s="6"/>
      <c r="M440" s="6"/>
      <c r="N440" s="7"/>
      <c r="O440" s="3"/>
      <c r="P440" s="3"/>
      <c r="Q440" s="3"/>
      <c r="R440" s="3"/>
    </row>
    <row x14ac:dyDescent="0.25" r="441" customHeight="1" ht="18.75">
      <c r="A441" s="10" t="s">
        <v>509</v>
      </c>
      <c r="B441" s="11">
        <v>42</v>
      </c>
      <c r="C441" s="3"/>
      <c r="D441" s="3"/>
      <c r="E441" s="5"/>
      <c r="F441" s="3"/>
      <c r="G441" s="3"/>
      <c r="H441" s="5"/>
      <c r="I441" s="5"/>
      <c r="J441" s="5"/>
      <c r="K441" s="5"/>
      <c r="L441" s="6"/>
      <c r="M441" s="6"/>
      <c r="N441" s="7"/>
      <c r="O441" s="3"/>
      <c r="P441" s="3"/>
      <c r="Q441" s="3"/>
      <c r="R441" s="3"/>
    </row>
    <row x14ac:dyDescent="0.25" r="442" customHeight="1" ht="18.75">
      <c r="A442" s="10" t="s">
        <v>510</v>
      </c>
      <c r="B442" s="11">
        <v>42</v>
      </c>
      <c r="C442" s="3"/>
      <c r="D442" s="3"/>
      <c r="E442" s="5"/>
      <c r="F442" s="3"/>
      <c r="G442" s="3"/>
      <c r="H442" s="5"/>
      <c r="I442" s="5"/>
      <c r="J442" s="5"/>
      <c r="K442" s="5"/>
      <c r="L442" s="6"/>
      <c r="M442" s="6"/>
      <c r="N442" s="7"/>
      <c r="O442" s="3"/>
      <c r="P442" s="3"/>
      <c r="Q442" s="3"/>
      <c r="R442" s="3"/>
    </row>
    <row x14ac:dyDescent="0.25" r="443" customHeight="1" ht="18.75">
      <c r="A443" s="10" t="s">
        <v>511</v>
      </c>
      <c r="B443" s="11">
        <v>42</v>
      </c>
      <c r="C443" s="3"/>
      <c r="D443" s="3"/>
      <c r="E443" s="5"/>
      <c r="F443" s="3"/>
      <c r="G443" s="3"/>
      <c r="H443" s="5"/>
      <c r="I443" s="5"/>
      <c r="J443" s="5"/>
      <c r="K443" s="5"/>
      <c r="L443" s="6"/>
      <c r="M443" s="6"/>
      <c r="N443" s="7"/>
      <c r="O443" s="3"/>
      <c r="P443" s="3"/>
      <c r="Q443" s="3"/>
      <c r="R443" s="3"/>
    </row>
    <row x14ac:dyDescent="0.25" r="444" customHeight="1" ht="18.75">
      <c r="A444" s="10" t="s">
        <v>512</v>
      </c>
      <c r="B444" s="11">
        <v>42</v>
      </c>
      <c r="C444" s="3"/>
      <c r="D444" s="3"/>
      <c r="E444" s="5"/>
      <c r="F444" s="3"/>
      <c r="G444" s="3"/>
      <c r="H444" s="5"/>
      <c r="I444" s="5"/>
      <c r="J444" s="5"/>
      <c r="K444" s="5"/>
      <c r="L444" s="6"/>
      <c r="M444" s="6"/>
      <c r="N444" s="7"/>
      <c r="O444" s="3"/>
      <c r="P444" s="3"/>
      <c r="Q444" s="3"/>
      <c r="R444" s="3"/>
    </row>
    <row x14ac:dyDescent="0.25" r="445" customHeight="1" ht="18.75">
      <c r="A445" s="10" t="s">
        <v>513</v>
      </c>
      <c r="B445" s="11">
        <v>42</v>
      </c>
      <c r="C445" s="3"/>
      <c r="D445" s="3"/>
      <c r="E445" s="5"/>
      <c r="F445" s="3"/>
      <c r="G445" s="3"/>
      <c r="H445" s="5"/>
      <c r="I445" s="5"/>
      <c r="J445" s="5"/>
      <c r="K445" s="5"/>
      <c r="L445" s="6"/>
      <c r="M445" s="6"/>
      <c r="N445" s="7"/>
      <c r="O445" s="3"/>
      <c r="P445" s="3"/>
      <c r="Q445" s="3"/>
      <c r="R445" s="3"/>
    </row>
    <row x14ac:dyDescent="0.25" r="446" customHeight="1" ht="18.75">
      <c r="A446" s="10" t="s">
        <v>514</v>
      </c>
      <c r="B446" s="11">
        <v>42</v>
      </c>
      <c r="C446" s="3"/>
      <c r="D446" s="3"/>
      <c r="E446" s="5"/>
      <c r="F446" s="3"/>
      <c r="G446" s="3"/>
      <c r="H446" s="5"/>
      <c r="I446" s="5"/>
      <c r="J446" s="5"/>
      <c r="K446" s="5"/>
      <c r="L446" s="6"/>
      <c r="M446" s="6"/>
      <c r="N446" s="7"/>
      <c r="O446" s="3"/>
      <c r="P446" s="3"/>
      <c r="Q446" s="3"/>
      <c r="R446" s="3"/>
    </row>
    <row x14ac:dyDescent="0.25" r="447" customHeight="1" ht="18.75">
      <c r="A447" s="10" t="s">
        <v>515</v>
      </c>
      <c r="B447" s="11">
        <v>42</v>
      </c>
      <c r="C447" s="3"/>
      <c r="D447" s="3"/>
      <c r="E447" s="5"/>
      <c r="F447" s="3"/>
      <c r="G447" s="3"/>
      <c r="H447" s="5"/>
      <c r="I447" s="5"/>
      <c r="J447" s="5"/>
      <c r="K447" s="5"/>
      <c r="L447" s="6"/>
      <c r="M447" s="6"/>
      <c r="N447" s="7"/>
      <c r="O447" s="3"/>
      <c r="P447" s="3"/>
      <c r="Q447" s="3"/>
      <c r="R447" s="3"/>
    </row>
    <row x14ac:dyDescent="0.25" r="448" customHeight="1" ht="18.75">
      <c r="A448" s="10" t="s">
        <v>516</v>
      </c>
      <c r="B448" s="11">
        <v>42</v>
      </c>
      <c r="C448" s="3"/>
      <c r="D448" s="3"/>
      <c r="E448" s="5"/>
      <c r="F448" s="3"/>
      <c r="G448" s="3"/>
      <c r="H448" s="5"/>
      <c r="I448" s="5"/>
      <c r="J448" s="5"/>
      <c r="K448" s="5"/>
      <c r="L448" s="6"/>
      <c r="M448" s="6"/>
      <c r="N448" s="7"/>
      <c r="O448" s="3"/>
      <c r="P448" s="3"/>
      <c r="Q448" s="3"/>
      <c r="R448" s="3"/>
    </row>
    <row x14ac:dyDescent="0.25" r="449" customHeight="1" ht="18.75">
      <c r="A449" s="10" t="s">
        <v>517</v>
      </c>
      <c r="B449" s="11">
        <v>42</v>
      </c>
      <c r="C449" s="3"/>
      <c r="D449" s="3"/>
      <c r="E449" s="5"/>
      <c r="F449" s="3"/>
      <c r="G449" s="3"/>
      <c r="H449" s="5"/>
      <c r="I449" s="5"/>
      <c r="J449" s="5"/>
      <c r="K449" s="5"/>
      <c r="L449" s="6"/>
      <c r="M449" s="6"/>
      <c r="N449" s="7"/>
      <c r="O449" s="3"/>
      <c r="P449" s="3"/>
      <c r="Q449" s="3"/>
      <c r="R449" s="3"/>
    </row>
    <row x14ac:dyDescent="0.25" r="450" customHeight="1" ht="18.75">
      <c r="A450" s="10" t="s">
        <v>518</v>
      </c>
      <c r="B450" s="11">
        <v>42</v>
      </c>
      <c r="C450" s="3"/>
      <c r="D450" s="3"/>
      <c r="E450" s="5"/>
      <c r="F450" s="3"/>
      <c r="G450" s="3"/>
      <c r="H450" s="5"/>
      <c r="I450" s="5"/>
      <c r="J450" s="5"/>
      <c r="K450" s="5"/>
      <c r="L450" s="6"/>
      <c r="M450" s="6"/>
      <c r="N450" s="7"/>
      <c r="O450" s="3"/>
      <c r="P450" s="3"/>
      <c r="Q450" s="3"/>
      <c r="R450" s="3"/>
    </row>
    <row x14ac:dyDescent="0.25" r="451" customHeight="1" ht="18.75">
      <c r="A451" s="10" t="s">
        <v>519</v>
      </c>
      <c r="B451" s="11">
        <v>42</v>
      </c>
      <c r="C451" s="3"/>
      <c r="D451" s="3"/>
      <c r="E451" s="5"/>
      <c r="F451" s="3"/>
      <c r="G451" s="3"/>
      <c r="H451" s="5"/>
      <c r="I451" s="5"/>
      <c r="J451" s="5"/>
      <c r="K451" s="5"/>
      <c r="L451" s="6"/>
      <c r="M451" s="6"/>
      <c r="N451" s="7"/>
      <c r="O451" s="3"/>
      <c r="P451" s="3"/>
      <c r="Q451" s="3"/>
      <c r="R451" s="3"/>
    </row>
    <row x14ac:dyDescent="0.25" r="452" customHeight="1" ht="18.75">
      <c r="A452" s="10" t="s">
        <v>520</v>
      </c>
      <c r="B452" s="11">
        <v>42</v>
      </c>
      <c r="C452" s="3"/>
      <c r="D452" s="3"/>
      <c r="E452" s="5"/>
      <c r="F452" s="3"/>
      <c r="G452" s="3"/>
      <c r="H452" s="5"/>
      <c r="I452" s="5"/>
      <c r="J452" s="5"/>
      <c r="K452" s="5"/>
      <c r="L452" s="6"/>
      <c r="M452" s="6"/>
      <c r="N452" s="7"/>
      <c r="O452" s="3"/>
      <c r="P452" s="3"/>
      <c r="Q452" s="3"/>
      <c r="R452" s="3"/>
    </row>
    <row x14ac:dyDescent="0.25" r="453" customHeight="1" ht="18.75">
      <c r="A453" s="10" t="s">
        <v>521</v>
      </c>
      <c r="B453" s="11">
        <v>43</v>
      </c>
      <c r="C453" s="3"/>
      <c r="D453" s="3"/>
      <c r="E453" s="5"/>
      <c r="F453" s="3"/>
      <c r="G453" s="3"/>
      <c r="H453" s="5"/>
      <c r="I453" s="5"/>
      <c r="J453" s="5"/>
      <c r="K453" s="5"/>
      <c r="L453" s="6"/>
      <c r="M453" s="6"/>
      <c r="N453" s="7"/>
      <c r="O453" s="3"/>
      <c r="P453" s="3"/>
      <c r="Q453" s="3"/>
      <c r="R453" s="3"/>
    </row>
    <row x14ac:dyDescent="0.25" r="454" customHeight="1" ht="18.75">
      <c r="A454" s="10" t="s">
        <v>522</v>
      </c>
      <c r="B454" s="11">
        <v>43</v>
      </c>
      <c r="C454" s="3"/>
      <c r="D454" s="3"/>
      <c r="E454" s="5"/>
      <c r="F454" s="3"/>
      <c r="G454" s="3"/>
      <c r="H454" s="5"/>
      <c r="I454" s="5"/>
      <c r="J454" s="5"/>
      <c r="K454" s="5"/>
      <c r="L454" s="6"/>
      <c r="M454" s="6"/>
      <c r="N454" s="7"/>
      <c r="O454" s="3"/>
      <c r="P454" s="3"/>
      <c r="Q454" s="3"/>
      <c r="R454" s="3"/>
    </row>
    <row x14ac:dyDescent="0.25" r="455" customHeight="1" ht="18.75">
      <c r="A455" s="10" t="s">
        <v>523</v>
      </c>
      <c r="B455" s="11">
        <v>43</v>
      </c>
      <c r="C455" s="3"/>
      <c r="D455" s="3"/>
      <c r="E455" s="5"/>
      <c r="F455" s="3"/>
      <c r="G455" s="3"/>
      <c r="H455" s="5"/>
      <c r="I455" s="5"/>
      <c r="J455" s="5"/>
      <c r="K455" s="5"/>
      <c r="L455" s="6"/>
      <c r="M455" s="6"/>
      <c r="N455" s="7"/>
      <c r="O455" s="3"/>
      <c r="P455" s="3"/>
      <c r="Q455" s="3"/>
      <c r="R455" s="3"/>
    </row>
    <row x14ac:dyDescent="0.25" r="456" customHeight="1" ht="18.75">
      <c r="A456" s="10" t="s">
        <v>524</v>
      </c>
      <c r="B456" s="11">
        <v>43</v>
      </c>
      <c r="C456" s="3"/>
      <c r="D456" s="3"/>
      <c r="E456" s="5"/>
      <c r="F456" s="3"/>
      <c r="G456" s="3"/>
      <c r="H456" s="5"/>
      <c r="I456" s="5"/>
      <c r="J456" s="5"/>
      <c r="K456" s="5"/>
      <c r="L456" s="6"/>
      <c r="M456" s="6"/>
      <c r="N456" s="7"/>
      <c r="O456" s="3"/>
      <c r="P456" s="3"/>
      <c r="Q456" s="3"/>
      <c r="R456" s="3"/>
    </row>
    <row x14ac:dyDescent="0.25" r="457" customHeight="1" ht="18.75">
      <c r="A457" s="10" t="s">
        <v>525</v>
      </c>
      <c r="B457" s="11">
        <v>43</v>
      </c>
      <c r="C457" s="3"/>
      <c r="D457" s="3"/>
      <c r="E457" s="5"/>
      <c r="F457" s="3"/>
      <c r="G457" s="3"/>
      <c r="H457" s="5"/>
      <c r="I457" s="5"/>
      <c r="J457" s="5"/>
      <c r="K457" s="5"/>
      <c r="L457" s="6"/>
      <c r="M457" s="6"/>
      <c r="N457" s="7"/>
      <c r="O457" s="3"/>
      <c r="P457" s="3"/>
      <c r="Q457" s="3"/>
      <c r="R457" s="3"/>
    </row>
    <row x14ac:dyDescent="0.25" r="458" customHeight="1" ht="18.75">
      <c r="A458" s="10" t="s">
        <v>526</v>
      </c>
      <c r="B458" s="11">
        <v>43</v>
      </c>
      <c r="C458" s="3"/>
      <c r="D458" s="3"/>
      <c r="E458" s="5"/>
      <c r="F458" s="3"/>
      <c r="G458" s="3"/>
      <c r="H458" s="5"/>
      <c r="I458" s="5"/>
      <c r="J458" s="5"/>
      <c r="K458" s="5"/>
      <c r="L458" s="6"/>
      <c r="M458" s="6"/>
      <c r="N458" s="7"/>
      <c r="O458" s="3"/>
      <c r="P458" s="3"/>
      <c r="Q458" s="3"/>
      <c r="R458" s="3"/>
    </row>
    <row x14ac:dyDescent="0.25" r="459" customHeight="1" ht="18.75">
      <c r="A459" s="10" t="s">
        <v>527</v>
      </c>
      <c r="B459" s="11">
        <v>43</v>
      </c>
      <c r="C459" s="3"/>
      <c r="D459" s="3"/>
      <c r="E459" s="5"/>
      <c r="F459" s="3"/>
      <c r="G459" s="3"/>
      <c r="H459" s="5"/>
      <c r="I459" s="5"/>
      <c r="J459" s="5"/>
      <c r="K459" s="5"/>
      <c r="L459" s="6"/>
      <c r="M459" s="6"/>
      <c r="N459" s="7"/>
      <c r="O459" s="3"/>
      <c r="P459" s="3"/>
      <c r="Q459" s="3"/>
      <c r="R459" s="3"/>
    </row>
    <row x14ac:dyDescent="0.25" r="460" customHeight="1" ht="18.75">
      <c r="A460" s="10" t="s">
        <v>528</v>
      </c>
      <c r="B460" s="11">
        <v>43</v>
      </c>
      <c r="C460" s="3"/>
      <c r="D460" s="3"/>
      <c r="E460" s="5"/>
      <c r="F460" s="3"/>
      <c r="G460" s="3"/>
      <c r="H460" s="5"/>
      <c r="I460" s="5"/>
      <c r="J460" s="5"/>
      <c r="K460" s="5"/>
      <c r="L460" s="6"/>
      <c r="M460" s="6"/>
      <c r="N460" s="7"/>
      <c r="O460" s="3"/>
      <c r="P460" s="3"/>
      <c r="Q460" s="3"/>
      <c r="R460" s="3"/>
    </row>
    <row x14ac:dyDescent="0.25" r="461" customHeight="1" ht="18.75">
      <c r="A461" s="10" t="s">
        <v>529</v>
      </c>
      <c r="B461" s="11">
        <v>43</v>
      </c>
      <c r="C461" s="3"/>
      <c r="D461" s="3"/>
      <c r="E461" s="5"/>
      <c r="F461" s="3"/>
      <c r="G461" s="3"/>
      <c r="H461" s="5"/>
      <c r="I461" s="5"/>
      <c r="J461" s="5"/>
      <c r="K461" s="5"/>
      <c r="L461" s="6"/>
      <c r="M461" s="6"/>
      <c r="N461" s="7"/>
      <c r="O461" s="3"/>
      <c r="P461" s="3"/>
      <c r="Q461" s="3"/>
      <c r="R461" s="3"/>
    </row>
    <row x14ac:dyDescent="0.25" r="462" customHeight="1" ht="18.75">
      <c r="A462" s="10" t="s">
        <v>530</v>
      </c>
      <c r="B462" s="11">
        <v>43</v>
      </c>
      <c r="C462" s="3"/>
      <c r="D462" s="3"/>
      <c r="E462" s="5"/>
      <c r="F462" s="3"/>
      <c r="G462" s="3"/>
      <c r="H462" s="5"/>
      <c r="I462" s="5"/>
      <c r="J462" s="5"/>
      <c r="K462" s="5"/>
      <c r="L462" s="6"/>
      <c r="M462" s="6"/>
      <c r="N462" s="7"/>
      <c r="O462" s="3"/>
      <c r="P462" s="3"/>
      <c r="Q462" s="3"/>
      <c r="R462" s="3"/>
    </row>
    <row x14ac:dyDescent="0.25" r="463" customHeight="1" ht="18.75">
      <c r="A463" s="10" t="s">
        <v>531</v>
      </c>
      <c r="B463" s="11">
        <v>43</v>
      </c>
      <c r="C463" s="3"/>
      <c r="D463" s="3"/>
      <c r="E463" s="5"/>
      <c r="F463" s="3"/>
      <c r="G463" s="3"/>
      <c r="H463" s="5"/>
      <c r="I463" s="5"/>
      <c r="J463" s="5"/>
      <c r="K463" s="5"/>
      <c r="L463" s="6"/>
      <c r="M463" s="6"/>
      <c r="N463" s="7"/>
      <c r="O463" s="3"/>
      <c r="P463" s="3"/>
      <c r="Q463" s="3"/>
      <c r="R463" s="3"/>
    </row>
    <row x14ac:dyDescent="0.25" r="464" customHeight="1" ht="18.75">
      <c r="A464" s="10" t="s">
        <v>532</v>
      </c>
      <c r="B464" s="11">
        <v>43</v>
      </c>
      <c r="C464" s="3"/>
      <c r="D464" s="3"/>
      <c r="E464" s="5"/>
      <c r="F464" s="3"/>
      <c r="G464" s="3"/>
      <c r="H464" s="5"/>
      <c r="I464" s="5"/>
      <c r="J464" s="5"/>
      <c r="K464" s="5"/>
      <c r="L464" s="6"/>
      <c r="M464" s="6"/>
      <c r="N464" s="7"/>
      <c r="O464" s="3"/>
      <c r="P464" s="3"/>
      <c r="Q464" s="3"/>
      <c r="R464" s="3"/>
    </row>
    <row x14ac:dyDescent="0.25" r="465" customHeight="1" ht="18.75">
      <c r="A465" s="10" t="s">
        <v>533</v>
      </c>
      <c r="B465" s="11">
        <v>43</v>
      </c>
      <c r="C465" s="3"/>
      <c r="D465" s="3"/>
      <c r="E465" s="5"/>
      <c r="F465" s="3"/>
      <c r="G465" s="3"/>
      <c r="H465" s="5"/>
      <c r="I465" s="5"/>
      <c r="J465" s="5"/>
      <c r="K465" s="5"/>
      <c r="L465" s="6"/>
      <c r="M465" s="6"/>
      <c r="N465" s="7"/>
      <c r="O465" s="3"/>
      <c r="P465" s="3"/>
      <c r="Q465" s="3"/>
      <c r="R465" s="3"/>
    </row>
    <row x14ac:dyDescent="0.25" r="466" customHeight="1" ht="18.75">
      <c r="A466" s="10" t="s">
        <v>534</v>
      </c>
      <c r="B466" s="11">
        <v>43</v>
      </c>
      <c r="C466" s="3"/>
      <c r="D466" s="3"/>
      <c r="E466" s="5"/>
      <c r="F466" s="3"/>
      <c r="G466" s="3"/>
      <c r="H466" s="5"/>
      <c r="I466" s="5"/>
      <c r="J466" s="5"/>
      <c r="K466" s="5"/>
      <c r="L466" s="6"/>
      <c r="M466" s="6"/>
      <c r="N466" s="7"/>
      <c r="O466" s="3"/>
      <c r="P466" s="3"/>
      <c r="Q466" s="3"/>
      <c r="R466" s="3"/>
    </row>
    <row x14ac:dyDescent="0.25" r="467" customHeight="1" ht="18.75">
      <c r="A467" s="10" t="s">
        <v>535</v>
      </c>
      <c r="B467" s="11">
        <v>43</v>
      </c>
      <c r="C467" s="3"/>
      <c r="D467" s="3"/>
      <c r="E467" s="5"/>
      <c r="F467" s="3"/>
      <c r="G467" s="3"/>
      <c r="H467" s="5"/>
      <c r="I467" s="5"/>
      <c r="J467" s="5"/>
      <c r="K467" s="5"/>
      <c r="L467" s="6"/>
      <c r="M467" s="6"/>
      <c r="N467" s="7"/>
      <c r="O467" s="3"/>
      <c r="P467" s="3"/>
      <c r="Q467" s="3"/>
      <c r="R467" s="3"/>
    </row>
    <row x14ac:dyDescent="0.25" r="468" customHeight="1" ht="18.75">
      <c r="A468" s="10" t="s">
        <v>536</v>
      </c>
      <c r="B468" s="11">
        <v>43</v>
      </c>
      <c r="C468" s="3"/>
      <c r="D468" s="3"/>
      <c r="E468" s="5"/>
      <c r="F468" s="3"/>
      <c r="G468" s="3"/>
      <c r="H468" s="5"/>
      <c r="I468" s="5"/>
      <c r="J468" s="5"/>
      <c r="K468" s="5"/>
      <c r="L468" s="6"/>
      <c r="M468" s="6"/>
      <c r="N468" s="7"/>
      <c r="O468" s="3"/>
      <c r="P468" s="3"/>
      <c r="Q468" s="3"/>
      <c r="R468" s="3"/>
    </row>
    <row x14ac:dyDescent="0.25" r="469" customHeight="1" ht="18.75">
      <c r="A469" s="10" t="s">
        <v>537</v>
      </c>
      <c r="B469" s="11">
        <v>43</v>
      </c>
      <c r="C469" s="3"/>
      <c r="D469" s="3"/>
      <c r="E469" s="5"/>
      <c r="F469" s="3"/>
      <c r="G469" s="3"/>
      <c r="H469" s="5"/>
      <c r="I469" s="5"/>
      <c r="J469" s="5"/>
      <c r="K469" s="5"/>
      <c r="L469" s="6"/>
      <c r="M469" s="6"/>
      <c r="N469" s="7"/>
      <c r="O469" s="3"/>
      <c r="P469" s="3"/>
      <c r="Q469" s="3"/>
      <c r="R469" s="3"/>
    </row>
    <row x14ac:dyDescent="0.25" r="470" customHeight="1" ht="18.75">
      <c r="A470" s="10" t="s">
        <v>538</v>
      </c>
      <c r="B470" s="11">
        <v>43</v>
      </c>
      <c r="C470" s="3"/>
      <c r="D470" s="3"/>
      <c r="E470" s="5"/>
      <c r="F470" s="3"/>
      <c r="G470" s="3"/>
      <c r="H470" s="5"/>
      <c r="I470" s="5"/>
      <c r="J470" s="5"/>
      <c r="K470" s="5"/>
      <c r="L470" s="6"/>
      <c r="M470" s="6"/>
      <c r="N470" s="7"/>
      <c r="O470" s="3"/>
      <c r="P470" s="3"/>
      <c r="Q470" s="3"/>
      <c r="R470" s="3"/>
    </row>
    <row x14ac:dyDescent="0.25" r="471" customHeight="1" ht="18.75">
      <c r="A471" s="10" t="s">
        <v>539</v>
      </c>
      <c r="B471" s="11">
        <v>43</v>
      </c>
      <c r="C471" s="3"/>
      <c r="D471" s="3"/>
      <c r="E471" s="5"/>
      <c r="F471" s="3"/>
      <c r="G471" s="3"/>
      <c r="H471" s="5"/>
      <c r="I471" s="5"/>
      <c r="J471" s="5"/>
      <c r="K471" s="5"/>
      <c r="L471" s="6"/>
      <c r="M471" s="6"/>
      <c r="N471" s="7"/>
      <c r="O471" s="3"/>
      <c r="P471" s="3"/>
      <c r="Q471" s="3"/>
      <c r="R471" s="3"/>
    </row>
    <row x14ac:dyDescent="0.25" r="472" customHeight="1" ht="18.75">
      <c r="A472" s="10" t="s">
        <v>540</v>
      </c>
      <c r="B472" s="11">
        <v>43</v>
      </c>
      <c r="C472" s="3"/>
      <c r="D472" s="3"/>
      <c r="E472" s="5"/>
      <c r="F472" s="3"/>
      <c r="G472" s="3"/>
      <c r="H472" s="5"/>
      <c r="I472" s="5"/>
      <c r="J472" s="5"/>
      <c r="K472" s="5"/>
      <c r="L472" s="6"/>
      <c r="M472" s="6"/>
      <c r="N472" s="7"/>
      <c r="O472" s="3"/>
      <c r="P472" s="3"/>
      <c r="Q472" s="3"/>
      <c r="R472" s="3"/>
    </row>
    <row x14ac:dyDescent="0.25" r="473" customHeight="1" ht="18.75">
      <c r="A473" s="10" t="s">
        <v>541</v>
      </c>
      <c r="B473" s="11">
        <v>44</v>
      </c>
      <c r="C473" s="3"/>
      <c r="D473" s="3"/>
      <c r="E473" s="5"/>
      <c r="F473" s="3"/>
      <c r="G473" s="3"/>
      <c r="H473" s="5"/>
      <c r="I473" s="5"/>
      <c r="J473" s="5"/>
      <c r="K473" s="5"/>
      <c r="L473" s="6"/>
      <c r="M473" s="6"/>
      <c r="N473" s="7"/>
      <c r="O473" s="3"/>
      <c r="P473" s="3"/>
      <c r="Q473" s="3"/>
      <c r="R473" s="3"/>
    </row>
    <row x14ac:dyDescent="0.25" r="474" customHeight="1" ht="18.75">
      <c r="A474" s="10" t="s">
        <v>542</v>
      </c>
      <c r="B474" s="11">
        <v>44</v>
      </c>
      <c r="C474" s="3"/>
      <c r="D474" s="3"/>
      <c r="E474" s="5"/>
      <c r="F474" s="3"/>
      <c r="G474" s="3"/>
      <c r="H474" s="5"/>
      <c r="I474" s="5"/>
      <c r="J474" s="5"/>
      <c r="K474" s="5"/>
      <c r="L474" s="6"/>
      <c r="M474" s="6"/>
      <c r="N474" s="7"/>
      <c r="O474" s="3"/>
      <c r="P474" s="3"/>
      <c r="Q474" s="3"/>
      <c r="R474" s="3"/>
    </row>
    <row x14ac:dyDescent="0.25" r="475" customHeight="1" ht="18.75">
      <c r="A475" s="10" t="s">
        <v>543</v>
      </c>
      <c r="B475" s="11">
        <v>44</v>
      </c>
      <c r="C475" s="3"/>
      <c r="D475" s="3"/>
      <c r="E475" s="5"/>
      <c r="F475" s="3"/>
      <c r="G475" s="3"/>
      <c r="H475" s="5"/>
      <c r="I475" s="5"/>
      <c r="J475" s="5"/>
      <c r="K475" s="5"/>
      <c r="L475" s="6"/>
      <c r="M475" s="6"/>
      <c r="N475" s="7"/>
      <c r="O475" s="3"/>
      <c r="P475" s="3"/>
      <c r="Q475" s="3"/>
      <c r="R475" s="3"/>
    </row>
    <row x14ac:dyDescent="0.25" r="476" customHeight="1" ht="18.75">
      <c r="A476" s="10" t="s">
        <v>544</v>
      </c>
      <c r="B476" s="11">
        <v>44</v>
      </c>
      <c r="C476" s="3"/>
      <c r="D476" s="3"/>
      <c r="E476" s="5"/>
      <c r="F476" s="3"/>
      <c r="G476" s="3"/>
      <c r="H476" s="5"/>
      <c r="I476" s="5"/>
      <c r="J476" s="5"/>
      <c r="K476" s="5"/>
      <c r="L476" s="6"/>
      <c r="M476" s="6"/>
      <c r="N476" s="7"/>
      <c r="O476" s="3"/>
      <c r="P476" s="3"/>
      <c r="Q476" s="3"/>
      <c r="R476" s="3"/>
    </row>
    <row x14ac:dyDescent="0.25" r="477" customHeight="1" ht="18.75">
      <c r="A477" s="10" t="s">
        <v>545</v>
      </c>
      <c r="B477" s="11">
        <v>44</v>
      </c>
      <c r="C477" s="3"/>
      <c r="D477" s="3"/>
      <c r="E477" s="5"/>
      <c r="F477" s="3"/>
      <c r="G477" s="3"/>
      <c r="H477" s="5"/>
      <c r="I477" s="5"/>
      <c r="J477" s="5"/>
      <c r="K477" s="5"/>
      <c r="L477" s="6"/>
      <c r="M477" s="6"/>
      <c r="N477" s="7"/>
      <c r="O477" s="3"/>
      <c r="P477" s="3"/>
      <c r="Q477" s="3"/>
      <c r="R477" s="3"/>
    </row>
    <row x14ac:dyDescent="0.25" r="478" customHeight="1" ht="18.75">
      <c r="A478" s="10" t="s">
        <v>546</v>
      </c>
      <c r="B478" s="11">
        <v>44</v>
      </c>
      <c r="C478" s="3"/>
      <c r="D478" s="3"/>
      <c r="E478" s="5"/>
      <c r="F478" s="3"/>
      <c r="G478" s="3"/>
      <c r="H478" s="5"/>
      <c r="I478" s="5"/>
      <c r="J478" s="5"/>
      <c r="K478" s="5"/>
      <c r="L478" s="6"/>
      <c r="M478" s="6"/>
      <c r="N478" s="7"/>
      <c r="O478" s="3"/>
      <c r="P478" s="3"/>
      <c r="Q478" s="3"/>
      <c r="R478" s="3"/>
    </row>
    <row x14ac:dyDescent="0.25" r="479" customHeight="1" ht="18.75">
      <c r="A479" s="10" t="s">
        <v>547</v>
      </c>
      <c r="B479" s="11">
        <v>44</v>
      </c>
      <c r="C479" s="3"/>
      <c r="D479" s="3"/>
      <c r="E479" s="5"/>
      <c r="F479" s="3"/>
      <c r="G479" s="3"/>
      <c r="H479" s="5"/>
      <c r="I479" s="5"/>
      <c r="J479" s="5"/>
      <c r="K479" s="5"/>
      <c r="L479" s="6"/>
      <c r="M479" s="6"/>
      <c r="N479" s="7"/>
      <c r="O479" s="3"/>
      <c r="P479" s="3"/>
      <c r="Q479" s="3"/>
      <c r="R479" s="3"/>
    </row>
    <row x14ac:dyDescent="0.25" r="480" customHeight="1" ht="18.75">
      <c r="A480" s="10" t="s">
        <v>548</v>
      </c>
      <c r="B480" s="11">
        <v>44</v>
      </c>
      <c r="C480" s="3"/>
      <c r="D480" s="3"/>
      <c r="E480" s="5"/>
      <c r="F480" s="3"/>
      <c r="G480" s="3"/>
      <c r="H480" s="5"/>
      <c r="I480" s="5"/>
      <c r="J480" s="5"/>
      <c r="K480" s="5"/>
      <c r="L480" s="6"/>
      <c r="M480" s="6"/>
      <c r="N480" s="7"/>
      <c r="O480" s="3"/>
      <c r="P480" s="3"/>
      <c r="Q480" s="3"/>
      <c r="R480" s="3"/>
    </row>
    <row x14ac:dyDescent="0.25" r="481" customHeight="1" ht="18.75">
      <c r="A481" s="10" t="s">
        <v>549</v>
      </c>
      <c r="B481" s="11">
        <v>44</v>
      </c>
      <c r="C481" s="3"/>
      <c r="D481" s="3"/>
      <c r="E481" s="5"/>
      <c r="F481" s="3"/>
      <c r="G481" s="3"/>
      <c r="H481" s="5"/>
      <c r="I481" s="5"/>
      <c r="J481" s="5"/>
      <c r="K481" s="5"/>
      <c r="L481" s="6"/>
      <c r="M481" s="6"/>
      <c r="N481" s="7"/>
      <c r="O481" s="3"/>
      <c r="P481" s="3"/>
      <c r="Q481" s="3"/>
      <c r="R481" s="3"/>
    </row>
    <row x14ac:dyDescent="0.25" r="482" customHeight="1" ht="18.75">
      <c r="A482" s="10" t="s">
        <v>550</v>
      </c>
      <c r="B482" s="11">
        <v>44</v>
      </c>
      <c r="C482" s="3"/>
      <c r="D482" s="3"/>
      <c r="E482" s="5"/>
      <c r="F482" s="3"/>
      <c r="G482" s="3"/>
      <c r="H482" s="5"/>
      <c r="I482" s="5"/>
      <c r="J482" s="5"/>
      <c r="K482" s="5"/>
      <c r="L482" s="6"/>
      <c r="M482" s="6"/>
      <c r="N482" s="7"/>
      <c r="O482" s="3"/>
      <c r="P482" s="3"/>
      <c r="Q482" s="3"/>
      <c r="R482" s="3"/>
    </row>
    <row x14ac:dyDescent="0.25" r="483" customHeight="1" ht="18.75">
      <c r="A483" s="10" t="s">
        <v>551</v>
      </c>
      <c r="B483" s="11">
        <v>44</v>
      </c>
      <c r="C483" s="3"/>
      <c r="D483" s="3"/>
      <c r="E483" s="5"/>
      <c r="F483" s="3"/>
      <c r="G483" s="3"/>
      <c r="H483" s="5"/>
      <c r="I483" s="5"/>
      <c r="J483" s="5"/>
      <c r="K483" s="5"/>
      <c r="L483" s="6"/>
      <c r="M483" s="6"/>
      <c r="N483" s="7"/>
      <c r="O483" s="3"/>
      <c r="P483" s="3"/>
      <c r="Q483" s="3"/>
      <c r="R483" s="3"/>
    </row>
    <row x14ac:dyDescent="0.25" r="484" customHeight="1" ht="18.75">
      <c r="A484" s="10" t="s">
        <v>552</v>
      </c>
      <c r="B484" s="11">
        <v>44</v>
      </c>
      <c r="C484" s="3"/>
      <c r="D484" s="3"/>
      <c r="E484" s="5"/>
      <c r="F484" s="3"/>
      <c r="G484" s="3"/>
      <c r="H484" s="5"/>
      <c r="I484" s="5"/>
      <c r="J484" s="5"/>
      <c r="K484" s="5"/>
      <c r="L484" s="6"/>
      <c r="M484" s="6"/>
      <c r="N484" s="7"/>
      <c r="O484" s="3"/>
      <c r="P484" s="3"/>
      <c r="Q484" s="3"/>
      <c r="R484" s="3"/>
    </row>
    <row x14ac:dyDescent="0.25" r="485" customHeight="1" ht="18.75">
      <c r="A485" s="10" t="s">
        <v>553</v>
      </c>
      <c r="B485" s="11">
        <v>44</v>
      </c>
      <c r="C485" s="3"/>
      <c r="D485" s="3"/>
      <c r="E485" s="5"/>
      <c r="F485" s="3"/>
      <c r="G485" s="3"/>
      <c r="H485" s="5"/>
      <c r="I485" s="5"/>
      <c r="J485" s="5"/>
      <c r="K485" s="5"/>
      <c r="L485" s="6"/>
      <c r="M485" s="6"/>
      <c r="N485" s="7"/>
      <c r="O485" s="3"/>
      <c r="P485" s="3"/>
      <c r="Q485" s="3"/>
      <c r="R485" s="3"/>
    </row>
    <row x14ac:dyDescent="0.25" r="486" customHeight="1" ht="18.75">
      <c r="A486" s="10" t="s">
        <v>554</v>
      </c>
      <c r="B486" s="11">
        <v>44</v>
      </c>
      <c r="C486" s="3"/>
      <c r="D486" s="3"/>
      <c r="E486" s="5"/>
      <c r="F486" s="3"/>
      <c r="G486" s="3"/>
      <c r="H486" s="5"/>
      <c r="I486" s="5"/>
      <c r="J486" s="5"/>
      <c r="K486" s="5"/>
      <c r="L486" s="6"/>
      <c r="M486" s="6"/>
      <c r="N486" s="7"/>
      <c r="O486" s="3"/>
      <c r="P486" s="3"/>
      <c r="Q486" s="3"/>
      <c r="R486" s="3"/>
    </row>
    <row x14ac:dyDescent="0.25" r="487" customHeight="1" ht="18.75">
      <c r="A487" s="10" t="s">
        <v>555</v>
      </c>
      <c r="B487" s="11">
        <v>44</v>
      </c>
      <c r="C487" s="3"/>
      <c r="D487" s="3"/>
      <c r="E487" s="5"/>
      <c r="F487" s="3"/>
      <c r="G487" s="3"/>
      <c r="H487" s="5"/>
      <c r="I487" s="5"/>
      <c r="J487" s="5"/>
      <c r="K487" s="5"/>
      <c r="L487" s="6"/>
      <c r="M487" s="6"/>
      <c r="N487" s="7"/>
      <c r="O487" s="3"/>
      <c r="P487" s="3"/>
      <c r="Q487" s="3"/>
      <c r="R487" s="3"/>
    </row>
    <row x14ac:dyDescent="0.25" r="488" customHeight="1" ht="18.75">
      <c r="A488" s="10" t="s">
        <v>556</v>
      </c>
      <c r="B488" s="11">
        <v>44</v>
      </c>
      <c r="C488" s="3"/>
      <c r="D488" s="3"/>
      <c r="E488" s="5"/>
      <c r="F488" s="3"/>
      <c r="G488" s="3"/>
      <c r="H488" s="5"/>
      <c r="I488" s="5"/>
      <c r="J488" s="5"/>
      <c r="K488" s="5"/>
      <c r="L488" s="6"/>
      <c r="M488" s="6"/>
      <c r="N488" s="7"/>
      <c r="O488" s="3"/>
      <c r="P488" s="3"/>
      <c r="Q488" s="3"/>
      <c r="R488" s="3"/>
    </row>
    <row x14ac:dyDescent="0.25" r="489" customHeight="1" ht="18.75">
      <c r="A489" s="10" t="s">
        <v>557</v>
      </c>
      <c r="B489" s="11">
        <v>44</v>
      </c>
      <c r="C489" s="3"/>
      <c r="D489" s="3"/>
      <c r="E489" s="5"/>
      <c r="F489" s="3"/>
      <c r="G489" s="3"/>
      <c r="H489" s="5"/>
      <c r="I489" s="5"/>
      <c r="J489" s="5"/>
      <c r="K489" s="5"/>
      <c r="L489" s="6"/>
      <c r="M489" s="6"/>
      <c r="N489" s="7"/>
      <c r="O489" s="3"/>
      <c r="P489" s="3"/>
      <c r="Q489" s="3"/>
      <c r="R489" s="3"/>
    </row>
    <row x14ac:dyDescent="0.25" r="490" customHeight="1" ht="18.75">
      <c r="A490" s="10" t="s">
        <v>13</v>
      </c>
      <c r="B490" s="19">
        <v>44.382</v>
      </c>
      <c r="C490" s="3"/>
      <c r="D490" s="3"/>
      <c r="E490" s="5"/>
      <c r="F490" s="3"/>
      <c r="G490" s="3"/>
      <c r="H490" s="5"/>
      <c r="I490" s="5"/>
      <c r="J490" s="5"/>
      <c r="K490" s="5"/>
      <c r="L490" s="6"/>
      <c r="M490" s="6"/>
      <c r="N490" s="7"/>
      <c r="O490" s="3"/>
      <c r="P490" s="3"/>
      <c r="Q490" s="3"/>
      <c r="R490" s="3"/>
    </row>
    <row x14ac:dyDescent="0.25" r="491" customHeight="1" ht="18.75">
      <c r="A491" s="10" t="s">
        <v>558</v>
      </c>
      <c r="B491" s="11">
        <v>45</v>
      </c>
      <c r="C491" s="3"/>
      <c r="D491" s="3"/>
      <c r="E491" s="5"/>
      <c r="F491" s="3"/>
      <c r="G491" s="3"/>
      <c r="H491" s="5"/>
      <c r="I491" s="5"/>
      <c r="J491" s="5"/>
      <c r="K491" s="5"/>
      <c r="L491" s="6"/>
      <c r="M491" s="6"/>
      <c r="N491" s="7"/>
      <c r="O491" s="3"/>
      <c r="P491" s="3"/>
      <c r="Q491" s="3"/>
      <c r="R491" s="3"/>
    </row>
    <row x14ac:dyDescent="0.25" r="492" customHeight="1" ht="18.75">
      <c r="A492" s="10" t="s">
        <v>559</v>
      </c>
      <c r="B492" s="11">
        <v>45</v>
      </c>
      <c r="C492" s="3"/>
      <c r="D492" s="3"/>
      <c r="E492" s="5"/>
      <c r="F492" s="3"/>
      <c r="G492" s="3"/>
      <c r="H492" s="5"/>
      <c r="I492" s="5"/>
      <c r="J492" s="5"/>
      <c r="K492" s="5"/>
      <c r="L492" s="6"/>
      <c r="M492" s="6"/>
      <c r="N492" s="7"/>
      <c r="O492" s="3"/>
      <c r="P492" s="3"/>
      <c r="Q492" s="3"/>
      <c r="R492" s="3"/>
    </row>
    <row x14ac:dyDescent="0.25" r="493" customHeight="1" ht="18.75">
      <c r="A493" s="10" t="s">
        <v>560</v>
      </c>
      <c r="B493" s="11">
        <v>45</v>
      </c>
      <c r="C493" s="3"/>
      <c r="D493" s="3"/>
      <c r="E493" s="5"/>
      <c r="F493" s="3"/>
      <c r="G493" s="3"/>
      <c r="H493" s="5"/>
      <c r="I493" s="5"/>
      <c r="J493" s="5"/>
      <c r="K493" s="5"/>
      <c r="L493" s="6"/>
      <c r="M493" s="6"/>
      <c r="N493" s="7"/>
      <c r="O493" s="3"/>
      <c r="P493" s="3"/>
      <c r="Q493" s="3"/>
      <c r="R493" s="3"/>
    </row>
    <row x14ac:dyDescent="0.25" r="494" customHeight="1" ht="18.75">
      <c r="A494" s="10" t="s">
        <v>561</v>
      </c>
      <c r="B494" s="11">
        <v>45</v>
      </c>
      <c r="C494" s="3"/>
      <c r="D494" s="3"/>
      <c r="E494" s="5"/>
      <c r="F494" s="3"/>
      <c r="G494" s="3"/>
      <c r="H494" s="5"/>
      <c r="I494" s="5"/>
      <c r="J494" s="5"/>
      <c r="K494" s="5"/>
      <c r="L494" s="6"/>
      <c r="M494" s="6"/>
      <c r="N494" s="7"/>
      <c r="O494" s="3"/>
      <c r="P494" s="3"/>
      <c r="Q494" s="3"/>
      <c r="R494" s="3"/>
    </row>
    <row x14ac:dyDescent="0.25" r="495" customHeight="1" ht="18.75">
      <c r="A495" s="10" t="s">
        <v>562</v>
      </c>
      <c r="B495" s="11">
        <v>45</v>
      </c>
      <c r="C495" s="3"/>
      <c r="D495" s="3"/>
      <c r="E495" s="5"/>
      <c r="F495" s="3"/>
      <c r="G495" s="3"/>
      <c r="H495" s="5"/>
      <c r="I495" s="5"/>
      <c r="J495" s="5"/>
      <c r="K495" s="5"/>
      <c r="L495" s="6"/>
      <c r="M495" s="6"/>
      <c r="N495" s="7"/>
      <c r="O495" s="3"/>
      <c r="P495" s="3"/>
      <c r="Q495" s="3"/>
      <c r="R495" s="3"/>
    </row>
    <row x14ac:dyDescent="0.25" r="496" customHeight="1" ht="18.75">
      <c r="A496" s="10" t="s">
        <v>563</v>
      </c>
      <c r="B496" s="11">
        <v>45</v>
      </c>
      <c r="C496" s="3"/>
      <c r="D496" s="3"/>
      <c r="E496" s="5"/>
      <c r="F496" s="3"/>
      <c r="G496" s="3"/>
      <c r="H496" s="5"/>
      <c r="I496" s="5"/>
      <c r="J496" s="5"/>
      <c r="K496" s="5"/>
      <c r="L496" s="6"/>
      <c r="M496" s="6"/>
      <c r="N496" s="7"/>
      <c r="O496" s="3"/>
      <c r="P496" s="3"/>
      <c r="Q496" s="3"/>
      <c r="R496" s="3"/>
    </row>
    <row x14ac:dyDescent="0.25" r="497" customHeight="1" ht="18.75">
      <c r="A497" s="10" t="s">
        <v>564</v>
      </c>
      <c r="B497" s="11">
        <v>45</v>
      </c>
      <c r="C497" s="3"/>
      <c r="D497" s="3"/>
      <c r="E497" s="5"/>
      <c r="F497" s="3"/>
      <c r="G497" s="3"/>
      <c r="H497" s="5"/>
      <c r="I497" s="5"/>
      <c r="J497" s="5"/>
      <c r="K497" s="5"/>
      <c r="L497" s="6"/>
      <c r="M497" s="6"/>
      <c r="N497" s="7"/>
      <c r="O497" s="3"/>
      <c r="P497" s="3"/>
      <c r="Q497" s="3"/>
      <c r="R497" s="3"/>
    </row>
    <row x14ac:dyDescent="0.25" r="498" customHeight="1" ht="18.75">
      <c r="A498" s="10" t="s">
        <v>565</v>
      </c>
      <c r="B498" s="11">
        <v>45</v>
      </c>
      <c r="C498" s="3"/>
      <c r="D498" s="3"/>
      <c r="E498" s="5"/>
      <c r="F498" s="3"/>
      <c r="G498" s="3"/>
      <c r="H498" s="5"/>
      <c r="I498" s="5"/>
      <c r="J498" s="5"/>
      <c r="K498" s="5"/>
      <c r="L498" s="6"/>
      <c r="M498" s="6"/>
      <c r="N498" s="7"/>
      <c r="O498" s="3"/>
      <c r="P498" s="3"/>
      <c r="Q498" s="3"/>
      <c r="R498" s="3"/>
    </row>
    <row x14ac:dyDescent="0.25" r="499" customHeight="1" ht="18.75">
      <c r="A499" s="10" t="s">
        <v>566</v>
      </c>
      <c r="B499" s="11">
        <v>45</v>
      </c>
      <c r="C499" s="3"/>
      <c r="D499" s="3"/>
      <c r="E499" s="5"/>
      <c r="F499" s="3"/>
      <c r="G499" s="3"/>
      <c r="H499" s="5"/>
      <c r="I499" s="5"/>
      <c r="J499" s="5"/>
      <c r="K499" s="5"/>
      <c r="L499" s="6"/>
      <c r="M499" s="6"/>
      <c r="N499" s="7"/>
      <c r="O499" s="3"/>
      <c r="P499" s="3"/>
      <c r="Q499" s="3"/>
      <c r="R499" s="3"/>
    </row>
    <row x14ac:dyDescent="0.25" r="500" customHeight="1" ht="18.75">
      <c r="A500" s="10" t="s">
        <v>567</v>
      </c>
      <c r="B500" s="11">
        <v>45</v>
      </c>
      <c r="C500" s="3"/>
      <c r="D500" s="3"/>
      <c r="E500" s="5"/>
      <c r="F500" s="3"/>
      <c r="G500" s="3"/>
      <c r="H500" s="5"/>
      <c r="I500" s="5"/>
      <c r="J500" s="5"/>
      <c r="K500" s="5"/>
      <c r="L500" s="6"/>
      <c r="M500" s="6"/>
      <c r="N500" s="7"/>
      <c r="O500" s="3"/>
      <c r="P500" s="3"/>
      <c r="Q500" s="3"/>
      <c r="R500" s="3"/>
    </row>
    <row x14ac:dyDescent="0.25" r="501" customHeight="1" ht="18.75">
      <c r="A501" s="10" t="s">
        <v>568</v>
      </c>
      <c r="B501" s="11">
        <v>45</v>
      </c>
      <c r="C501" s="3"/>
      <c r="D501" s="3"/>
      <c r="E501" s="5"/>
      <c r="F501" s="3"/>
      <c r="G501" s="3"/>
      <c r="H501" s="5"/>
      <c r="I501" s="5"/>
      <c r="J501" s="5"/>
      <c r="K501" s="5"/>
      <c r="L501" s="6"/>
      <c r="M501" s="6"/>
      <c r="N501" s="7"/>
      <c r="O501" s="3"/>
      <c r="P501" s="3"/>
      <c r="Q501" s="3"/>
      <c r="R501" s="3"/>
    </row>
    <row x14ac:dyDescent="0.25" r="502" customHeight="1" ht="18.75">
      <c r="A502" s="10" t="s">
        <v>569</v>
      </c>
      <c r="B502" s="11">
        <v>45</v>
      </c>
      <c r="C502" s="3"/>
      <c r="D502" s="3"/>
      <c r="E502" s="5"/>
      <c r="F502" s="3"/>
      <c r="G502" s="3"/>
      <c r="H502" s="5"/>
      <c r="I502" s="5"/>
      <c r="J502" s="5"/>
      <c r="K502" s="5"/>
      <c r="L502" s="6"/>
      <c r="M502" s="6"/>
      <c r="N502" s="7"/>
      <c r="O502" s="3"/>
      <c r="P502" s="3"/>
      <c r="Q502" s="3"/>
      <c r="R502" s="3"/>
    </row>
    <row x14ac:dyDescent="0.25" r="503" customHeight="1" ht="18.75">
      <c r="A503" s="10" t="s">
        <v>570</v>
      </c>
      <c r="B503" s="11">
        <v>45</v>
      </c>
      <c r="C503" s="3"/>
      <c r="D503" s="3"/>
      <c r="E503" s="5"/>
      <c r="F503" s="3"/>
      <c r="G503" s="3"/>
      <c r="H503" s="5"/>
      <c r="I503" s="5"/>
      <c r="J503" s="5"/>
      <c r="K503" s="5"/>
      <c r="L503" s="6"/>
      <c r="M503" s="6"/>
      <c r="N503" s="7"/>
      <c r="O503" s="3"/>
      <c r="P503" s="3"/>
      <c r="Q503" s="3"/>
      <c r="R503" s="3"/>
    </row>
    <row x14ac:dyDescent="0.25" r="504" customHeight="1" ht="18.75">
      <c r="A504" s="10" t="s">
        <v>571</v>
      </c>
      <c r="B504" s="11">
        <v>45</v>
      </c>
      <c r="C504" s="3"/>
      <c r="D504" s="3"/>
      <c r="E504" s="5"/>
      <c r="F504" s="3"/>
      <c r="G504" s="3"/>
      <c r="H504" s="5"/>
      <c r="I504" s="5"/>
      <c r="J504" s="5"/>
      <c r="K504" s="5"/>
      <c r="L504" s="6"/>
      <c r="M504" s="6"/>
      <c r="N504" s="7"/>
      <c r="O504" s="3"/>
      <c r="P504" s="3"/>
      <c r="Q504" s="3"/>
      <c r="R504" s="3"/>
    </row>
    <row x14ac:dyDescent="0.25" r="505" customHeight="1" ht="18.75">
      <c r="A505" s="10" t="s">
        <v>572</v>
      </c>
      <c r="B505" s="11">
        <v>45</v>
      </c>
      <c r="C505" s="3"/>
      <c r="D505" s="3"/>
      <c r="E505" s="5"/>
      <c r="F505" s="3"/>
      <c r="G505" s="3"/>
      <c r="H505" s="5"/>
      <c r="I505" s="5"/>
      <c r="J505" s="5"/>
      <c r="K505" s="5"/>
      <c r="L505" s="6"/>
      <c r="M505" s="6"/>
      <c r="N505" s="7"/>
      <c r="O505" s="3"/>
      <c r="P505" s="3"/>
      <c r="Q505" s="3"/>
      <c r="R505" s="3"/>
    </row>
    <row x14ac:dyDescent="0.25" r="506" customHeight="1" ht="18.75">
      <c r="A506" s="10" t="s">
        <v>573</v>
      </c>
      <c r="B506" s="11">
        <v>45</v>
      </c>
      <c r="C506" s="3"/>
      <c r="D506" s="3"/>
      <c r="E506" s="5"/>
      <c r="F506" s="3"/>
      <c r="G506" s="3"/>
      <c r="H506" s="5"/>
      <c r="I506" s="5"/>
      <c r="J506" s="5"/>
      <c r="K506" s="5"/>
      <c r="L506" s="6"/>
      <c r="M506" s="6"/>
      <c r="N506" s="7"/>
      <c r="O506" s="3"/>
      <c r="P506" s="3"/>
      <c r="Q506" s="3"/>
      <c r="R506" s="3"/>
    </row>
    <row x14ac:dyDescent="0.25" r="507" customHeight="1" ht="18.75">
      <c r="A507" s="10" t="s">
        <v>574</v>
      </c>
      <c r="B507" s="11">
        <v>45</v>
      </c>
      <c r="C507" s="3"/>
      <c r="D507" s="3"/>
      <c r="E507" s="5"/>
      <c r="F507" s="3"/>
      <c r="G507" s="3"/>
      <c r="H507" s="5"/>
      <c r="I507" s="5"/>
      <c r="J507" s="5"/>
      <c r="K507" s="5"/>
      <c r="L507" s="6"/>
      <c r="M507" s="6"/>
      <c r="N507" s="7"/>
      <c r="O507" s="3"/>
      <c r="P507" s="3"/>
      <c r="Q507" s="3"/>
      <c r="R507" s="3"/>
    </row>
    <row x14ac:dyDescent="0.25" r="508" customHeight="1" ht="18.75">
      <c r="A508" s="10" t="s">
        <v>575</v>
      </c>
      <c r="B508" s="11">
        <v>45</v>
      </c>
      <c r="C508" s="3"/>
      <c r="D508" s="3"/>
      <c r="E508" s="5"/>
      <c r="F508" s="3"/>
      <c r="G508" s="3"/>
      <c r="H508" s="5"/>
      <c r="I508" s="5"/>
      <c r="J508" s="5"/>
      <c r="K508" s="5"/>
      <c r="L508" s="6"/>
      <c r="M508" s="6"/>
      <c r="N508" s="7"/>
      <c r="O508" s="3"/>
      <c r="P508" s="3"/>
      <c r="Q508" s="3"/>
      <c r="R508" s="3"/>
    </row>
    <row x14ac:dyDescent="0.25" r="509" customHeight="1" ht="18.75">
      <c r="A509" s="10" t="s">
        <v>576</v>
      </c>
      <c r="B509" s="11">
        <v>45</v>
      </c>
      <c r="C509" s="3"/>
      <c r="D509" s="3"/>
      <c r="E509" s="5"/>
      <c r="F509" s="3"/>
      <c r="G509" s="3"/>
      <c r="H509" s="5"/>
      <c r="I509" s="5"/>
      <c r="J509" s="5"/>
      <c r="K509" s="5"/>
      <c r="L509" s="6"/>
      <c r="M509" s="6"/>
      <c r="N509" s="7"/>
      <c r="O509" s="3"/>
      <c r="P509" s="3"/>
      <c r="Q509" s="3"/>
      <c r="R509" s="3"/>
    </row>
    <row x14ac:dyDescent="0.25" r="510" customHeight="1" ht="18.75">
      <c r="A510" s="10" t="s">
        <v>577</v>
      </c>
      <c r="B510" s="11">
        <v>45</v>
      </c>
      <c r="C510" s="3"/>
      <c r="D510" s="3"/>
      <c r="E510" s="5"/>
      <c r="F510" s="3"/>
      <c r="G510" s="3"/>
      <c r="H510" s="5"/>
      <c r="I510" s="5"/>
      <c r="J510" s="5"/>
      <c r="K510" s="5"/>
      <c r="L510" s="6"/>
      <c r="M510" s="6"/>
      <c r="N510" s="7"/>
      <c r="O510" s="3"/>
      <c r="P510" s="3"/>
      <c r="Q510" s="3"/>
      <c r="R510" s="3"/>
    </row>
    <row x14ac:dyDescent="0.25" r="511" customHeight="1" ht="18.75">
      <c r="A511" s="10" t="s">
        <v>578</v>
      </c>
      <c r="B511" s="11">
        <v>45</v>
      </c>
      <c r="C511" s="3"/>
      <c r="D511" s="3"/>
      <c r="E511" s="5"/>
      <c r="F511" s="3"/>
      <c r="G511" s="3"/>
      <c r="H511" s="5"/>
      <c r="I511" s="5"/>
      <c r="J511" s="5"/>
      <c r="K511" s="5"/>
      <c r="L511" s="6"/>
      <c r="M511" s="6"/>
      <c r="N511" s="7"/>
      <c r="O511" s="3"/>
      <c r="P511" s="3"/>
      <c r="Q511" s="3"/>
      <c r="R511" s="3"/>
    </row>
    <row x14ac:dyDescent="0.25" r="512" customHeight="1" ht="18.75">
      <c r="A512" s="10" t="s">
        <v>579</v>
      </c>
      <c r="B512" s="11">
        <v>45</v>
      </c>
      <c r="C512" s="3"/>
      <c r="D512" s="3"/>
      <c r="E512" s="5"/>
      <c r="F512" s="3"/>
      <c r="G512" s="3"/>
      <c r="H512" s="5"/>
      <c r="I512" s="5"/>
      <c r="J512" s="5"/>
      <c r="K512" s="5"/>
      <c r="L512" s="6"/>
      <c r="M512" s="6"/>
      <c r="N512" s="7"/>
      <c r="O512" s="3"/>
      <c r="P512" s="3"/>
      <c r="Q512" s="3"/>
      <c r="R512" s="3"/>
    </row>
    <row x14ac:dyDescent="0.25" r="513" customHeight="1" ht="18.75">
      <c r="A513" s="10" t="s">
        <v>580</v>
      </c>
      <c r="B513" s="11">
        <v>45</v>
      </c>
      <c r="C513" s="3"/>
      <c r="D513" s="3"/>
      <c r="E513" s="5"/>
      <c r="F513" s="3"/>
      <c r="G513" s="3"/>
      <c r="H513" s="5"/>
      <c r="I513" s="5"/>
      <c r="J513" s="5"/>
      <c r="K513" s="5"/>
      <c r="L513" s="6"/>
      <c r="M513" s="6"/>
      <c r="N513" s="7"/>
      <c r="O513" s="3"/>
      <c r="P513" s="3"/>
      <c r="Q513" s="3"/>
      <c r="R513" s="3"/>
    </row>
    <row x14ac:dyDescent="0.25" r="514" customHeight="1" ht="18.75">
      <c r="A514" s="10" t="s">
        <v>581</v>
      </c>
      <c r="B514" s="11">
        <v>45</v>
      </c>
      <c r="C514" s="3"/>
      <c r="D514" s="3"/>
      <c r="E514" s="5"/>
      <c r="F514" s="3"/>
      <c r="G514" s="3"/>
      <c r="H514" s="5"/>
      <c r="I514" s="5"/>
      <c r="J514" s="5"/>
      <c r="K514" s="5"/>
      <c r="L514" s="6"/>
      <c r="M514" s="6"/>
      <c r="N514" s="7"/>
      <c r="O514" s="3"/>
      <c r="P514" s="3"/>
      <c r="Q514" s="3"/>
      <c r="R514" s="3"/>
    </row>
    <row x14ac:dyDescent="0.25" r="515" customHeight="1" ht="18.75">
      <c r="A515" s="10" t="s">
        <v>582</v>
      </c>
      <c r="B515" s="11">
        <v>45</v>
      </c>
      <c r="C515" s="3"/>
      <c r="D515" s="3"/>
      <c r="E515" s="5"/>
      <c r="F515" s="3"/>
      <c r="G515" s="3"/>
      <c r="H515" s="5"/>
      <c r="I515" s="5"/>
      <c r="J515" s="5"/>
      <c r="K515" s="5"/>
      <c r="L515" s="6"/>
      <c r="M515" s="6"/>
      <c r="N515" s="7"/>
      <c r="O515" s="3"/>
      <c r="P515" s="3"/>
      <c r="Q515" s="3"/>
      <c r="R515" s="3"/>
    </row>
    <row x14ac:dyDescent="0.25" r="516" customHeight="1" ht="18.75">
      <c r="A516" s="10" t="s">
        <v>583</v>
      </c>
      <c r="B516" s="11">
        <v>45</v>
      </c>
      <c r="C516" s="3"/>
      <c r="D516" s="3"/>
      <c r="E516" s="5"/>
      <c r="F516" s="3"/>
      <c r="G516" s="3"/>
      <c r="H516" s="5"/>
      <c r="I516" s="5"/>
      <c r="J516" s="5"/>
      <c r="K516" s="5"/>
      <c r="L516" s="6"/>
      <c r="M516" s="6"/>
      <c r="N516" s="7"/>
      <c r="O516" s="3"/>
      <c r="P516" s="3"/>
      <c r="Q516" s="3"/>
      <c r="R516" s="3"/>
    </row>
    <row x14ac:dyDescent="0.25" r="517" customHeight="1" ht="18.75">
      <c r="A517" s="10" t="s">
        <v>584</v>
      </c>
      <c r="B517" s="11">
        <v>45</v>
      </c>
      <c r="C517" s="3"/>
      <c r="D517" s="3"/>
      <c r="E517" s="5"/>
      <c r="F517" s="3"/>
      <c r="G517" s="3"/>
      <c r="H517" s="5"/>
      <c r="I517" s="5"/>
      <c r="J517" s="5"/>
      <c r="K517" s="5"/>
      <c r="L517" s="6"/>
      <c r="M517" s="6"/>
      <c r="N517" s="7"/>
      <c r="O517" s="3"/>
      <c r="P517" s="3"/>
      <c r="Q517" s="3"/>
      <c r="R517" s="3"/>
    </row>
    <row x14ac:dyDescent="0.25" r="518" customHeight="1" ht="18.75">
      <c r="A518" s="10" t="s">
        <v>585</v>
      </c>
      <c r="B518" s="11">
        <v>45</v>
      </c>
      <c r="C518" s="3"/>
      <c r="D518" s="3"/>
      <c r="E518" s="5"/>
      <c r="F518" s="3"/>
      <c r="G518" s="3"/>
      <c r="H518" s="5"/>
      <c r="I518" s="5"/>
      <c r="J518" s="5"/>
      <c r="K518" s="5"/>
      <c r="L518" s="6"/>
      <c r="M518" s="6"/>
      <c r="N518" s="7"/>
      <c r="O518" s="3"/>
      <c r="P518" s="3"/>
      <c r="Q518" s="3"/>
      <c r="R518" s="3"/>
    </row>
    <row x14ac:dyDescent="0.25" r="519" customHeight="1" ht="18.75">
      <c r="A519" s="10" t="s">
        <v>586</v>
      </c>
      <c r="B519" s="11">
        <v>45</v>
      </c>
      <c r="C519" s="3"/>
      <c r="D519" s="3"/>
      <c r="E519" s="5"/>
      <c r="F519" s="3"/>
      <c r="G519" s="3"/>
      <c r="H519" s="5"/>
      <c r="I519" s="5"/>
      <c r="J519" s="5"/>
      <c r="K519" s="5"/>
      <c r="L519" s="6"/>
      <c r="M519" s="6"/>
      <c r="N519" s="7"/>
      <c r="O519" s="3"/>
      <c r="P519" s="3"/>
      <c r="Q519" s="3"/>
      <c r="R519" s="3"/>
    </row>
    <row x14ac:dyDescent="0.25" r="520" customHeight="1" ht="18.75">
      <c r="A520" s="10" t="s">
        <v>587</v>
      </c>
      <c r="B520" s="11">
        <v>45</v>
      </c>
      <c r="C520" s="3"/>
      <c r="D520" s="3"/>
      <c r="E520" s="5"/>
      <c r="F520" s="3"/>
      <c r="G520" s="3"/>
      <c r="H520" s="5"/>
      <c r="I520" s="5"/>
      <c r="J520" s="5"/>
      <c r="K520" s="5"/>
      <c r="L520" s="6"/>
      <c r="M520" s="6"/>
      <c r="N520" s="7"/>
      <c r="O520" s="3"/>
      <c r="P520" s="3"/>
      <c r="Q520" s="3"/>
      <c r="R520" s="3"/>
    </row>
    <row x14ac:dyDescent="0.25" r="521" customHeight="1" ht="18.75">
      <c r="A521" s="10" t="s">
        <v>588</v>
      </c>
      <c r="B521" s="11">
        <v>45</v>
      </c>
      <c r="C521" s="3"/>
      <c r="D521" s="3"/>
      <c r="E521" s="5"/>
      <c r="F521" s="3"/>
      <c r="G521" s="3"/>
      <c r="H521" s="5"/>
      <c r="I521" s="5"/>
      <c r="J521" s="5"/>
      <c r="K521" s="5"/>
      <c r="L521" s="6"/>
      <c r="M521" s="6"/>
      <c r="N521" s="7"/>
      <c r="O521" s="3"/>
      <c r="P521" s="3"/>
      <c r="Q521" s="3"/>
      <c r="R521" s="3"/>
    </row>
    <row x14ac:dyDescent="0.25" r="522" customHeight="1" ht="18.75">
      <c r="A522" s="10" t="s">
        <v>589</v>
      </c>
      <c r="B522" s="11">
        <v>45</v>
      </c>
      <c r="C522" s="3"/>
      <c r="D522" s="3"/>
      <c r="E522" s="5"/>
      <c r="F522" s="3"/>
      <c r="G522" s="3"/>
      <c r="H522" s="5"/>
      <c r="I522" s="5"/>
      <c r="J522" s="5"/>
      <c r="K522" s="5"/>
      <c r="L522" s="6"/>
      <c r="M522" s="6"/>
      <c r="N522" s="7"/>
      <c r="O522" s="3"/>
      <c r="P522" s="3"/>
      <c r="Q522" s="3"/>
      <c r="R522" s="3"/>
    </row>
    <row x14ac:dyDescent="0.25" r="523" customHeight="1" ht="18.75">
      <c r="A523" s="10" t="s">
        <v>590</v>
      </c>
      <c r="B523" s="11">
        <v>45</v>
      </c>
      <c r="C523" s="3"/>
      <c r="D523" s="3"/>
      <c r="E523" s="5"/>
      <c r="F523" s="3"/>
      <c r="G523" s="3"/>
      <c r="H523" s="5"/>
      <c r="I523" s="5"/>
      <c r="J523" s="5"/>
      <c r="K523" s="5"/>
      <c r="L523" s="6"/>
      <c r="M523" s="6"/>
      <c r="N523" s="7"/>
      <c r="O523" s="3"/>
      <c r="P523" s="3"/>
      <c r="Q523" s="3"/>
      <c r="R523" s="3"/>
    </row>
    <row x14ac:dyDescent="0.25" r="524" customHeight="1" ht="18.75">
      <c r="A524" s="10" t="s">
        <v>591</v>
      </c>
      <c r="B524" s="11">
        <v>45</v>
      </c>
      <c r="C524" s="3"/>
      <c r="D524" s="3"/>
      <c r="E524" s="5"/>
      <c r="F524" s="3"/>
      <c r="G524" s="3"/>
      <c r="H524" s="5"/>
      <c r="I524" s="5"/>
      <c r="J524" s="5"/>
      <c r="K524" s="5"/>
      <c r="L524" s="6"/>
      <c r="M524" s="6"/>
      <c r="N524" s="7"/>
      <c r="O524" s="3"/>
      <c r="P524" s="3"/>
      <c r="Q524" s="3"/>
      <c r="R524" s="3"/>
    </row>
    <row x14ac:dyDescent="0.25" r="525" customHeight="1" ht="18.75">
      <c r="A525" s="10" t="s">
        <v>592</v>
      </c>
      <c r="B525" s="11">
        <v>45</v>
      </c>
      <c r="C525" s="3"/>
      <c r="D525" s="3"/>
      <c r="E525" s="5"/>
      <c r="F525" s="3"/>
      <c r="G525" s="3"/>
      <c r="H525" s="5"/>
      <c r="I525" s="5"/>
      <c r="J525" s="5"/>
      <c r="K525" s="5"/>
      <c r="L525" s="6"/>
      <c r="M525" s="6"/>
      <c r="N525" s="7"/>
      <c r="O525" s="3"/>
      <c r="P525" s="3"/>
      <c r="Q525" s="3"/>
      <c r="R525" s="3"/>
    </row>
    <row x14ac:dyDescent="0.25" r="526" customHeight="1" ht="18.75">
      <c r="A526" s="10" t="s">
        <v>593</v>
      </c>
      <c r="B526" s="11">
        <v>45</v>
      </c>
      <c r="C526" s="3"/>
      <c r="D526" s="3"/>
      <c r="E526" s="5"/>
      <c r="F526" s="3"/>
      <c r="G526" s="3"/>
      <c r="H526" s="5"/>
      <c r="I526" s="5"/>
      <c r="J526" s="5"/>
      <c r="K526" s="5"/>
      <c r="L526" s="6"/>
      <c r="M526" s="6"/>
      <c r="N526" s="7"/>
      <c r="O526" s="3"/>
      <c r="P526" s="3"/>
      <c r="Q526" s="3"/>
      <c r="R526" s="3"/>
    </row>
    <row x14ac:dyDescent="0.25" r="527" customHeight="1" ht="18.75">
      <c r="A527" s="10" t="s">
        <v>594</v>
      </c>
      <c r="B527" s="11">
        <v>45</v>
      </c>
      <c r="C527" s="3"/>
      <c r="D527" s="3"/>
      <c r="E527" s="5"/>
      <c r="F527" s="3"/>
      <c r="G527" s="3"/>
      <c r="H527" s="5"/>
      <c r="I527" s="5"/>
      <c r="J527" s="5"/>
      <c r="K527" s="5"/>
      <c r="L527" s="6"/>
      <c r="M527" s="6"/>
      <c r="N527" s="7"/>
      <c r="O527" s="3"/>
      <c r="P527" s="3"/>
      <c r="Q527" s="3"/>
      <c r="R527" s="3"/>
    </row>
    <row x14ac:dyDescent="0.25" r="528" customHeight="1" ht="18.75">
      <c r="A528" s="10" t="s">
        <v>595</v>
      </c>
      <c r="B528" s="11">
        <v>45</v>
      </c>
      <c r="C528" s="3"/>
      <c r="D528" s="3"/>
      <c r="E528" s="5"/>
      <c r="F528" s="3"/>
      <c r="G528" s="3"/>
      <c r="H528" s="5"/>
      <c r="I528" s="5"/>
      <c r="J528" s="5"/>
      <c r="K528" s="5"/>
      <c r="L528" s="6"/>
      <c r="M528" s="6"/>
      <c r="N528" s="7"/>
      <c r="O528" s="3"/>
      <c r="P528" s="3"/>
      <c r="Q528" s="3"/>
      <c r="R528" s="3"/>
    </row>
    <row x14ac:dyDescent="0.25" r="529" customHeight="1" ht="18.75">
      <c r="A529" s="10" t="s">
        <v>596</v>
      </c>
      <c r="B529" s="11">
        <v>45</v>
      </c>
      <c r="C529" s="3"/>
      <c r="D529" s="3"/>
      <c r="E529" s="5"/>
      <c r="F529" s="3"/>
      <c r="G529" s="3"/>
      <c r="H529" s="5"/>
      <c r="I529" s="5"/>
      <c r="J529" s="5"/>
      <c r="K529" s="5"/>
      <c r="L529" s="6"/>
      <c r="M529" s="6"/>
      <c r="N529" s="7"/>
      <c r="O529" s="3"/>
      <c r="P529" s="3"/>
      <c r="Q529" s="3"/>
      <c r="R529" s="3"/>
    </row>
    <row x14ac:dyDescent="0.25" r="530" customHeight="1" ht="18.75">
      <c r="A530" s="10" t="s">
        <v>597</v>
      </c>
      <c r="B530" s="11">
        <v>45</v>
      </c>
      <c r="C530" s="3"/>
      <c r="D530" s="3"/>
      <c r="E530" s="5"/>
      <c r="F530" s="3"/>
      <c r="G530" s="3"/>
      <c r="H530" s="5"/>
      <c r="I530" s="5"/>
      <c r="J530" s="5"/>
      <c r="K530" s="5"/>
      <c r="L530" s="6"/>
      <c r="M530" s="6"/>
      <c r="N530" s="7"/>
      <c r="O530" s="3"/>
      <c r="P530" s="3"/>
      <c r="Q530" s="3"/>
      <c r="R530" s="3"/>
    </row>
    <row x14ac:dyDescent="0.25" r="531" customHeight="1" ht="18.75">
      <c r="A531" s="10" t="s">
        <v>598</v>
      </c>
      <c r="B531" s="11">
        <v>45</v>
      </c>
      <c r="C531" s="3"/>
      <c r="D531" s="3"/>
      <c r="E531" s="5"/>
      <c r="F531" s="3"/>
      <c r="G531" s="3"/>
      <c r="H531" s="5"/>
      <c r="I531" s="5"/>
      <c r="J531" s="5"/>
      <c r="K531" s="5"/>
      <c r="L531" s="6"/>
      <c r="M531" s="6"/>
      <c r="N531" s="7"/>
      <c r="O531" s="3"/>
      <c r="P531" s="3"/>
      <c r="Q531" s="3"/>
      <c r="R531" s="3"/>
    </row>
    <row x14ac:dyDescent="0.25" r="532" customHeight="1" ht="18.75">
      <c r="A532" s="10" t="s">
        <v>599</v>
      </c>
      <c r="B532" s="11">
        <v>45</v>
      </c>
      <c r="C532" s="3"/>
      <c r="D532" s="3"/>
      <c r="E532" s="5"/>
      <c r="F532" s="3"/>
      <c r="G532" s="3"/>
      <c r="H532" s="5"/>
      <c r="I532" s="5"/>
      <c r="J532" s="5"/>
      <c r="K532" s="5"/>
      <c r="L532" s="6"/>
      <c r="M532" s="6"/>
      <c r="N532" s="7"/>
      <c r="O532" s="3"/>
      <c r="P532" s="3"/>
      <c r="Q532" s="3"/>
      <c r="R532" s="3"/>
    </row>
    <row x14ac:dyDescent="0.25" r="533" customHeight="1" ht="18.75">
      <c r="A533" s="10" t="s">
        <v>600</v>
      </c>
      <c r="B533" s="11">
        <v>45</v>
      </c>
      <c r="C533" s="3"/>
      <c r="D533" s="3"/>
      <c r="E533" s="5"/>
      <c r="F533" s="3"/>
      <c r="G533" s="3"/>
      <c r="H533" s="5"/>
      <c r="I533" s="5"/>
      <c r="J533" s="5"/>
      <c r="K533" s="5"/>
      <c r="L533" s="6"/>
      <c r="M533" s="6"/>
      <c r="N533" s="7"/>
      <c r="O533" s="3"/>
      <c r="P533" s="3"/>
      <c r="Q533" s="3"/>
      <c r="R533" s="3"/>
    </row>
    <row x14ac:dyDescent="0.25" r="534" customHeight="1" ht="18.75">
      <c r="A534" s="10" t="s">
        <v>601</v>
      </c>
      <c r="B534" s="11">
        <v>45</v>
      </c>
      <c r="C534" s="3"/>
      <c r="D534" s="3"/>
      <c r="E534" s="5"/>
      <c r="F534" s="3"/>
      <c r="G534" s="3"/>
      <c r="H534" s="5"/>
      <c r="I534" s="5"/>
      <c r="J534" s="5"/>
      <c r="K534" s="5"/>
      <c r="L534" s="6"/>
      <c r="M534" s="6"/>
      <c r="N534" s="7"/>
      <c r="O534" s="3"/>
      <c r="P534" s="3"/>
      <c r="Q534" s="3"/>
      <c r="R534" s="3"/>
    </row>
    <row x14ac:dyDescent="0.25" r="535" customHeight="1" ht="18.75">
      <c r="A535" s="10" t="s">
        <v>602</v>
      </c>
      <c r="B535" s="11">
        <v>45</v>
      </c>
      <c r="C535" s="3"/>
      <c r="D535" s="3"/>
      <c r="E535" s="5"/>
      <c r="F535" s="3"/>
      <c r="G535" s="3"/>
      <c r="H535" s="5"/>
      <c r="I535" s="5"/>
      <c r="J535" s="5"/>
      <c r="K535" s="5"/>
      <c r="L535" s="6"/>
      <c r="M535" s="6"/>
      <c r="N535" s="7"/>
      <c r="O535" s="3"/>
      <c r="P535" s="3"/>
      <c r="Q535" s="3"/>
      <c r="R535" s="3"/>
    </row>
    <row x14ac:dyDescent="0.25" r="536" customHeight="1" ht="18.75">
      <c r="A536" s="10" t="s">
        <v>603</v>
      </c>
      <c r="B536" s="11">
        <v>45</v>
      </c>
      <c r="C536" s="3"/>
      <c r="D536" s="3"/>
      <c r="E536" s="5"/>
      <c r="F536" s="3"/>
      <c r="G536" s="3"/>
      <c r="H536" s="5"/>
      <c r="I536" s="5"/>
      <c r="J536" s="5"/>
      <c r="K536" s="5"/>
      <c r="L536" s="6"/>
      <c r="M536" s="6"/>
      <c r="N536" s="7"/>
      <c r="O536" s="3"/>
      <c r="P536" s="3"/>
      <c r="Q536" s="3"/>
      <c r="R536" s="3"/>
    </row>
    <row x14ac:dyDescent="0.25" r="537" customHeight="1" ht="18.75">
      <c r="A537" s="10" t="s">
        <v>604</v>
      </c>
      <c r="B537" s="11">
        <v>45</v>
      </c>
      <c r="C537" s="3"/>
      <c r="D537" s="3"/>
      <c r="E537" s="5"/>
      <c r="F537" s="3"/>
      <c r="G537" s="3"/>
      <c r="H537" s="5"/>
      <c r="I537" s="5"/>
      <c r="J537" s="5"/>
      <c r="K537" s="5"/>
      <c r="L537" s="6"/>
      <c r="M537" s="6"/>
      <c r="N537" s="7"/>
      <c r="O537" s="3"/>
      <c r="P537" s="3"/>
      <c r="Q537" s="3"/>
      <c r="R537" s="3"/>
    </row>
    <row x14ac:dyDescent="0.25" r="538" customHeight="1" ht="18.75">
      <c r="A538" s="10" t="s">
        <v>605</v>
      </c>
      <c r="B538" s="11">
        <v>45</v>
      </c>
      <c r="C538" s="3"/>
      <c r="D538" s="3"/>
      <c r="E538" s="5"/>
      <c r="F538" s="3"/>
      <c r="G538" s="3"/>
      <c r="H538" s="5"/>
      <c r="I538" s="5"/>
      <c r="J538" s="5"/>
      <c r="K538" s="5"/>
      <c r="L538" s="6"/>
      <c r="M538" s="6"/>
      <c r="N538" s="7"/>
      <c r="O538" s="3"/>
      <c r="P538" s="3"/>
      <c r="Q538" s="3"/>
      <c r="R538" s="3"/>
    </row>
    <row x14ac:dyDescent="0.25" r="539" customHeight="1" ht="18.75">
      <c r="A539" s="10" t="s">
        <v>606</v>
      </c>
      <c r="B539" s="11">
        <v>45</v>
      </c>
      <c r="C539" s="3"/>
      <c r="D539" s="3"/>
      <c r="E539" s="5"/>
      <c r="F539" s="3"/>
      <c r="G539" s="3"/>
      <c r="H539" s="5"/>
      <c r="I539" s="5"/>
      <c r="J539" s="5"/>
      <c r="K539" s="5"/>
      <c r="L539" s="6"/>
      <c r="M539" s="6"/>
      <c r="N539" s="7"/>
      <c r="O539" s="3"/>
      <c r="P539" s="3"/>
      <c r="Q539" s="3"/>
      <c r="R539" s="3"/>
    </row>
    <row x14ac:dyDescent="0.25" r="540" customHeight="1" ht="18.75">
      <c r="A540" s="10" t="s">
        <v>607</v>
      </c>
      <c r="B540" s="11">
        <v>45</v>
      </c>
      <c r="C540" s="3"/>
      <c r="D540" s="3"/>
      <c r="E540" s="5"/>
      <c r="F540" s="3"/>
      <c r="G540" s="3"/>
      <c r="H540" s="5"/>
      <c r="I540" s="5"/>
      <c r="J540" s="5"/>
      <c r="K540" s="5"/>
      <c r="L540" s="6"/>
      <c r="M540" s="6"/>
      <c r="N540" s="7"/>
      <c r="O540" s="3"/>
      <c r="P540" s="3"/>
      <c r="Q540" s="3"/>
      <c r="R540" s="3"/>
    </row>
    <row x14ac:dyDescent="0.25" r="541" customHeight="1" ht="18.75">
      <c r="A541" s="10" t="s">
        <v>608</v>
      </c>
      <c r="B541" s="11">
        <v>45</v>
      </c>
      <c r="C541" s="3"/>
      <c r="D541" s="3"/>
      <c r="E541" s="5"/>
      <c r="F541" s="3"/>
      <c r="G541" s="3"/>
      <c r="H541" s="5"/>
      <c r="I541" s="5"/>
      <c r="J541" s="5"/>
      <c r="K541" s="5"/>
      <c r="L541" s="6"/>
      <c r="M541" s="6"/>
      <c r="N541" s="7"/>
      <c r="O541" s="3"/>
      <c r="P541" s="3"/>
      <c r="Q541" s="3"/>
      <c r="R541" s="3"/>
    </row>
    <row x14ac:dyDescent="0.25" r="542" customHeight="1" ht="18.75">
      <c r="A542" s="10" t="s">
        <v>609</v>
      </c>
      <c r="B542" s="11">
        <v>45</v>
      </c>
      <c r="C542" s="3"/>
      <c r="D542" s="3"/>
      <c r="E542" s="5"/>
      <c r="F542" s="3"/>
      <c r="G542" s="3"/>
      <c r="H542" s="5"/>
      <c r="I542" s="5"/>
      <c r="J542" s="5"/>
      <c r="K542" s="5"/>
      <c r="L542" s="6"/>
      <c r="M542" s="6"/>
      <c r="N542" s="7"/>
      <c r="O542" s="3"/>
      <c r="P542" s="3"/>
      <c r="Q542" s="3"/>
      <c r="R542" s="3"/>
    </row>
    <row x14ac:dyDescent="0.25" r="543" customHeight="1" ht="18.75">
      <c r="A543" s="10" t="s">
        <v>610</v>
      </c>
      <c r="B543" s="11">
        <v>45</v>
      </c>
      <c r="C543" s="3"/>
      <c r="D543" s="3"/>
      <c r="E543" s="5"/>
      <c r="F543" s="3"/>
      <c r="G543" s="3"/>
      <c r="H543" s="5"/>
      <c r="I543" s="5"/>
      <c r="J543" s="5"/>
      <c r="K543" s="5"/>
      <c r="L543" s="6"/>
      <c r="M543" s="6"/>
      <c r="N543" s="7"/>
      <c r="O543" s="3"/>
      <c r="P543" s="3"/>
      <c r="Q543" s="3"/>
      <c r="R543" s="3"/>
    </row>
    <row x14ac:dyDescent="0.25" r="544" customHeight="1" ht="18.75">
      <c r="A544" s="10" t="s">
        <v>611</v>
      </c>
      <c r="B544" s="11">
        <v>45</v>
      </c>
      <c r="C544" s="3"/>
      <c r="D544" s="3"/>
      <c r="E544" s="5"/>
      <c r="F544" s="3"/>
      <c r="G544" s="3"/>
      <c r="H544" s="5"/>
      <c r="I544" s="5"/>
      <c r="J544" s="5"/>
      <c r="K544" s="5"/>
      <c r="L544" s="6"/>
      <c r="M544" s="6"/>
      <c r="N544" s="7"/>
      <c r="O544" s="3"/>
      <c r="P544" s="3"/>
      <c r="Q544" s="3"/>
      <c r="R544" s="3"/>
    </row>
    <row x14ac:dyDescent="0.25" r="545" customHeight="1" ht="18.75">
      <c r="A545" s="10" t="s">
        <v>612</v>
      </c>
      <c r="B545" s="11">
        <v>45</v>
      </c>
      <c r="C545" s="3"/>
      <c r="D545" s="3"/>
      <c r="E545" s="5"/>
      <c r="F545" s="3"/>
      <c r="G545" s="3"/>
      <c r="H545" s="5"/>
      <c r="I545" s="5"/>
      <c r="J545" s="5"/>
      <c r="K545" s="5"/>
      <c r="L545" s="6"/>
      <c r="M545" s="6"/>
      <c r="N545" s="7"/>
      <c r="O545" s="3"/>
      <c r="P545" s="3"/>
      <c r="Q545" s="3"/>
      <c r="R545" s="3"/>
    </row>
    <row x14ac:dyDescent="0.25" r="546" customHeight="1" ht="18.75">
      <c r="A546" s="10" t="s">
        <v>613</v>
      </c>
      <c r="B546" s="11">
        <v>45</v>
      </c>
      <c r="C546" s="3"/>
      <c r="D546" s="3"/>
      <c r="E546" s="5"/>
      <c r="F546" s="3"/>
      <c r="G546" s="3"/>
      <c r="H546" s="5"/>
      <c r="I546" s="5"/>
      <c r="J546" s="5"/>
      <c r="K546" s="5"/>
      <c r="L546" s="6"/>
      <c r="M546" s="6"/>
      <c r="N546" s="7"/>
      <c r="O546" s="3"/>
      <c r="P546" s="3"/>
      <c r="Q546" s="3"/>
      <c r="R546" s="3"/>
    </row>
    <row x14ac:dyDescent="0.25" r="547" customHeight="1" ht="18.75">
      <c r="A547" s="10" t="s">
        <v>614</v>
      </c>
      <c r="B547" s="11">
        <v>45</v>
      </c>
      <c r="C547" s="3"/>
      <c r="D547" s="3"/>
      <c r="E547" s="5"/>
      <c r="F547" s="3"/>
      <c r="G547" s="3"/>
      <c r="H547" s="5"/>
      <c r="I547" s="5"/>
      <c r="J547" s="5"/>
      <c r="K547" s="5"/>
      <c r="L547" s="6"/>
      <c r="M547" s="6"/>
      <c r="N547" s="7"/>
      <c r="O547" s="3"/>
      <c r="P547" s="3"/>
      <c r="Q547" s="3"/>
      <c r="R547" s="3"/>
    </row>
    <row x14ac:dyDescent="0.25" r="548" customHeight="1" ht="18.75">
      <c r="A548" s="10" t="s">
        <v>615</v>
      </c>
      <c r="B548" s="11">
        <v>45</v>
      </c>
      <c r="C548" s="3"/>
      <c r="D548" s="3"/>
      <c r="E548" s="5"/>
      <c r="F548" s="3"/>
      <c r="G548" s="3"/>
      <c r="H548" s="5"/>
      <c r="I548" s="5"/>
      <c r="J548" s="5"/>
      <c r="K548" s="5"/>
      <c r="L548" s="6"/>
      <c r="M548" s="6"/>
      <c r="N548" s="7"/>
      <c r="O548" s="3"/>
      <c r="P548" s="3"/>
      <c r="Q548" s="3"/>
      <c r="R548" s="3"/>
    </row>
    <row x14ac:dyDescent="0.25" r="549" customHeight="1" ht="18.75">
      <c r="A549" s="10" t="s">
        <v>616</v>
      </c>
      <c r="B549" s="11">
        <v>45</v>
      </c>
      <c r="C549" s="3"/>
      <c r="D549" s="3"/>
      <c r="E549" s="5"/>
      <c r="F549" s="3"/>
      <c r="G549" s="3"/>
      <c r="H549" s="5"/>
      <c r="I549" s="5"/>
      <c r="J549" s="5"/>
      <c r="K549" s="5"/>
      <c r="L549" s="6"/>
      <c r="M549" s="6"/>
      <c r="N549" s="7"/>
      <c r="O549" s="3"/>
      <c r="P549" s="3"/>
      <c r="Q549" s="3"/>
      <c r="R549" s="3"/>
    </row>
    <row x14ac:dyDescent="0.25" r="550" customHeight="1" ht="18.75">
      <c r="A550" s="10" t="s">
        <v>617</v>
      </c>
      <c r="B550" s="11">
        <v>45</v>
      </c>
      <c r="C550" s="3"/>
      <c r="D550" s="3"/>
      <c r="E550" s="5"/>
      <c r="F550" s="3"/>
      <c r="G550" s="3"/>
      <c r="H550" s="5"/>
      <c r="I550" s="5"/>
      <c r="J550" s="5"/>
      <c r="K550" s="5"/>
      <c r="L550" s="6"/>
      <c r="M550" s="6"/>
      <c r="N550" s="7"/>
      <c r="O550" s="3"/>
      <c r="P550" s="3"/>
      <c r="Q550" s="3"/>
      <c r="R550" s="3"/>
    </row>
    <row x14ac:dyDescent="0.25" r="551" customHeight="1" ht="18.75">
      <c r="A551" s="10" t="s">
        <v>618</v>
      </c>
      <c r="B551" s="11">
        <v>45</v>
      </c>
      <c r="C551" s="3"/>
      <c r="D551" s="3"/>
      <c r="E551" s="5"/>
      <c r="F551" s="3"/>
      <c r="G551" s="3"/>
      <c r="H551" s="5"/>
      <c r="I551" s="5"/>
      <c r="J551" s="5"/>
      <c r="K551" s="5"/>
      <c r="L551" s="6"/>
      <c r="M551" s="6"/>
      <c r="N551" s="7"/>
      <c r="O551" s="3"/>
      <c r="P551" s="3"/>
      <c r="Q551" s="3"/>
      <c r="R551" s="3"/>
    </row>
    <row x14ac:dyDescent="0.25" r="552" customHeight="1" ht="18.75">
      <c r="A552" s="10" t="s">
        <v>619</v>
      </c>
      <c r="B552" s="11">
        <v>45</v>
      </c>
      <c r="C552" s="3"/>
      <c r="D552" s="3"/>
      <c r="E552" s="5"/>
      <c r="F552" s="3"/>
      <c r="G552" s="3"/>
      <c r="H552" s="5"/>
      <c r="I552" s="5"/>
      <c r="J552" s="5"/>
      <c r="K552" s="5"/>
      <c r="L552" s="6"/>
      <c r="M552" s="6"/>
      <c r="N552" s="7"/>
      <c r="O552" s="3"/>
      <c r="P552" s="3"/>
      <c r="Q552" s="3"/>
      <c r="R552" s="3"/>
    </row>
    <row x14ac:dyDescent="0.25" r="553" customHeight="1" ht="18.75">
      <c r="A553" s="10" t="s">
        <v>620</v>
      </c>
      <c r="B553" s="11">
        <v>45</v>
      </c>
      <c r="C553" s="3"/>
      <c r="D553" s="3"/>
      <c r="E553" s="5"/>
      <c r="F553" s="3"/>
      <c r="G553" s="3"/>
      <c r="H553" s="5"/>
      <c r="I553" s="5"/>
      <c r="J553" s="5"/>
      <c r="K553" s="5"/>
      <c r="L553" s="6"/>
      <c r="M553" s="6"/>
      <c r="N553" s="7"/>
      <c r="O553" s="3"/>
      <c r="P553" s="3"/>
      <c r="Q553" s="3"/>
      <c r="R553" s="3"/>
    </row>
    <row x14ac:dyDescent="0.25" r="554" customHeight="1" ht="18.75">
      <c r="A554" s="10" t="s">
        <v>621</v>
      </c>
      <c r="B554" s="11">
        <v>45</v>
      </c>
      <c r="C554" s="3"/>
      <c r="D554" s="3"/>
      <c r="E554" s="5"/>
      <c r="F554" s="3"/>
      <c r="G554" s="3"/>
      <c r="H554" s="5"/>
      <c r="I554" s="5"/>
      <c r="J554" s="5"/>
      <c r="K554" s="5"/>
      <c r="L554" s="6"/>
      <c r="M554" s="6"/>
      <c r="N554" s="7"/>
      <c r="O554" s="3"/>
      <c r="P554" s="3"/>
      <c r="Q554" s="3"/>
      <c r="R554" s="3"/>
    </row>
    <row x14ac:dyDescent="0.25" r="555" customHeight="1" ht="18.75">
      <c r="A555" s="10" t="s">
        <v>622</v>
      </c>
      <c r="B555" s="11">
        <v>45</v>
      </c>
      <c r="C555" s="3"/>
      <c r="D555" s="3"/>
      <c r="E555" s="5"/>
      <c r="F555" s="3"/>
      <c r="G555" s="3"/>
      <c r="H555" s="5"/>
      <c r="I555" s="5"/>
      <c r="J555" s="5"/>
      <c r="K555" s="5"/>
      <c r="L555" s="6"/>
      <c r="M555" s="6"/>
      <c r="N555" s="7"/>
      <c r="O555" s="3"/>
      <c r="P555" s="3"/>
      <c r="Q555" s="3"/>
      <c r="R555" s="3"/>
    </row>
    <row x14ac:dyDescent="0.25" r="556" customHeight="1" ht="18.75">
      <c r="A556" s="10" t="s">
        <v>623</v>
      </c>
      <c r="B556" s="11">
        <v>45</v>
      </c>
      <c r="C556" s="3"/>
      <c r="D556" s="3"/>
      <c r="E556" s="5"/>
      <c r="F556" s="3"/>
      <c r="G556" s="3"/>
      <c r="H556" s="5"/>
      <c r="I556" s="5"/>
      <c r="J556" s="5"/>
      <c r="K556" s="5"/>
      <c r="L556" s="6"/>
      <c r="M556" s="6"/>
      <c r="N556" s="7"/>
      <c r="O556" s="3"/>
      <c r="P556" s="3"/>
      <c r="Q556" s="3"/>
      <c r="R556" s="3"/>
    </row>
    <row x14ac:dyDescent="0.25" r="557" customHeight="1" ht="18.75">
      <c r="A557" s="10" t="s">
        <v>624</v>
      </c>
      <c r="B557" s="11">
        <v>45</v>
      </c>
      <c r="C557" s="3"/>
      <c r="D557" s="3"/>
      <c r="E557" s="5"/>
      <c r="F557" s="3"/>
      <c r="G557" s="3"/>
      <c r="H557" s="5"/>
      <c r="I557" s="5"/>
      <c r="J557" s="5"/>
      <c r="K557" s="5"/>
      <c r="L557" s="6"/>
      <c r="M557" s="6"/>
      <c r="N557" s="7"/>
      <c r="O557" s="3"/>
      <c r="P557" s="3"/>
      <c r="Q557" s="3"/>
      <c r="R557" s="3"/>
    </row>
    <row x14ac:dyDescent="0.25" r="558" customHeight="1" ht="18.75">
      <c r="A558" s="10" t="s">
        <v>625</v>
      </c>
      <c r="B558" s="11">
        <v>45</v>
      </c>
      <c r="C558" s="3"/>
      <c r="D558" s="3"/>
      <c r="E558" s="5"/>
      <c r="F558" s="3"/>
      <c r="G558" s="3"/>
      <c r="H558" s="5"/>
      <c r="I558" s="5"/>
      <c r="J558" s="5"/>
      <c r="K558" s="5"/>
      <c r="L558" s="6"/>
      <c r="M558" s="6"/>
      <c r="N558" s="7"/>
      <c r="O558" s="3"/>
      <c r="P558" s="3"/>
      <c r="Q558" s="3"/>
      <c r="R558" s="3"/>
    </row>
    <row x14ac:dyDescent="0.25" r="559" customHeight="1" ht="18.75">
      <c r="A559" s="10" t="s">
        <v>626</v>
      </c>
      <c r="B559" s="11">
        <v>45</v>
      </c>
      <c r="C559" s="3"/>
      <c r="D559" s="3"/>
      <c r="E559" s="5"/>
      <c r="F559" s="3"/>
      <c r="G559" s="3"/>
      <c r="H559" s="5"/>
      <c r="I559" s="5"/>
      <c r="J559" s="5"/>
      <c r="K559" s="5"/>
      <c r="L559" s="6"/>
      <c r="M559" s="6"/>
      <c r="N559" s="7"/>
      <c r="O559" s="3"/>
      <c r="P559" s="3"/>
      <c r="Q559" s="3"/>
      <c r="R559" s="3"/>
    </row>
    <row x14ac:dyDescent="0.25" r="560" customHeight="1" ht="18.75">
      <c r="A560" s="10" t="s">
        <v>627</v>
      </c>
      <c r="B560" s="11">
        <v>45</v>
      </c>
      <c r="C560" s="3"/>
      <c r="D560" s="3"/>
      <c r="E560" s="5"/>
      <c r="F560" s="3"/>
      <c r="G560" s="3"/>
      <c r="H560" s="5"/>
      <c r="I560" s="5"/>
      <c r="J560" s="5"/>
      <c r="K560" s="5"/>
      <c r="L560" s="6"/>
      <c r="M560" s="6"/>
      <c r="N560" s="7"/>
      <c r="O560" s="3"/>
      <c r="P560" s="3"/>
      <c r="Q560" s="3"/>
      <c r="R560" s="3"/>
    </row>
    <row x14ac:dyDescent="0.25" r="561" customHeight="1" ht="18.75">
      <c r="A561" s="10" t="s">
        <v>628</v>
      </c>
      <c r="B561" s="11">
        <v>45</v>
      </c>
      <c r="C561" s="3"/>
      <c r="D561" s="3"/>
      <c r="E561" s="5"/>
      <c r="F561" s="3"/>
      <c r="G561" s="3"/>
      <c r="H561" s="5"/>
      <c r="I561" s="5"/>
      <c r="J561" s="5"/>
      <c r="K561" s="5"/>
      <c r="L561" s="6"/>
      <c r="M561" s="6"/>
      <c r="N561" s="7"/>
      <c r="O561" s="3"/>
      <c r="P561" s="3"/>
      <c r="Q561" s="3"/>
      <c r="R561" s="3"/>
    </row>
    <row x14ac:dyDescent="0.25" r="562" customHeight="1" ht="18.75">
      <c r="A562" s="10" t="s">
        <v>629</v>
      </c>
      <c r="B562" s="11">
        <v>45</v>
      </c>
      <c r="C562" s="3"/>
      <c r="D562" s="3"/>
      <c r="E562" s="5"/>
      <c r="F562" s="3"/>
      <c r="G562" s="3"/>
      <c r="H562" s="5"/>
      <c r="I562" s="5"/>
      <c r="J562" s="5"/>
      <c r="K562" s="5"/>
      <c r="L562" s="6"/>
      <c r="M562" s="6"/>
      <c r="N562" s="7"/>
      <c r="O562" s="3"/>
      <c r="P562" s="3"/>
      <c r="Q562" s="3"/>
      <c r="R562" s="3"/>
    </row>
    <row x14ac:dyDescent="0.25" r="563" customHeight="1" ht="18.75">
      <c r="A563" s="10" t="s">
        <v>630</v>
      </c>
      <c r="B563" s="11">
        <v>45</v>
      </c>
      <c r="C563" s="3"/>
      <c r="D563" s="3"/>
      <c r="E563" s="5"/>
      <c r="F563" s="3"/>
      <c r="G563" s="3"/>
      <c r="H563" s="5"/>
      <c r="I563" s="5"/>
      <c r="J563" s="5"/>
      <c r="K563" s="5"/>
      <c r="L563" s="6"/>
      <c r="M563" s="6"/>
      <c r="N563" s="7"/>
      <c r="O563" s="3"/>
      <c r="P563" s="3"/>
      <c r="Q563" s="3"/>
      <c r="R563" s="3"/>
    </row>
    <row x14ac:dyDescent="0.25" r="564" customHeight="1" ht="18.75">
      <c r="A564" s="10" t="s">
        <v>631</v>
      </c>
      <c r="B564" s="11">
        <v>46</v>
      </c>
      <c r="C564" s="3"/>
      <c r="D564" s="3"/>
      <c r="E564" s="5"/>
      <c r="F564" s="3"/>
      <c r="G564" s="3"/>
      <c r="H564" s="5"/>
      <c r="I564" s="5"/>
      <c r="J564" s="5"/>
      <c r="K564" s="5"/>
      <c r="L564" s="6"/>
      <c r="M564" s="6"/>
      <c r="N564" s="7"/>
      <c r="O564" s="3"/>
      <c r="P564" s="3"/>
      <c r="Q564" s="3"/>
      <c r="R564" s="3"/>
    </row>
    <row x14ac:dyDescent="0.25" r="565" customHeight="1" ht="18.75">
      <c r="A565" s="10" t="s">
        <v>632</v>
      </c>
      <c r="B565" s="11">
        <v>46</v>
      </c>
      <c r="C565" s="3"/>
      <c r="D565" s="3"/>
      <c r="E565" s="5"/>
      <c r="F565" s="3"/>
      <c r="G565" s="3"/>
      <c r="H565" s="5"/>
      <c r="I565" s="5"/>
      <c r="J565" s="5"/>
      <c r="K565" s="5"/>
      <c r="L565" s="6"/>
      <c r="M565" s="6"/>
      <c r="N565" s="7"/>
      <c r="O565" s="3"/>
      <c r="P565" s="3"/>
      <c r="Q565" s="3"/>
      <c r="R565" s="3"/>
    </row>
    <row x14ac:dyDescent="0.25" r="566" customHeight="1" ht="18.75">
      <c r="A566" s="10" t="s">
        <v>633</v>
      </c>
      <c r="B566" s="11">
        <v>46</v>
      </c>
      <c r="C566" s="3"/>
      <c r="D566" s="3"/>
      <c r="E566" s="5"/>
      <c r="F566" s="3"/>
      <c r="G566" s="3"/>
      <c r="H566" s="5"/>
      <c r="I566" s="5"/>
      <c r="J566" s="5"/>
      <c r="K566" s="5"/>
      <c r="L566" s="6"/>
      <c r="M566" s="6"/>
      <c r="N566" s="7"/>
      <c r="O566" s="3"/>
      <c r="P566" s="3"/>
      <c r="Q566" s="3"/>
      <c r="R566" s="3"/>
    </row>
    <row x14ac:dyDescent="0.25" r="567" customHeight="1" ht="18.75">
      <c r="A567" s="10" t="s">
        <v>634</v>
      </c>
      <c r="B567" s="11">
        <v>46</v>
      </c>
      <c r="C567" s="3"/>
      <c r="D567" s="3"/>
      <c r="E567" s="5"/>
      <c r="F567" s="3"/>
      <c r="G567" s="3"/>
      <c r="H567" s="5"/>
      <c r="I567" s="5"/>
      <c r="J567" s="5"/>
      <c r="K567" s="5"/>
      <c r="L567" s="6"/>
      <c r="M567" s="6"/>
      <c r="N567" s="7"/>
      <c r="O567" s="3"/>
      <c r="P567" s="3"/>
      <c r="Q567" s="3"/>
      <c r="R567" s="3"/>
    </row>
    <row x14ac:dyDescent="0.25" r="568" customHeight="1" ht="18.75">
      <c r="A568" s="10" t="s">
        <v>635</v>
      </c>
      <c r="B568" s="11">
        <v>46</v>
      </c>
      <c r="C568" s="3"/>
      <c r="D568" s="3"/>
      <c r="E568" s="5"/>
      <c r="F568" s="3"/>
      <c r="G568" s="3"/>
      <c r="H568" s="5"/>
      <c r="I568" s="5"/>
      <c r="J568" s="5"/>
      <c r="K568" s="5"/>
      <c r="L568" s="6"/>
      <c r="M568" s="6"/>
      <c r="N568" s="7"/>
      <c r="O568" s="3"/>
      <c r="P568" s="3"/>
      <c r="Q568" s="3"/>
      <c r="R568" s="3"/>
    </row>
    <row x14ac:dyDescent="0.25" r="569" customHeight="1" ht="18.75">
      <c r="A569" s="10" t="s">
        <v>636</v>
      </c>
      <c r="B569" s="11">
        <v>46</v>
      </c>
      <c r="C569" s="3"/>
      <c r="D569" s="3"/>
      <c r="E569" s="5"/>
      <c r="F569" s="3"/>
      <c r="G569" s="3"/>
      <c r="H569" s="5"/>
      <c r="I569" s="5"/>
      <c r="J569" s="5"/>
      <c r="K569" s="5"/>
      <c r="L569" s="6"/>
      <c r="M569" s="6"/>
      <c r="N569" s="7"/>
      <c r="O569" s="3"/>
      <c r="P569" s="3"/>
      <c r="Q569" s="3"/>
      <c r="R569" s="3"/>
    </row>
    <row x14ac:dyDescent="0.25" r="570" customHeight="1" ht="18.75">
      <c r="A570" s="10" t="s">
        <v>637</v>
      </c>
      <c r="B570" s="11">
        <v>46</v>
      </c>
      <c r="C570" s="3"/>
      <c r="D570" s="3"/>
      <c r="E570" s="5"/>
      <c r="F570" s="3"/>
      <c r="G570" s="3"/>
      <c r="H570" s="5"/>
      <c r="I570" s="5"/>
      <c r="J570" s="5"/>
      <c r="K570" s="5"/>
      <c r="L570" s="6"/>
      <c r="M570" s="6"/>
      <c r="N570" s="7"/>
      <c r="O570" s="3"/>
      <c r="P570" s="3"/>
      <c r="Q570" s="3"/>
      <c r="R570" s="3"/>
    </row>
    <row x14ac:dyDescent="0.25" r="571" customHeight="1" ht="18.75">
      <c r="A571" s="10" t="s">
        <v>638</v>
      </c>
      <c r="B571" s="11">
        <v>46</v>
      </c>
      <c r="C571" s="3"/>
      <c r="D571" s="3"/>
      <c r="E571" s="5"/>
      <c r="F571" s="3"/>
      <c r="G571" s="3"/>
      <c r="H571" s="5"/>
      <c r="I571" s="5"/>
      <c r="J571" s="5"/>
      <c r="K571" s="5"/>
      <c r="L571" s="6"/>
      <c r="M571" s="6"/>
      <c r="N571" s="7"/>
      <c r="O571" s="3"/>
      <c r="P571" s="3"/>
      <c r="Q571" s="3"/>
      <c r="R571" s="3"/>
    </row>
    <row x14ac:dyDescent="0.25" r="572" customHeight="1" ht="18.75">
      <c r="A572" s="10" t="s">
        <v>639</v>
      </c>
      <c r="B572" s="11">
        <v>46</v>
      </c>
      <c r="C572" s="3"/>
      <c r="D572" s="3"/>
      <c r="E572" s="5"/>
      <c r="F572" s="3"/>
      <c r="G572" s="3"/>
      <c r="H572" s="5"/>
      <c r="I572" s="5"/>
      <c r="J572" s="5"/>
      <c r="K572" s="5"/>
      <c r="L572" s="6"/>
      <c r="M572" s="6"/>
      <c r="N572" s="7"/>
      <c r="O572" s="3"/>
      <c r="P572" s="3"/>
      <c r="Q572" s="3"/>
      <c r="R572" s="3"/>
    </row>
    <row x14ac:dyDescent="0.25" r="573" customHeight="1" ht="18.75">
      <c r="A573" s="10" t="s">
        <v>640</v>
      </c>
      <c r="B573" s="11">
        <v>46</v>
      </c>
      <c r="C573" s="3"/>
      <c r="D573" s="3"/>
      <c r="E573" s="5"/>
      <c r="F573" s="3"/>
      <c r="G573" s="3"/>
      <c r="H573" s="5"/>
      <c r="I573" s="5"/>
      <c r="J573" s="5"/>
      <c r="K573" s="5"/>
      <c r="L573" s="6"/>
      <c r="M573" s="6"/>
      <c r="N573" s="7"/>
      <c r="O573" s="3"/>
      <c r="P573" s="3"/>
      <c r="Q573" s="3"/>
      <c r="R573" s="3"/>
    </row>
    <row x14ac:dyDescent="0.25" r="574" customHeight="1" ht="18.75">
      <c r="A574" s="10" t="s">
        <v>641</v>
      </c>
      <c r="B574" s="11">
        <v>46</v>
      </c>
      <c r="C574" s="3"/>
      <c r="D574" s="3"/>
      <c r="E574" s="5"/>
      <c r="F574" s="3"/>
      <c r="G574" s="3"/>
      <c r="H574" s="5"/>
      <c r="I574" s="5"/>
      <c r="J574" s="5"/>
      <c r="K574" s="5"/>
      <c r="L574" s="6"/>
      <c r="M574" s="6"/>
      <c r="N574" s="7"/>
      <c r="O574" s="3"/>
      <c r="P574" s="3"/>
      <c r="Q574" s="3"/>
      <c r="R574" s="3"/>
    </row>
    <row x14ac:dyDescent="0.25" r="575" customHeight="1" ht="18.75">
      <c r="A575" s="10" t="s">
        <v>642</v>
      </c>
      <c r="B575" s="11">
        <v>46</v>
      </c>
      <c r="C575" s="3"/>
      <c r="D575" s="3"/>
      <c r="E575" s="5"/>
      <c r="F575" s="3"/>
      <c r="G575" s="3"/>
      <c r="H575" s="5"/>
      <c r="I575" s="5"/>
      <c r="J575" s="5"/>
      <c r="K575" s="5"/>
      <c r="L575" s="6"/>
      <c r="M575" s="6"/>
      <c r="N575" s="7"/>
      <c r="O575" s="3"/>
      <c r="P575" s="3"/>
      <c r="Q575" s="3"/>
      <c r="R575" s="3"/>
    </row>
    <row x14ac:dyDescent="0.25" r="576" customHeight="1" ht="18.75">
      <c r="A576" s="10" t="s">
        <v>643</v>
      </c>
      <c r="B576" s="11">
        <v>46</v>
      </c>
      <c r="C576" s="3"/>
      <c r="D576" s="3"/>
      <c r="E576" s="5"/>
      <c r="F576" s="3"/>
      <c r="G576" s="3"/>
      <c r="H576" s="5"/>
      <c r="I576" s="5"/>
      <c r="J576" s="5"/>
      <c r="K576" s="5"/>
      <c r="L576" s="6"/>
      <c r="M576" s="6"/>
      <c r="N576" s="7"/>
      <c r="O576" s="3"/>
      <c r="P576" s="3"/>
      <c r="Q576" s="3"/>
      <c r="R576" s="3"/>
    </row>
    <row x14ac:dyDescent="0.25" r="577" customHeight="1" ht="18.75">
      <c r="A577" s="10" t="s">
        <v>644</v>
      </c>
      <c r="B577" s="11">
        <v>46</v>
      </c>
      <c r="C577" s="3"/>
      <c r="D577" s="3"/>
      <c r="E577" s="5"/>
      <c r="F577" s="3"/>
      <c r="G577" s="3"/>
      <c r="H577" s="5"/>
      <c r="I577" s="5"/>
      <c r="J577" s="5"/>
      <c r="K577" s="5"/>
      <c r="L577" s="6"/>
      <c r="M577" s="6"/>
      <c r="N577" s="7"/>
      <c r="O577" s="3"/>
      <c r="P577" s="3"/>
      <c r="Q577" s="3"/>
      <c r="R577" s="3"/>
    </row>
    <row x14ac:dyDescent="0.25" r="578" customHeight="1" ht="18.75">
      <c r="A578" s="10" t="s">
        <v>645</v>
      </c>
      <c r="B578" s="11">
        <v>46</v>
      </c>
      <c r="C578" s="3"/>
      <c r="D578" s="3"/>
      <c r="E578" s="5"/>
      <c r="F578" s="3"/>
      <c r="G578" s="3"/>
      <c r="H578" s="5"/>
      <c r="I578" s="5"/>
      <c r="J578" s="5"/>
      <c r="K578" s="5"/>
      <c r="L578" s="6"/>
      <c r="M578" s="6"/>
      <c r="N578" s="7"/>
      <c r="O578" s="3"/>
      <c r="P578" s="3"/>
      <c r="Q578" s="3"/>
      <c r="R578" s="3"/>
    </row>
    <row x14ac:dyDescent="0.25" r="579" customHeight="1" ht="18.75">
      <c r="A579" s="10" t="s">
        <v>646</v>
      </c>
      <c r="B579" s="11">
        <v>46</v>
      </c>
      <c r="C579" s="3"/>
      <c r="D579" s="3"/>
      <c r="E579" s="5"/>
      <c r="F579" s="3"/>
      <c r="G579" s="3"/>
      <c r="H579" s="5"/>
      <c r="I579" s="5"/>
      <c r="J579" s="5"/>
      <c r="K579" s="5"/>
      <c r="L579" s="6"/>
      <c r="M579" s="6"/>
      <c r="N579" s="7"/>
      <c r="O579" s="3"/>
      <c r="P579" s="3"/>
      <c r="Q579" s="3"/>
      <c r="R579" s="3"/>
    </row>
    <row x14ac:dyDescent="0.25" r="580" customHeight="1" ht="18.75">
      <c r="A580" s="10" t="s">
        <v>647</v>
      </c>
      <c r="B580" s="11">
        <v>46</v>
      </c>
      <c r="C580" s="3"/>
      <c r="D580" s="3"/>
      <c r="E580" s="5"/>
      <c r="F580" s="3"/>
      <c r="G580" s="3"/>
      <c r="H580" s="5"/>
      <c r="I580" s="5"/>
      <c r="J580" s="5"/>
      <c r="K580" s="5"/>
      <c r="L580" s="6"/>
      <c r="M580" s="6"/>
      <c r="N580" s="7"/>
      <c r="O580" s="3"/>
      <c r="P580" s="3"/>
      <c r="Q580" s="3"/>
      <c r="R580" s="3"/>
    </row>
    <row x14ac:dyDescent="0.25" r="581" customHeight="1" ht="18.75">
      <c r="A581" s="10" t="s">
        <v>648</v>
      </c>
      <c r="B581" s="11">
        <v>46</v>
      </c>
      <c r="C581" s="3"/>
      <c r="D581" s="3"/>
      <c r="E581" s="5"/>
      <c r="F581" s="3"/>
      <c r="G581" s="3"/>
      <c r="H581" s="5"/>
      <c r="I581" s="5"/>
      <c r="J581" s="5"/>
      <c r="K581" s="5"/>
      <c r="L581" s="6"/>
      <c r="M581" s="6"/>
      <c r="N581" s="7"/>
      <c r="O581" s="3"/>
      <c r="P581" s="3"/>
      <c r="Q581" s="3"/>
      <c r="R581" s="3"/>
    </row>
    <row x14ac:dyDescent="0.25" r="582" customHeight="1" ht="18.75">
      <c r="A582" s="10" t="s">
        <v>649</v>
      </c>
      <c r="B582" s="11">
        <v>46</v>
      </c>
      <c r="C582" s="3"/>
      <c r="D582" s="3"/>
      <c r="E582" s="5"/>
      <c r="F582" s="3"/>
      <c r="G582" s="3"/>
      <c r="H582" s="5"/>
      <c r="I582" s="5"/>
      <c r="J582" s="5"/>
      <c r="K582" s="5"/>
      <c r="L582" s="6"/>
      <c r="M582" s="6"/>
      <c r="N582" s="7"/>
      <c r="O582" s="3"/>
      <c r="P582" s="3"/>
      <c r="Q582" s="3"/>
      <c r="R582" s="3"/>
    </row>
    <row x14ac:dyDescent="0.25" r="583" customHeight="1" ht="18.75">
      <c r="A583" s="10" t="s">
        <v>650</v>
      </c>
      <c r="B583" s="11">
        <v>46</v>
      </c>
      <c r="C583" s="3"/>
      <c r="D583" s="3"/>
      <c r="E583" s="5"/>
      <c r="F583" s="3"/>
      <c r="G583" s="3"/>
      <c r="H583" s="5"/>
      <c r="I583" s="5"/>
      <c r="J583" s="5"/>
      <c r="K583" s="5"/>
      <c r="L583" s="6"/>
      <c r="M583" s="6"/>
      <c r="N583" s="7"/>
      <c r="O583" s="3"/>
      <c r="P583" s="3"/>
      <c r="Q583" s="3"/>
      <c r="R583" s="3"/>
    </row>
    <row x14ac:dyDescent="0.25" r="584" customHeight="1" ht="18.75">
      <c r="A584" s="10" t="s">
        <v>651</v>
      </c>
      <c r="B584" s="11">
        <v>46</v>
      </c>
      <c r="C584" s="3"/>
      <c r="D584" s="3"/>
      <c r="E584" s="5"/>
      <c r="F584" s="3"/>
      <c r="G584" s="3"/>
      <c r="H584" s="5"/>
      <c r="I584" s="5"/>
      <c r="J584" s="5"/>
      <c r="K584" s="5"/>
      <c r="L584" s="6"/>
      <c r="M584" s="6"/>
      <c r="N584" s="7"/>
      <c r="O584" s="3"/>
      <c r="P584" s="3"/>
      <c r="Q584" s="3"/>
      <c r="R584" s="3"/>
    </row>
    <row x14ac:dyDescent="0.25" r="585" customHeight="1" ht="18.75">
      <c r="A585" s="10" t="s">
        <v>652</v>
      </c>
      <c r="B585" s="11">
        <v>46</v>
      </c>
      <c r="C585" s="3"/>
      <c r="D585" s="3"/>
      <c r="E585" s="5"/>
      <c r="F585" s="3"/>
      <c r="G585" s="3"/>
      <c r="H585" s="5"/>
      <c r="I585" s="5"/>
      <c r="J585" s="5"/>
      <c r="K585" s="5"/>
      <c r="L585" s="6"/>
      <c r="M585" s="6"/>
      <c r="N585" s="7"/>
      <c r="O585" s="3"/>
      <c r="P585" s="3"/>
      <c r="Q585" s="3"/>
      <c r="R585" s="3"/>
    </row>
    <row x14ac:dyDescent="0.25" r="586" customHeight="1" ht="18.75">
      <c r="A586" s="10" t="s">
        <v>653</v>
      </c>
      <c r="B586" s="11">
        <v>46</v>
      </c>
      <c r="C586" s="3"/>
      <c r="D586" s="3"/>
      <c r="E586" s="5"/>
      <c r="F586" s="3"/>
      <c r="G586" s="3"/>
      <c r="H586" s="5"/>
      <c r="I586" s="5"/>
      <c r="J586" s="5"/>
      <c r="K586" s="5"/>
      <c r="L586" s="6"/>
      <c r="M586" s="6"/>
      <c r="N586" s="7"/>
      <c r="O586" s="3"/>
      <c r="P586" s="3"/>
      <c r="Q586" s="3"/>
      <c r="R586" s="3"/>
    </row>
    <row x14ac:dyDescent="0.25" r="587" customHeight="1" ht="18.75">
      <c r="A587" s="10" t="s">
        <v>654</v>
      </c>
      <c r="B587" s="11">
        <v>46</v>
      </c>
      <c r="C587" s="3"/>
      <c r="D587" s="3"/>
      <c r="E587" s="5"/>
      <c r="F587" s="3"/>
      <c r="G587" s="3"/>
      <c r="H587" s="5"/>
      <c r="I587" s="5"/>
      <c r="J587" s="5"/>
      <c r="K587" s="5"/>
      <c r="L587" s="6"/>
      <c r="M587" s="6"/>
      <c r="N587" s="7"/>
      <c r="O587" s="3"/>
      <c r="P587" s="3"/>
      <c r="Q587" s="3"/>
      <c r="R587" s="3"/>
    </row>
    <row x14ac:dyDescent="0.25" r="588" customHeight="1" ht="18.75">
      <c r="A588" s="10" t="s">
        <v>655</v>
      </c>
      <c r="B588" s="11">
        <v>46</v>
      </c>
      <c r="C588" s="3"/>
      <c r="D588" s="3"/>
      <c r="E588" s="5"/>
      <c r="F588" s="3"/>
      <c r="G588" s="3"/>
      <c r="H588" s="5"/>
      <c r="I588" s="5"/>
      <c r="J588" s="5"/>
      <c r="K588" s="5"/>
      <c r="L588" s="6"/>
      <c r="M588" s="6"/>
      <c r="N588" s="7"/>
      <c r="O588" s="3"/>
      <c r="P588" s="3"/>
      <c r="Q588" s="3"/>
      <c r="R588" s="3"/>
    </row>
    <row x14ac:dyDescent="0.25" r="589" customHeight="1" ht="18.75">
      <c r="A589" s="10" t="s">
        <v>656</v>
      </c>
      <c r="B589" s="11">
        <v>46</v>
      </c>
      <c r="C589" s="3"/>
      <c r="D589" s="3"/>
      <c r="E589" s="5"/>
      <c r="F589" s="3"/>
      <c r="G589" s="3"/>
      <c r="H589" s="5"/>
      <c r="I589" s="5"/>
      <c r="J589" s="5"/>
      <c r="K589" s="5"/>
      <c r="L589" s="6"/>
      <c r="M589" s="6"/>
      <c r="N589" s="7"/>
      <c r="O589" s="3"/>
      <c r="P589" s="3"/>
      <c r="Q589" s="3"/>
      <c r="R589" s="3"/>
    </row>
    <row x14ac:dyDescent="0.25" r="590" customHeight="1" ht="18.75">
      <c r="A590" s="10" t="s">
        <v>657</v>
      </c>
      <c r="B590" s="11">
        <v>46</v>
      </c>
      <c r="C590" s="3"/>
      <c r="D590" s="3"/>
      <c r="E590" s="5"/>
      <c r="F590" s="3"/>
      <c r="G590" s="3"/>
      <c r="H590" s="5"/>
      <c r="I590" s="5"/>
      <c r="J590" s="5"/>
      <c r="K590" s="5"/>
      <c r="L590" s="6"/>
      <c r="M590" s="6"/>
      <c r="N590" s="7"/>
      <c r="O590" s="3"/>
      <c r="P590" s="3"/>
      <c r="Q590" s="3"/>
      <c r="R590" s="3"/>
    </row>
    <row x14ac:dyDescent="0.25" r="591" customHeight="1" ht="18.75">
      <c r="A591" s="10" t="s">
        <v>658</v>
      </c>
      <c r="B591" s="11">
        <v>46</v>
      </c>
      <c r="C591" s="3"/>
      <c r="D591" s="3"/>
      <c r="E591" s="5"/>
      <c r="F591" s="3"/>
      <c r="G591" s="3"/>
      <c r="H591" s="5"/>
      <c r="I591" s="5"/>
      <c r="J591" s="5"/>
      <c r="K591" s="5"/>
      <c r="L591" s="6"/>
      <c r="M591" s="6"/>
      <c r="N591" s="7"/>
      <c r="O591" s="3"/>
      <c r="P591" s="3"/>
      <c r="Q591" s="3"/>
      <c r="R591" s="3"/>
    </row>
    <row x14ac:dyDescent="0.25" r="592" customHeight="1" ht="18.75">
      <c r="A592" s="10" t="s">
        <v>659</v>
      </c>
      <c r="B592" s="11">
        <v>46</v>
      </c>
      <c r="C592" s="3"/>
      <c r="D592" s="3"/>
      <c r="E592" s="5"/>
      <c r="F592" s="3"/>
      <c r="G592" s="3"/>
      <c r="H592" s="5"/>
      <c r="I592" s="5"/>
      <c r="J592" s="5"/>
      <c r="K592" s="5"/>
      <c r="L592" s="6"/>
      <c r="M592" s="6"/>
      <c r="N592" s="7"/>
      <c r="O592" s="3"/>
      <c r="P592" s="3"/>
      <c r="Q592" s="3"/>
      <c r="R592" s="3"/>
    </row>
    <row x14ac:dyDescent="0.25" r="593" customHeight="1" ht="18.75">
      <c r="A593" s="10" t="s">
        <v>660</v>
      </c>
      <c r="B593" s="11">
        <v>47</v>
      </c>
      <c r="C593" s="3"/>
      <c r="D593" s="3"/>
      <c r="E593" s="5"/>
      <c r="F593" s="3"/>
      <c r="G593" s="3"/>
      <c r="H593" s="5"/>
      <c r="I593" s="5"/>
      <c r="J593" s="5"/>
      <c r="K593" s="5"/>
      <c r="L593" s="6"/>
      <c r="M593" s="6"/>
      <c r="N593" s="7"/>
      <c r="O593" s="3"/>
      <c r="P593" s="3"/>
      <c r="Q593" s="3"/>
      <c r="R593" s="3"/>
    </row>
    <row x14ac:dyDescent="0.25" r="594" customHeight="1" ht="18.75">
      <c r="A594" s="10" t="s">
        <v>661</v>
      </c>
      <c r="B594" s="11">
        <v>47</v>
      </c>
      <c r="C594" s="3"/>
      <c r="D594" s="3"/>
      <c r="E594" s="5"/>
      <c r="F594" s="3"/>
      <c r="G594" s="3"/>
      <c r="H594" s="5"/>
      <c r="I594" s="5"/>
      <c r="J594" s="5"/>
      <c r="K594" s="5"/>
      <c r="L594" s="6"/>
      <c r="M594" s="6"/>
      <c r="N594" s="7"/>
      <c r="O594" s="3"/>
      <c r="P594" s="3"/>
      <c r="Q594" s="3"/>
      <c r="R594" s="3"/>
    </row>
    <row x14ac:dyDescent="0.25" r="595" customHeight="1" ht="18.75">
      <c r="A595" s="10" t="s">
        <v>662</v>
      </c>
      <c r="B595" s="11">
        <v>47</v>
      </c>
      <c r="C595" s="3"/>
      <c r="D595" s="3"/>
      <c r="E595" s="5"/>
      <c r="F595" s="3"/>
      <c r="G595" s="3"/>
      <c r="H595" s="5"/>
      <c r="I595" s="5"/>
      <c r="J595" s="5"/>
      <c r="K595" s="5"/>
      <c r="L595" s="6"/>
      <c r="M595" s="6"/>
      <c r="N595" s="7"/>
      <c r="O595" s="3"/>
      <c r="P595" s="3"/>
      <c r="Q595" s="3"/>
      <c r="R595" s="3"/>
    </row>
    <row x14ac:dyDescent="0.25" r="596" customHeight="1" ht="18.75">
      <c r="A596" s="10" t="s">
        <v>663</v>
      </c>
      <c r="B596" s="11">
        <v>47</v>
      </c>
      <c r="C596" s="3"/>
      <c r="D596" s="3"/>
      <c r="E596" s="5"/>
      <c r="F596" s="3"/>
      <c r="G596" s="3"/>
      <c r="H596" s="5"/>
      <c r="I596" s="5"/>
      <c r="J596" s="5"/>
      <c r="K596" s="5"/>
      <c r="L596" s="6"/>
      <c r="M596" s="6"/>
      <c r="N596" s="7"/>
      <c r="O596" s="3"/>
      <c r="P596" s="3"/>
      <c r="Q596" s="3"/>
      <c r="R596" s="3"/>
    </row>
    <row x14ac:dyDescent="0.25" r="597" customHeight="1" ht="18.75">
      <c r="A597" s="10" t="s">
        <v>664</v>
      </c>
      <c r="B597" s="11">
        <v>47</v>
      </c>
      <c r="C597" s="3"/>
      <c r="D597" s="3"/>
      <c r="E597" s="5"/>
      <c r="F597" s="3"/>
      <c r="G597" s="3"/>
      <c r="H597" s="5"/>
      <c r="I597" s="5"/>
      <c r="J597" s="5"/>
      <c r="K597" s="5"/>
      <c r="L597" s="6"/>
      <c r="M597" s="6"/>
      <c r="N597" s="7"/>
      <c r="O597" s="3"/>
      <c r="P597" s="3"/>
      <c r="Q597" s="3"/>
      <c r="R597" s="3"/>
    </row>
    <row x14ac:dyDescent="0.25" r="598" customHeight="1" ht="18.75">
      <c r="A598" s="10" t="s">
        <v>665</v>
      </c>
      <c r="B598" s="11">
        <v>47</v>
      </c>
      <c r="C598" s="3"/>
      <c r="D598" s="3"/>
      <c r="E598" s="5"/>
      <c r="F598" s="3"/>
      <c r="G598" s="3"/>
      <c r="H598" s="5"/>
      <c r="I598" s="5"/>
      <c r="J598" s="5"/>
      <c r="K598" s="5"/>
      <c r="L598" s="6"/>
      <c r="M598" s="6"/>
      <c r="N598" s="7"/>
      <c r="O598" s="3"/>
      <c r="P598" s="3"/>
      <c r="Q598" s="3"/>
      <c r="R598" s="3"/>
    </row>
    <row x14ac:dyDescent="0.25" r="599" customHeight="1" ht="18.75">
      <c r="A599" s="10" t="s">
        <v>666</v>
      </c>
      <c r="B599" s="11">
        <v>47</v>
      </c>
      <c r="C599" s="3"/>
      <c r="D599" s="3"/>
      <c r="E599" s="5"/>
      <c r="F599" s="3"/>
      <c r="G599" s="3"/>
      <c r="H599" s="5"/>
      <c r="I599" s="5"/>
      <c r="J599" s="5"/>
      <c r="K599" s="5"/>
      <c r="L599" s="6"/>
      <c r="M599" s="6"/>
      <c r="N599" s="7"/>
      <c r="O599" s="3"/>
      <c r="P599" s="3"/>
      <c r="Q599" s="3"/>
      <c r="R599" s="3"/>
    </row>
    <row x14ac:dyDescent="0.25" r="600" customHeight="1" ht="18.75">
      <c r="A600" s="10" t="s">
        <v>667</v>
      </c>
      <c r="B600" s="11">
        <v>47</v>
      </c>
      <c r="C600" s="3"/>
      <c r="D600" s="3"/>
      <c r="E600" s="5"/>
      <c r="F600" s="3"/>
      <c r="G600" s="3"/>
      <c r="H600" s="5"/>
      <c r="I600" s="5"/>
      <c r="J600" s="5"/>
      <c r="K600" s="5"/>
      <c r="L600" s="6"/>
      <c r="M600" s="6"/>
      <c r="N600" s="7"/>
      <c r="O600" s="3"/>
      <c r="P600" s="3"/>
      <c r="Q600" s="3"/>
      <c r="R600" s="3"/>
    </row>
    <row x14ac:dyDescent="0.25" r="601" customHeight="1" ht="18.75">
      <c r="A601" s="10" t="s">
        <v>668</v>
      </c>
      <c r="B601" s="11">
        <v>47</v>
      </c>
      <c r="C601" s="3"/>
      <c r="D601" s="3"/>
      <c r="E601" s="5"/>
      <c r="F601" s="3"/>
      <c r="G601" s="3"/>
      <c r="H601" s="5"/>
      <c r="I601" s="5"/>
      <c r="J601" s="5"/>
      <c r="K601" s="5"/>
      <c r="L601" s="6"/>
      <c r="M601" s="6"/>
      <c r="N601" s="7"/>
      <c r="O601" s="3"/>
      <c r="P601" s="3"/>
      <c r="Q601" s="3"/>
      <c r="R601" s="3"/>
    </row>
    <row x14ac:dyDescent="0.25" r="602" customHeight="1" ht="18.75">
      <c r="A602" s="10" t="s">
        <v>669</v>
      </c>
      <c r="B602" s="11">
        <v>47</v>
      </c>
      <c r="C602" s="3"/>
      <c r="D602" s="3"/>
      <c r="E602" s="5"/>
      <c r="F602" s="3"/>
      <c r="G602" s="3"/>
      <c r="H602" s="5"/>
      <c r="I602" s="5"/>
      <c r="J602" s="5"/>
      <c r="K602" s="5"/>
      <c r="L602" s="6"/>
      <c r="M602" s="6"/>
      <c r="N602" s="7"/>
      <c r="O602" s="3"/>
      <c r="P602" s="3"/>
      <c r="Q602" s="3"/>
      <c r="R602" s="3"/>
    </row>
    <row x14ac:dyDescent="0.25" r="603" customHeight="1" ht="18.75">
      <c r="A603" s="10" t="s">
        <v>670</v>
      </c>
      <c r="B603" s="11">
        <v>47</v>
      </c>
      <c r="C603" s="3"/>
      <c r="D603" s="3"/>
      <c r="E603" s="5"/>
      <c r="F603" s="3"/>
      <c r="G603" s="3"/>
      <c r="H603" s="5"/>
      <c r="I603" s="5"/>
      <c r="J603" s="5"/>
      <c r="K603" s="5"/>
      <c r="L603" s="6"/>
      <c r="M603" s="6"/>
      <c r="N603" s="7"/>
      <c r="O603" s="3"/>
      <c r="P603" s="3"/>
      <c r="Q603" s="3"/>
      <c r="R603" s="3"/>
    </row>
    <row x14ac:dyDescent="0.25" r="604" customHeight="1" ht="18.75">
      <c r="A604" s="10" t="s">
        <v>671</v>
      </c>
      <c r="B604" s="11">
        <v>47</v>
      </c>
      <c r="C604" s="3"/>
      <c r="D604" s="3"/>
      <c r="E604" s="5"/>
      <c r="F604" s="3"/>
      <c r="G604" s="3"/>
      <c r="H604" s="5"/>
      <c r="I604" s="5"/>
      <c r="J604" s="5"/>
      <c r="K604" s="5"/>
      <c r="L604" s="6"/>
      <c r="M604" s="6"/>
      <c r="N604" s="7"/>
      <c r="O604" s="3"/>
      <c r="P604" s="3"/>
      <c r="Q604" s="3"/>
      <c r="R604" s="3"/>
    </row>
    <row x14ac:dyDescent="0.25" r="605" customHeight="1" ht="18.75">
      <c r="A605" s="10" t="s">
        <v>672</v>
      </c>
      <c r="B605" s="11">
        <v>47</v>
      </c>
      <c r="C605" s="3"/>
      <c r="D605" s="3"/>
      <c r="E605" s="5"/>
      <c r="F605" s="3"/>
      <c r="G605" s="3"/>
      <c r="H605" s="5"/>
      <c r="I605" s="5"/>
      <c r="J605" s="5"/>
      <c r="K605" s="5"/>
      <c r="L605" s="6"/>
      <c r="M605" s="6"/>
      <c r="N605" s="7"/>
      <c r="O605" s="3"/>
      <c r="P605" s="3"/>
      <c r="Q605" s="3"/>
      <c r="R605" s="3"/>
    </row>
    <row x14ac:dyDescent="0.25" r="606" customHeight="1" ht="18.75">
      <c r="A606" s="10" t="s">
        <v>673</v>
      </c>
      <c r="B606" s="11">
        <v>47</v>
      </c>
      <c r="C606" s="3"/>
      <c r="D606" s="3"/>
      <c r="E606" s="5"/>
      <c r="F606" s="3"/>
      <c r="G606" s="3"/>
      <c r="H606" s="5"/>
      <c r="I606" s="5"/>
      <c r="J606" s="5"/>
      <c r="K606" s="5"/>
      <c r="L606" s="6"/>
      <c r="M606" s="6"/>
      <c r="N606" s="7"/>
      <c r="O606" s="3"/>
      <c r="P606" s="3"/>
      <c r="Q606" s="3"/>
      <c r="R606" s="3"/>
    </row>
    <row x14ac:dyDescent="0.25" r="607" customHeight="1" ht="18.75">
      <c r="A607" s="10" t="s">
        <v>674</v>
      </c>
      <c r="B607" s="11">
        <v>47</v>
      </c>
      <c r="C607" s="3"/>
      <c r="D607" s="3"/>
      <c r="E607" s="5"/>
      <c r="F607" s="3"/>
      <c r="G607" s="3"/>
      <c r="H607" s="5"/>
      <c r="I607" s="5"/>
      <c r="J607" s="5"/>
      <c r="K607" s="5"/>
      <c r="L607" s="6"/>
      <c r="M607" s="6"/>
      <c r="N607" s="7"/>
      <c r="O607" s="3"/>
      <c r="P607" s="3"/>
      <c r="Q607" s="3"/>
      <c r="R607" s="3"/>
    </row>
    <row x14ac:dyDescent="0.25" r="608" customHeight="1" ht="18.75">
      <c r="A608" s="10" t="s">
        <v>675</v>
      </c>
      <c r="B608" s="11">
        <v>47</v>
      </c>
      <c r="C608" s="3"/>
      <c r="D608" s="3"/>
      <c r="E608" s="5"/>
      <c r="F608" s="3"/>
      <c r="G608" s="3"/>
      <c r="H608" s="5"/>
      <c r="I608" s="5"/>
      <c r="J608" s="5"/>
      <c r="K608" s="5"/>
      <c r="L608" s="6"/>
      <c r="M608" s="6"/>
      <c r="N608" s="7"/>
      <c r="O608" s="3"/>
      <c r="P608" s="3"/>
      <c r="Q608" s="3"/>
      <c r="R608" s="3"/>
    </row>
    <row x14ac:dyDescent="0.25" r="609" customHeight="1" ht="18.75">
      <c r="A609" s="10" t="s">
        <v>676</v>
      </c>
      <c r="B609" s="11">
        <v>47</v>
      </c>
      <c r="C609" s="3"/>
      <c r="D609" s="3"/>
      <c r="E609" s="5"/>
      <c r="F609" s="3"/>
      <c r="G609" s="3"/>
      <c r="H609" s="5"/>
      <c r="I609" s="5"/>
      <c r="J609" s="5"/>
      <c r="K609" s="5"/>
      <c r="L609" s="6"/>
      <c r="M609" s="6"/>
      <c r="N609" s="7"/>
      <c r="O609" s="3"/>
      <c r="P609" s="3"/>
      <c r="Q609" s="3"/>
      <c r="R609" s="3"/>
    </row>
    <row x14ac:dyDescent="0.25" r="610" customHeight="1" ht="18.75">
      <c r="A610" s="10" t="s">
        <v>677</v>
      </c>
      <c r="B610" s="11">
        <v>47</v>
      </c>
      <c r="C610" s="3"/>
      <c r="D610" s="3"/>
      <c r="E610" s="5"/>
      <c r="F610" s="3"/>
      <c r="G610" s="3"/>
      <c r="H610" s="5"/>
      <c r="I610" s="5"/>
      <c r="J610" s="5"/>
      <c r="K610" s="5"/>
      <c r="L610" s="6"/>
      <c r="M610" s="6"/>
      <c r="N610" s="7"/>
      <c r="O610" s="3"/>
      <c r="P610" s="3"/>
      <c r="Q610" s="3"/>
      <c r="R610" s="3"/>
    </row>
    <row x14ac:dyDescent="0.25" r="611" customHeight="1" ht="18.75">
      <c r="A611" s="10" t="s">
        <v>678</v>
      </c>
      <c r="B611" s="11">
        <v>47</v>
      </c>
      <c r="C611" s="3"/>
      <c r="D611" s="3"/>
      <c r="E611" s="5"/>
      <c r="F611" s="3"/>
      <c r="G611" s="3"/>
      <c r="H611" s="5"/>
      <c r="I611" s="5"/>
      <c r="J611" s="5"/>
      <c r="K611" s="5"/>
      <c r="L611" s="6"/>
      <c r="M611" s="6"/>
      <c r="N611" s="7"/>
      <c r="O611" s="3"/>
      <c r="P611" s="3"/>
      <c r="Q611" s="3"/>
      <c r="R611" s="3"/>
    </row>
    <row x14ac:dyDescent="0.25" r="612" customHeight="1" ht="18.75">
      <c r="A612" s="10" t="s">
        <v>679</v>
      </c>
      <c r="B612" s="11">
        <v>47</v>
      </c>
      <c r="C612" s="3"/>
      <c r="D612" s="3"/>
      <c r="E612" s="5"/>
      <c r="F612" s="3"/>
      <c r="G612" s="3"/>
      <c r="H612" s="5"/>
      <c r="I612" s="5"/>
      <c r="J612" s="5"/>
      <c r="K612" s="5"/>
      <c r="L612" s="6"/>
      <c r="M612" s="6"/>
      <c r="N612" s="7"/>
      <c r="O612" s="3"/>
      <c r="P612" s="3"/>
      <c r="Q612" s="3"/>
      <c r="R612" s="3"/>
    </row>
    <row x14ac:dyDescent="0.25" r="613" customHeight="1" ht="18.75">
      <c r="A613" s="10" t="s">
        <v>680</v>
      </c>
      <c r="B613" s="11">
        <v>47</v>
      </c>
      <c r="C613" s="3"/>
      <c r="D613" s="3"/>
      <c r="E613" s="5"/>
      <c r="F613" s="3"/>
      <c r="G613" s="3"/>
      <c r="H613" s="5"/>
      <c r="I613" s="5"/>
      <c r="J613" s="5"/>
      <c r="K613" s="5"/>
      <c r="L613" s="6"/>
      <c r="M613" s="6"/>
      <c r="N613" s="7"/>
      <c r="O613" s="3"/>
      <c r="P613" s="3"/>
      <c r="Q613" s="3"/>
      <c r="R613" s="3"/>
    </row>
    <row x14ac:dyDescent="0.25" r="614" customHeight="1" ht="18.75">
      <c r="A614" s="10" t="s">
        <v>681</v>
      </c>
      <c r="B614" s="11">
        <v>47</v>
      </c>
      <c r="C614" s="3"/>
      <c r="D614" s="3"/>
      <c r="E614" s="5"/>
      <c r="F614" s="3"/>
      <c r="G614" s="3"/>
      <c r="H614" s="5"/>
      <c r="I614" s="5"/>
      <c r="J614" s="5"/>
      <c r="K614" s="5"/>
      <c r="L614" s="6"/>
      <c r="M614" s="6"/>
      <c r="N614" s="7"/>
      <c r="O614" s="3"/>
      <c r="P614" s="3"/>
      <c r="Q614" s="3"/>
      <c r="R614" s="3"/>
    </row>
    <row x14ac:dyDescent="0.25" r="615" customHeight="1" ht="18.75">
      <c r="A615" s="10" t="s">
        <v>682</v>
      </c>
      <c r="B615" s="11">
        <v>47</v>
      </c>
      <c r="C615" s="3"/>
      <c r="D615" s="3"/>
      <c r="E615" s="5"/>
      <c r="F615" s="3"/>
      <c r="G615" s="3"/>
      <c r="H615" s="5"/>
      <c r="I615" s="5"/>
      <c r="J615" s="5"/>
      <c r="K615" s="5"/>
      <c r="L615" s="6"/>
      <c r="M615" s="6"/>
      <c r="N615" s="7"/>
      <c r="O615" s="3"/>
      <c r="P615" s="3"/>
      <c r="Q615" s="3"/>
      <c r="R615" s="3"/>
    </row>
    <row x14ac:dyDescent="0.25" r="616" customHeight="1" ht="18.75">
      <c r="A616" s="10" t="s">
        <v>683</v>
      </c>
      <c r="B616" s="11">
        <v>48</v>
      </c>
      <c r="C616" s="3"/>
      <c r="D616" s="3"/>
      <c r="E616" s="5"/>
      <c r="F616" s="3"/>
      <c r="G616" s="3"/>
      <c r="H616" s="5"/>
      <c r="I616" s="5"/>
      <c r="J616" s="5"/>
      <c r="K616" s="5"/>
      <c r="L616" s="6"/>
      <c r="M616" s="6"/>
      <c r="N616" s="7"/>
      <c r="O616" s="3"/>
      <c r="P616" s="3"/>
      <c r="Q616" s="3"/>
      <c r="R616" s="3"/>
    </row>
    <row x14ac:dyDescent="0.25" r="617" customHeight="1" ht="18.75">
      <c r="A617" s="10" t="s">
        <v>684</v>
      </c>
      <c r="B617" s="11">
        <v>48</v>
      </c>
      <c r="C617" s="3"/>
      <c r="D617" s="3"/>
      <c r="E617" s="5"/>
      <c r="F617" s="3"/>
      <c r="G617" s="3"/>
      <c r="H617" s="5"/>
      <c r="I617" s="5"/>
      <c r="J617" s="5"/>
      <c r="K617" s="5"/>
      <c r="L617" s="6"/>
      <c r="M617" s="6"/>
      <c r="N617" s="7"/>
      <c r="O617" s="3"/>
      <c r="P617" s="3"/>
      <c r="Q617" s="3"/>
      <c r="R617" s="3"/>
    </row>
    <row x14ac:dyDescent="0.25" r="618" customHeight="1" ht="18.75">
      <c r="A618" s="10" t="s">
        <v>685</v>
      </c>
      <c r="B618" s="11">
        <v>48</v>
      </c>
      <c r="C618" s="3"/>
      <c r="D618" s="3"/>
      <c r="E618" s="5"/>
      <c r="F618" s="3"/>
      <c r="G618" s="3"/>
      <c r="H618" s="5"/>
      <c r="I618" s="5"/>
      <c r="J618" s="5"/>
      <c r="K618" s="5"/>
      <c r="L618" s="6"/>
      <c r="M618" s="6"/>
      <c r="N618" s="7"/>
      <c r="O618" s="3"/>
      <c r="P618" s="3"/>
      <c r="Q618" s="3"/>
      <c r="R618" s="3"/>
    </row>
    <row x14ac:dyDescent="0.25" r="619" customHeight="1" ht="18.75">
      <c r="A619" s="10" t="s">
        <v>686</v>
      </c>
      <c r="B619" s="11">
        <v>48</v>
      </c>
      <c r="C619" s="3"/>
      <c r="D619" s="3"/>
      <c r="E619" s="5"/>
      <c r="F619" s="3"/>
      <c r="G619" s="3"/>
      <c r="H619" s="5"/>
      <c r="I619" s="5"/>
      <c r="J619" s="5"/>
      <c r="K619" s="5"/>
      <c r="L619" s="6"/>
      <c r="M619" s="6"/>
      <c r="N619" s="7"/>
      <c r="O619" s="3"/>
      <c r="P619" s="3"/>
      <c r="Q619" s="3"/>
      <c r="R619" s="3"/>
    </row>
    <row x14ac:dyDescent="0.25" r="620" customHeight="1" ht="18.75">
      <c r="A620" s="10" t="s">
        <v>687</v>
      </c>
      <c r="B620" s="11">
        <v>48</v>
      </c>
      <c r="C620" s="3"/>
      <c r="D620" s="3"/>
      <c r="E620" s="5"/>
      <c r="F620" s="3"/>
      <c r="G620" s="3"/>
      <c r="H620" s="5"/>
      <c r="I620" s="5"/>
      <c r="J620" s="5"/>
      <c r="K620" s="5"/>
      <c r="L620" s="6"/>
      <c r="M620" s="6"/>
      <c r="N620" s="7"/>
      <c r="O620" s="3"/>
      <c r="P620" s="3"/>
      <c r="Q620" s="3"/>
      <c r="R620" s="3"/>
    </row>
    <row x14ac:dyDescent="0.25" r="621" customHeight="1" ht="18.75">
      <c r="A621" s="10" t="s">
        <v>688</v>
      </c>
      <c r="B621" s="11">
        <v>48</v>
      </c>
      <c r="C621" s="3"/>
      <c r="D621" s="3"/>
      <c r="E621" s="5"/>
      <c r="F621" s="3"/>
      <c r="G621" s="3"/>
      <c r="H621" s="5"/>
      <c r="I621" s="5"/>
      <c r="J621" s="5"/>
      <c r="K621" s="5"/>
      <c r="L621" s="6"/>
      <c r="M621" s="6"/>
      <c r="N621" s="7"/>
      <c r="O621" s="3"/>
      <c r="P621" s="3"/>
      <c r="Q621" s="3"/>
      <c r="R621" s="3"/>
    </row>
    <row x14ac:dyDescent="0.25" r="622" customHeight="1" ht="18.75">
      <c r="A622" s="10" t="s">
        <v>689</v>
      </c>
      <c r="B622" s="11">
        <v>48</v>
      </c>
      <c r="C622" s="3"/>
      <c r="D622" s="3"/>
      <c r="E622" s="5"/>
      <c r="F622" s="3"/>
      <c r="G622" s="3"/>
      <c r="H622" s="5"/>
      <c r="I622" s="5"/>
      <c r="J622" s="5"/>
      <c r="K622" s="5"/>
      <c r="L622" s="6"/>
      <c r="M622" s="6"/>
      <c r="N622" s="7"/>
      <c r="O622" s="3"/>
      <c r="P622" s="3"/>
      <c r="Q622" s="3"/>
      <c r="R622" s="3"/>
    </row>
    <row x14ac:dyDescent="0.25" r="623" customHeight="1" ht="18.75">
      <c r="A623" s="10" t="s">
        <v>690</v>
      </c>
      <c r="B623" s="11">
        <v>48</v>
      </c>
      <c r="C623" s="3"/>
      <c r="D623" s="3"/>
      <c r="E623" s="5"/>
      <c r="F623" s="3"/>
      <c r="G623" s="3"/>
      <c r="H623" s="5"/>
      <c r="I623" s="5"/>
      <c r="J623" s="5"/>
      <c r="K623" s="5"/>
      <c r="L623" s="6"/>
      <c r="M623" s="6"/>
      <c r="N623" s="7"/>
      <c r="O623" s="3"/>
      <c r="P623" s="3"/>
      <c r="Q623" s="3"/>
      <c r="R623" s="3"/>
    </row>
    <row x14ac:dyDescent="0.25" r="624" customHeight="1" ht="18.75">
      <c r="A624" s="10" t="s">
        <v>691</v>
      </c>
      <c r="B624" s="11">
        <v>48</v>
      </c>
      <c r="C624" s="3"/>
      <c r="D624" s="3"/>
      <c r="E624" s="5"/>
      <c r="F624" s="3"/>
      <c r="G624" s="3"/>
      <c r="H624" s="5"/>
      <c r="I624" s="5"/>
      <c r="J624" s="5"/>
      <c r="K624" s="5"/>
      <c r="L624" s="6"/>
      <c r="M624" s="6"/>
      <c r="N624" s="7"/>
      <c r="O624" s="3"/>
      <c r="P624" s="3"/>
      <c r="Q624" s="3"/>
      <c r="R624" s="3"/>
    </row>
    <row x14ac:dyDescent="0.25" r="625" customHeight="1" ht="18.75">
      <c r="A625" s="10" t="s">
        <v>692</v>
      </c>
      <c r="B625" s="11">
        <v>48</v>
      </c>
      <c r="C625" s="3"/>
      <c r="D625" s="3"/>
      <c r="E625" s="5"/>
      <c r="F625" s="3"/>
      <c r="G625" s="3"/>
      <c r="H625" s="5"/>
      <c r="I625" s="5"/>
      <c r="J625" s="5"/>
      <c r="K625" s="5"/>
      <c r="L625" s="6"/>
      <c r="M625" s="6"/>
      <c r="N625" s="7"/>
      <c r="O625" s="3"/>
      <c r="P625" s="3"/>
      <c r="Q625" s="3"/>
      <c r="R625" s="3"/>
    </row>
    <row x14ac:dyDescent="0.25" r="626" customHeight="1" ht="18.75">
      <c r="A626" s="10" t="s">
        <v>693</v>
      </c>
      <c r="B626" s="11">
        <v>48</v>
      </c>
      <c r="C626" s="3"/>
      <c r="D626" s="3"/>
      <c r="E626" s="5"/>
      <c r="F626" s="3"/>
      <c r="G626" s="3"/>
      <c r="H626" s="5"/>
      <c r="I626" s="5"/>
      <c r="J626" s="5"/>
      <c r="K626" s="5"/>
      <c r="L626" s="6"/>
      <c r="M626" s="6"/>
      <c r="N626" s="7"/>
      <c r="O626" s="3"/>
      <c r="P626" s="3"/>
      <c r="Q626" s="3"/>
      <c r="R626" s="3"/>
    </row>
    <row x14ac:dyDescent="0.25" r="627" customHeight="1" ht="18.75">
      <c r="A627" s="10" t="s">
        <v>694</v>
      </c>
      <c r="B627" s="11">
        <v>48</v>
      </c>
      <c r="C627" s="3"/>
      <c r="D627" s="3"/>
      <c r="E627" s="5"/>
      <c r="F627" s="3"/>
      <c r="G627" s="3"/>
      <c r="H627" s="5"/>
      <c r="I627" s="5"/>
      <c r="J627" s="5"/>
      <c r="K627" s="5"/>
      <c r="L627" s="6"/>
      <c r="M627" s="6"/>
      <c r="N627" s="7"/>
      <c r="O627" s="3"/>
      <c r="P627" s="3"/>
      <c r="Q627" s="3"/>
      <c r="R627" s="3"/>
    </row>
    <row x14ac:dyDescent="0.25" r="628" customHeight="1" ht="18.75">
      <c r="A628" s="10" t="s">
        <v>695</v>
      </c>
      <c r="B628" s="11">
        <v>48</v>
      </c>
      <c r="C628" s="3"/>
      <c r="D628" s="3"/>
      <c r="E628" s="5"/>
      <c r="F628" s="3"/>
      <c r="G628" s="3"/>
      <c r="H628" s="5"/>
      <c r="I628" s="5"/>
      <c r="J628" s="5"/>
      <c r="K628" s="5"/>
      <c r="L628" s="6"/>
      <c r="M628" s="6"/>
      <c r="N628" s="7"/>
      <c r="O628" s="3"/>
      <c r="P628" s="3"/>
      <c r="Q628" s="3"/>
      <c r="R628" s="3"/>
    </row>
    <row x14ac:dyDescent="0.25" r="629" customHeight="1" ht="18.75">
      <c r="A629" s="10" t="s">
        <v>696</v>
      </c>
      <c r="B629" s="11">
        <v>48</v>
      </c>
      <c r="C629" s="3"/>
      <c r="D629" s="3"/>
      <c r="E629" s="5"/>
      <c r="F629" s="3"/>
      <c r="G629" s="3"/>
      <c r="H629" s="5"/>
      <c r="I629" s="5"/>
      <c r="J629" s="5"/>
      <c r="K629" s="5"/>
      <c r="L629" s="6"/>
      <c r="M629" s="6"/>
      <c r="N629" s="7"/>
      <c r="O629" s="3"/>
      <c r="P629" s="3"/>
      <c r="Q629" s="3"/>
      <c r="R629" s="3"/>
    </row>
    <row x14ac:dyDescent="0.25" r="630" customHeight="1" ht="18.75">
      <c r="A630" s="10" t="s">
        <v>697</v>
      </c>
      <c r="B630" s="11">
        <v>48</v>
      </c>
      <c r="C630" s="3"/>
      <c r="D630" s="3"/>
      <c r="E630" s="5"/>
      <c r="F630" s="3"/>
      <c r="G630" s="3"/>
      <c r="H630" s="5"/>
      <c r="I630" s="5"/>
      <c r="J630" s="5"/>
      <c r="K630" s="5"/>
      <c r="L630" s="6"/>
      <c r="M630" s="6"/>
      <c r="N630" s="7"/>
      <c r="O630" s="3"/>
      <c r="P630" s="3"/>
      <c r="Q630" s="3"/>
      <c r="R630" s="3"/>
    </row>
    <row x14ac:dyDescent="0.25" r="631" customHeight="1" ht="18.75">
      <c r="A631" s="10" t="s">
        <v>698</v>
      </c>
      <c r="B631" s="11">
        <v>48</v>
      </c>
      <c r="C631" s="3"/>
      <c r="D631" s="3"/>
      <c r="E631" s="5"/>
      <c r="F631" s="3"/>
      <c r="G631" s="3"/>
      <c r="H631" s="5"/>
      <c r="I631" s="5"/>
      <c r="J631" s="5"/>
      <c r="K631" s="5"/>
      <c r="L631" s="6"/>
      <c r="M631" s="6"/>
      <c r="N631" s="7"/>
      <c r="O631" s="3"/>
      <c r="P631" s="3"/>
      <c r="Q631" s="3"/>
      <c r="R631" s="3"/>
    </row>
    <row x14ac:dyDescent="0.25" r="632" customHeight="1" ht="18.75">
      <c r="A632" s="10" t="s">
        <v>699</v>
      </c>
      <c r="B632" s="11">
        <v>48</v>
      </c>
      <c r="C632" s="3"/>
      <c r="D632" s="3"/>
      <c r="E632" s="5"/>
      <c r="F632" s="3"/>
      <c r="G632" s="3"/>
      <c r="H632" s="5"/>
      <c r="I632" s="5"/>
      <c r="J632" s="5"/>
      <c r="K632" s="5"/>
      <c r="L632" s="6"/>
      <c r="M632" s="6"/>
      <c r="N632" s="7"/>
      <c r="O632" s="3"/>
      <c r="P632" s="3"/>
      <c r="Q632" s="3"/>
      <c r="R632" s="3"/>
    </row>
    <row x14ac:dyDescent="0.25" r="633" customHeight="1" ht="18.75">
      <c r="A633" s="10" t="s">
        <v>700</v>
      </c>
      <c r="B633" s="11">
        <v>48</v>
      </c>
      <c r="C633" s="3"/>
      <c r="D633" s="3"/>
      <c r="E633" s="5"/>
      <c r="F633" s="3"/>
      <c r="G633" s="3"/>
      <c r="H633" s="5"/>
      <c r="I633" s="5"/>
      <c r="J633" s="5"/>
      <c r="K633" s="5"/>
      <c r="L633" s="6"/>
      <c r="M633" s="6"/>
      <c r="N633" s="7"/>
      <c r="O633" s="3"/>
      <c r="P633" s="3"/>
      <c r="Q633" s="3"/>
      <c r="R633" s="3"/>
    </row>
    <row x14ac:dyDescent="0.25" r="634" customHeight="1" ht="18.75">
      <c r="A634" s="10" t="s">
        <v>701</v>
      </c>
      <c r="B634" s="11">
        <v>48</v>
      </c>
      <c r="C634" s="3"/>
      <c r="D634" s="3"/>
      <c r="E634" s="5"/>
      <c r="F634" s="3"/>
      <c r="G634" s="3"/>
      <c r="H634" s="5"/>
      <c r="I634" s="5"/>
      <c r="J634" s="5"/>
      <c r="K634" s="5"/>
      <c r="L634" s="6"/>
      <c r="M634" s="6"/>
      <c r="N634" s="7"/>
      <c r="O634" s="3"/>
      <c r="P634" s="3"/>
      <c r="Q634" s="3"/>
      <c r="R634" s="3"/>
    </row>
    <row x14ac:dyDescent="0.25" r="635" customHeight="1" ht="18.75">
      <c r="A635" s="10" t="s">
        <v>702</v>
      </c>
      <c r="B635" s="11">
        <v>48</v>
      </c>
      <c r="C635" s="3"/>
      <c r="D635" s="3"/>
      <c r="E635" s="5"/>
      <c r="F635" s="3"/>
      <c r="G635" s="3"/>
      <c r="H635" s="5"/>
      <c r="I635" s="5"/>
      <c r="J635" s="5"/>
      <c r="K635" s="5"/>
      <c r="L635" s="6"/>
      <c r="M635" s="6"/>
      <c r="N635" s="7"/>
      <c r="O635" s="3"/>
      <c r="P635" s="3"/>
      <c r="Q635" s="3"/>
      <c r="R635" s="3"/>
    </row>
    <row x14ac:dyDescent="0.25" r="636" customHeight="1" ht="18.75">
      <c r="A636" s="10" t="s">
        <v>703</v>
      </c>
      <c r="B636" s="11">
        <v>48</v>
      </c>
      <c r="C636" s="3"/>
      <c r="D636" s="3"/>
      <c r="E636" s="5"/>
      <c r="F636" s="3"/>
      <c r="G636" s="3"/>
      <c r="H636" s="5"/>
      <c r="I636" s="5"/>
      <c r="J636" s="5"/>
      <c r="K636" s="5"/>
      <c r="L636" s="6"/>
      <c r="M636" s="6"/>
      <c r="N636" s="7"/>
      <c r="O636" s="3"/>
      <c r="P636" s="3"/>
      <c r="Q636" s="3"/>
      <c r="R636" s="3"/>
    </row>
    <row x14ac:dyDescent="0.25" r="637" customHeight="1" ht="18.75">
      <c r="A637" s="10" t="s">
        <v>704</v>
      </c>
      <c r="B637" s="11">
        <v>48</v>
      </c>
      <c r="C637" s="3"/>
      <c r="D637" s="3"/>
      <c r="E637" s="5"/>
      <c r="F637" s="3"/>
      <c r="G637" s="3"/>
      <c r="H637" s="5"/>
      <c r="I637" s="5"/>
      <c r="J637" s="5"/>
      <c r="K637" s="5"/>
      <c r="L637" s="6"/>
      <c r="M637" s="6"/>
      <c r="N637" s="7"/>
      <c r="O637" s="3"/>
      <c r="P637" s="3"/>
      <c r="Q637" s="3"/>
      <c r="R637" s="3"/>
    </row>
    <row x14ac:dyDescent="0.25" r="638" customHeight="1" ht="18.75">
      <c r="A638" s="10" t="s">
        <v>705</v>
      </c>
      <c r="B638" s="11">
        <v>48</v>
      </c>
      <c r="C638" s="3"/>
      <c r="D638" s="3"/>
      <c r="E638" s="5"/>
      <c r="F638" s="3"/>
      <c r="G638" s="3"/>
      <c r="H638" s="5"/>
      <c r="I638" s="5"/>
      <c r="J638" s="5"/>
      <c r="K638" s="5"/>
      <c r="L638" s="6"/>
      <c r="M638" s="6"/>
      <c r="N638" s="7"/>
      <c r="O638" s="3"/>
      <c r="P638" s="3"/>
      <c r="Q638" s="3"/>
      <c r="R638" s="3"/>
    </row>
    <row x14ac:dyDescent="0.25" r="639" customHeight="1" ht="18.75">
      <c r="A639" s="10" t="s">
        <v>706</v>
      </c>
      <c r="B639" s="11">
        <v>48</v>
      </c>
      <c r="C639" s="3"/>
      <c r="D639" s="3"/>
      <c r="E639" s="5"/>
      <c r="F639" s="3"/>
      <c r="G639" s="3"/>
      <c r="H639" s="5"/>
      <c r="I639" s="5"/>
      <c r="J639" s="5"/>
      <c r="K639" s="5"/>
      <c r="L639" s="6"/>
      <c r="M639" s="6"/>
      <c r="N639" s="7"/>
      <c r="O639" s="3"/>
      <c r="P639" s="3"/>
      <c r="Q639" s="3"/>
      <c r="R639" s="3"/>
    </row>
    <row x14ac:dyDescent="0.25" r="640" customHeight="1" ht="18.75">
      <c r="A640" s="10" t="s">
        <v>707</v>
      </c>
      <c r="B640" s="11">
        <v>48</v>
      </c>
      <c r="C640" s="3"/>
      <c r="D640" s="3"/>
      <c r="E640" s="5"/>
      <c r="F640" s="3"/>
      <c r="G640" s="3"/>
      <c r="H640" s="5"/>
      <c r="I640" s="5"/>
      <c r="J640" s="5"/>
      <c r="K640" s="5"/>
      <c r="L640" s="6"/>
      <c r="M640" s="6"/>
      <c r="N640" s="7"/>
      <c r="O640" s="3"/>
      <c r="P640" s="3"/>
      <c r="Q640" s="3"/>
      <c r="R640" s="3"/>
    </row>
    <row x14ac:dyDescent="0.25" r="641" customHeight="1" ht="18.75">
      <c r="A641" s="10" t="s">
        <v>708</v>
      </c>
      <c r="B641" s="11">
        <v>48</v>
      </c>
      <c r="C641" s="3"/>
      <c r="D641" s="3"/>
      <c r="E641" s="5"/>
      <c r="F641" s="3"/>
      <c r="G641" s="3"/>
      <c r="H641" s="5"/>
      <c r="I641" s="5"/>
      <c r="J641" s="5"/>
      <c r="K641" s="5"/>
      <c r="L641" s="6"/>
      <c r="M641" s="6"/>
      <c r="N641" s="7"/>
      <c r="O641" s="3"/>
      <c r="P641" s="3"/>
      <c r="Q641" s="3"/>
      <c r="R641" s="3"/>
    </row>
    <row x14ac:dyDescent="0.25" r="642" customHeight="1" ht="18.75">
      <c r="A642" s="10" t="s">
        <v>709</v>
      </c>
      <c r="B642" s="11">
        <v>48</v>
      </c>
      <c r="C642" s="3"/>
      <c r="D642" s="3"/>
      <c r="E642" s="5"/>
      <c r="F642" s="3"/>
      <c r="G642" s="3"/>
      <c r="H642" s="5"/>
      <c r="I642" s="5"/>
      <c r="J642" s="5"/>
      <c r="K642" s="5"/>
      <c r="L642" s="6"/>
      <c r="M642" s="6"/>
      <c r="N642" s="7"/>
      <c r="O642" s="3"/>
      <c r="P642" s="3"/>
      <c r="Q642" s="3"/>
      <c r="R642" s="3"/>
    </row>
    <row x14ac:dyDescent="0.25" r="643" customHeight="1" ht="18.75">
      <c r="A643" s="10" t="s">
        <v>710</v>
      </c>
      <c r="B643" s="11">
        <v>48</v>
      </c>
      <c r="C643" s="3"/>
      <c r="D643" s="3"/>
      <c r="E643" s="5"/>
      <c r="F643" s="3"/>
      <c r="G643" s="3"/>
      <c r="H643" s="5"/>
      <c r="I643" s="5"/>
      <c r="J643" s="5"/>
      <c r="K643" s="5"/>
      <c r="L643" s="6"/>
      <c r="M643" s="6"/>
      <c r="N643" s="7"/>
      <c r="O643" s="3"/>
      <c r="P643" s="3"/>
      <c r="Q643" s="3"/>
      <c r="R643" s="3"/>
    </row>
    <row x14ac:dyDescent="0.25" r="644" customHeight="1" ht="18.75">
      <c r="A644" s="10" t="s">
        <v>711</v>
      </c>
      <c r="B644" s="11">
        <v>48</v>
      </c>
      <c r="C644" s="3"/>
      <c r="D644" s="3"/>
      <c r="E644" s="5"/>
      <c r="F644" s="3"/>
      <c r="G644" s="3"/>
      <c r="H644" s="5"/>
      <c r="I644" s="5"/>
      <c r="J644" s="5"/>
      <c r="K644" s="5"/>
      <c r="L644" s="6"/>
      <c r="M644" s="6"/>
      <c r="N644" s="7"/>
      <c r="O644" s="3"/>
      <c r="P644" s="3"/>
      <c r="Q644" s="3"/>
      <c r="R644" s="3"/>
    </row>
    <row x14ac:dyDescent="0.25" r="645" customHeight="1" ht="18.75">
      <c r="A645" s="10" t="s">
        <v>712</v>
      </c>
      <c r="B645" s="11">
        <v>48</v>
      </c>
      <c r="C645" s="3"/>
      <c r="D645" s="3"/>
      <c r="E645" s="5"/>
      <c r="F645" s="3"/>
      <c r="G645" s="3"/>
      <c r="H645" s="5"/>
      <c r="I645" s="5"/>
      <c r="J645" s="5"/>
      <c r="K645" s="5"/>
      <c r="L645" s="6"/>
      <c r="M645" s="6"/>
      <c r="N645" s="7"/>
      <c r="O645" s="3"/>
      <c r="P645" s="3"/>
      <c r="Q645" s="3"/>
      <c r="R645" s="3"/>
    </row>
    <row x14ac:dyDescent="0.25" r="646" customHeight="1" ht="18.75">
      <c r="A646" s="10" t="s">
        <v>713</v>
      </c>
      <c r="B646" s="11">
        <v>48</v>
      </c>
      <c r="C646" s="3"/>
      <c r="D646" s="3"/>
      <c r="E646" s="5"/>
      <c r="F646" s="3"/>
      <c r="G646" s="3"/>
      <c r="H646" s="5"/>
      <c r="I646" s="5"/>
      <c r="J646" s="5"/>
      <c r="K646" s="5"/>
      <c r="L646" s="6"/>
      <c r="M646" s="6"/>
      <c r="N646" s="7"/>
      <c r="O646" s="3"/>
      <c r="P646" s="3"/>
      <c r="Q646" s="3"/>
      <c r="R646" s="3"/>
    </row>
    <row x14ac:dyDescent="0.25" r="647" customHeight="1" ht="18.75">
      <c r="A647" s="10" t="s">
        <v>714</v>
      </c>
      <c r="B647" s="11">
        <v>48</v>
      </c>
      <c r="C647" s="3"/>
      <c r="D647" s="3"/>
      <c r="E647" s="5"/>
      <c r="F647" s="3"/>
      <c r="G647" s="3"/>
      <c r="H647" s="5"/>
      <c r="I647" s="5"/>
      <c r="J647" s="5"/>
      <c r="K647" s="5"/>
      <c r="L647" s="6"/>
      <c r="M647" s="6"/>
      <c r="N647" s="7"/>
      <c r="O647" s="3"/>
      <c r="P647" s="3"/>
      <c r="Q647" s="3"/>
      <c r="R647" s="3"/>
    </row>
    <row x14ac:dyDescent="0.25" r="648" customHeight="1" ht="18.75">
      <c r="A648" s="10" t="s">
        <v>715</v>
      </c>
      <c r="B648" s="11">
        <v>49</v>
      </c>
      <c r="C648" s="3"/>
      <c r="D648" s="3"/>
      <c r="E648" s="5"/>
      <c r="F648" s="3"/>
      <c r="G648" s="3"/>
      <c r="H648" s="5"/>
      <c r="I648" s="5"/>
      <c r="J648" s="5"/>
      <c r="K648" s="5"/>
      <c r="L648" s="6"/>
      <c r="M648" s="6"/>
      <c r="N648" s="7"/>
      <c r="O648" s="3"/>
      <c r="P648" s="3"/>
      <c r="Q648" s="3"/>
      <c r="R648" s="3"/>
    </row>
    <row x14ac:dyDescent="0.25" r="649" customHeight="1" ht="18.75">
      <c r="A649" s="10" t="s">
        <v>716</v>
      </c>
      <c r="B649" s="11">
        <v>49</v>
      </c>
      <c r="C649" s="3"/>
      <c r="D649" s="3"/>
      <c r="E649" s="5"/>
      <c r="F649" s="3"/>
      <c r="G649" s="3"/>
      <c r="H649" s="5"/>
      <c r="I649" s="5"/>
      <c r="J649" s="5"/>
      <c r="K649" s="5"/>
      <c r="L649" s="6"/>
      <c r="M649" s="6"/>
      <c r="N649" s="7"/>
      <c r="O649" s="3"/>
      <c r="P649" s="3"/>
      <c r="Q649" s="3"/>
      <c r="R649" s="3"/>
    </row>
    <row x14ac:dyDescent="0.25" r="650" customHeight="1" ht="18.75">
      <c r="A650" s="10" t="s">
        <v>717</v>
      </c>
      <c r="B650" s="11">
        <v>49</v>
      </c>
      <c r="C650" s="3"/>
      <c r="D650" s="3"/>
      <c r="E650" s="5"/>
      <c r="F650" s="3"/>
      <c r="G650" s="3"/>
      <c r="H650" s="5"/>
      <c r="I650" s="5"/>
      <c r="J650" s="5"/>
      <c r="K650" s="5"/>
      <c r="L650" s="6"/>
      <c r="M650" s="6"/>
      <c r="N650" s="7"/>
      <c r="O650" s="3"/>
      <c r="P650" s="3"/>
      <c r="Q650" s="3"/>
      <c r="R650" s="3"/>
    </row>
    <row x14ac:dyDescent="0.25" r="651" customHeight="1" ht="18.75">
      <c r="A651" s="10" t="s">
        <v>718</v>
      </c>
      <c r="B651" s="11">
        <v>49</v>
      </c>
      <c r="C651" s="3"/>
      <c r="D651" s="3"/>
      <c r="E651" s="5"/>
      <c r="F651" s="3"/>
      <c r="G651" s="3"/>
      <c r="H651" s="5"/>
      <c r="I651" s="5"/>
      <c r="J651" s="5"/>
      <c r="K651" s="5"/>
      <c r="L651" s="6"/>
      <c r="M651" s="6"/>
      <c r="N651" s="7"/>
      <c r="O651" s="3"/>
      <c r="P651" s="3"/>
      <c r="Q651" s="3"/>
      <c r="R651" s="3"/>
    </row>
    <row x14ac:dyDescent="0.25" r="652" customHeight="1" ht="18.75">
      <c r="A652" s="10" t="s">
        <v>719</v>
      </c>
      <c r="B652" s="11">
        <v>49</v>
      </c>
      <c r="C652" s="3"/>
      <c r="D652" s="3"/>
      <c r="E652" s="5"/>
      <c r="F652" s="3"/>
      <c r="G652" s="3"/>
      <c r="H652" s="5"/>
      <c r="I652" s="5"/>
      <c r="J652" s="5"/>
      <c r="K652" s="5"/>
      <c r="L652" s="6"/>
      <c r="M652" s="6"/>
      <c r="N652" s="7"/>
      <c r="O652" s="3"/>
      <c r="P652" s="3"/>
      <c r="Q652" s="3"/>
      <c r="R652" s="3"/>
    </row>
    <row x14ac:dyDescent="0.25" r="653" customHeight="1" ht="18.75">
      <c r="A653" s="10" t="s">
        <v>720</v>
      </c>
      <c r="B653" s="11">
        <v>49</v>
      </c>
      <c r="C653" s="3"/>
      <c r="D653" s="3"/>
      <c r="E653" s="5"/>
      <c r="F653" s="3"/>
      <c r="G653" s="3"/>
      <c r="H653" s="5"/>
      <c r="I653" s="5"/>
      <c r="J653" s="5"/>
      <c r="K653" s="5"/>
      <c r="L653" s="6"/>
      <c r="M653" s="6"/>
      <c r="N653" s="7"/>
      <c r="O653" s="3"/>
      <c r="P653" s="3"/>
      <c r="Q653" s="3"/>
      <c r="R653" s="3"/>
    </row>
    <row x14ac:dyDescent="0.25" r="654" customHeight="1" ht="18.75">
      <c r="A654" s="10" t="s">
        <v>721</v>
      </c>
      <c r="B654" s="11">
        <v>49</v>
      </c>
      <c r="C654" s="3"/>
      <c r="D654" s="3"/>
      <c r="E654" s="5"/>
      <c r="F654" s="3"/>
      <c r="G654" s="3"/>
      <c r="H654" s="5"/>
      <c r="I654" s="5"/>
      <c r="J654" s="5"/>
      <c r="K654" s="5"/>
      <c r="L654" s="6"/>
      <c r="M654" s="6"/>
      <c r="N654" s="7"/>
      <c r="O654" s="3"/>
      <c r="P654" s="3"/>
      <c r="Q654" s="3"/>
      <c r="R654" s="3"/>
    </row>
    <row x14ac:dyDescent="0.25" r="655" customHeight="1" ht="18.75">
      <c r="A655" s="10" t="s">
        <v>722</v>
      </c>
      <c r="B655" s="11">
        <v>49</v>
      </c>
      <c r="C655" s="3"/>
      <c r="D655" s="3"/>
      <c r="E655" s="5"/>
      <c r="F655" s="3"/>
      <c r="G655" s="3"/>
      <c r="H655" s="5"/>
      <c r="I655" s="5"/>
      <c r="J655" s="5"/>
      <c r="K655" s="5"/>
      <c r="L655" s="6"/>
      <c r="M655" s="6"/>
      <c r="N655" s="7"/>
      <c r="O655" s="3"/>
      <c r="P655" s="3"/>
      <c r="Q655" s="3"/>
      <c r="R655" s="3"/>
    </row>
    <row x14ac:dyDescent="0.25" r="656" customHeight="1" ht="18.75">
      <c r="A656" s="10" t="s">
        <v>723</v>
      </c>
      <c r="B656" s="11">
        <v>49</v>
      </c>
      <c r="C656" s="3"/>
      <c r="D656" s="3"/>
      <c r="E656" s="5"/>
      <c r="F656" s="3"/>
      <c r="G656" s="3"/>
      <c r="H656" s="5"/>
      <c r="I656" s="5"/>
      <c r="J656" s="5"/>
      <c r="K656" s="5"/>
      <c r="L656" s="6"/>
      <c r="M656" s="6"/>
      <c r="N656" s="7"/>
      <c r="O656" s="3"/>
      <c r="P656" s="3"/>
      <c r="Q656" s="3"/>
      <c r="R656" s="3"/>
    </row>
    <row x14ac:dyDescent="0.25" r="657" customHeight="1" ht="18.75">
      <c r="A657" s="10" t="s">
        <v>724</v>
      </c>
      <c r="B657" s="11">
        <v>49</v>
      </c>
      <c r="C657" s="3"/>
      <c r="D657" s="3"/>
      <c r="E657" s="5"/>
      <c r="F657" s="3"/>
      <c r="G657" s="3"/>
      <c r="H657" s="5"/>
      <c r="I657" s="5"/>
      <c r="J657" s="5"/>
      <c r="K657" s="5"/>
      <c r="L657" s="6"/>
      <c r="M657" s="6"/>
      <c r="N657" s="7"/>
      <c r="O657" s="3"/>
      <c r="P657" s="3"/>
      <c r="Q657" s="3"/>
      <c r="R657" s="3"/>
    </row>
    <row x14ac:dyDescent="0.25" r="658" customHeight="1" ht="18.75">
      <c r="A658" s="10" t="s">
        <v>725</v>
      </c>
      <c r="B658" s="11">
        <v>49</v>
      </c>
      <c r="C658" s="3"/>
      <c r="D658" s="3"/>
      <c r="E658" s="5"/>
      <c r="F658" s="3"/>
      <c r="G658" s="3"/>
      <c r="H658" s="5"/>
      <c r="I658" s="5"/>
      <c r="J658" s="5"/>
      <c r="K658" s="5"/>
      <c r="L658" s="6"/>
      <c r="M658" s="6"/>
      <c r="N658" s="7"/>
      <c r="O658" s="3"/>
      <c r="P658" s="3"/>
      <c r="Q658" s="3"/>
      <c r="R658" s="3"/>
    </row>
    <row x14ac:dyDescent="0.25" r="659" customHeight="1" ht="18.75">
      <c r="A659" s="10" t="s">
        <v>726</v>
      </c>
      <c r="B659" s="11">
        <v>49</v>
      </c>
      <c r="C659" s="3"/>
      <c r="D659" s="3"/>
      <c r="E659" s="5"/>
      <c r="F659" s="3"/>
      <c r="G659" s="3"/>
      <c r="H659" s="5"/>
      <c r="I659" s="5"/>
      <c r="J659" s="5"/>
      <c r="K659" s="5"/>
      <c r="L659" s="6"/>
      <c r="M659" s="6"/>
      <c r="N659" s="7"/>
      <c r="O659" s="3"/>
      <c r="P659" s="3"/>
      <c r="Q659" s="3"/>
      <c r="R659" s="3"/>
    </row>
    <row x14ac:dyDescent="0.25" r="660" customHeight="1" ht="18.75">
      <c r="A660" s="10" t="s">
        <v>727</v>
      </c>
      <c r="B660" s="11">
        <v>49</v>
      </c>
      <c r="C660" s="3"/>
      <c r="D660" s="3"/>
      <c r="E660" s="5"/>
      <c r="F660" s="3"/>
      <c r="G660" s="3"/>
      <c r="H660" s="5"/>
      <c r="I660" s="5"/>
      <c r="J660" s="5"/>
      <c r="K660" s="5"/>
      <c r="L660" s="6"/>
      <c r="M660" s="6"/>
      <c r="N660" s="7"/>
      <c r="O660" s="3"/>
      <c r="P660" s="3"/>
      <c r="Q660" s="3"/>
      <c r="R660" s="3"/>
    </row>
    <row x14ac:dyDescent="0.25" r="661" customHeight="1" ht="18.75">
      <c r="A661" s="10" t="s">
        <v>728</v>
      </c>
      <c r="B661" s="11">
        <v>49</v>
      </c>
      <c r="C661" s="3"/>
      <c r="D661" s="3"/>
      <c r="E661" s="5"/>
      <c r="F661" s="3"/>
      <c r="G661" s="3"/>
      <c r="H661" s="5"/>
      <c r="I661" s="5"/>
      <c r="J661" s="5"/>
      <c r="K661" s="5"/>
      <c r="L661" s="6"/>
      <c r="M661" s="6"/>
      <c r="N661" s="7"/>
      <c r="O661" s="3"/>
      <c r="P661" s="3"/>
      <c r="Q661" s="3"/>
      <c r="R661" s="3"/>
    </row>
    <row x14ac:dyDescent="0.25" r="662" customHeight="1" ht="18.75">
      <c r="A662" s="10" t="s">
        <v>729</v>
      </c>
      <c r="B662" s="11">
        <v>49</v>
      </c>
      <c r="C662" s="3"/>
      <c r="D662" s="3"/>
      <c r="E662" s="5"/>
      <c r="F662" s="3"/>
      <c r="G662" s="3"/>
      <c r="H662" s="5"/>
      <c r="I662" s="5"/>
      <c r="J662" s="5"/>
      <c r="K662" s="5"/>
      <c r="L662" s="6"/>
      <c r="M662" s="6"/>
      <c r="N662" s="7"/>
      <c r="O662" s="3"/>
      <c r="P662" s="3"/>
      <c r="Q662" s="3"/>
      <c r="R662" s="3"/>
    </row>
    <row x14ac:dyDescent="0.25" r="663" customHeight="1" ht="18.75">
      <c r="A663" s="10" t="s">
        <v>730</v>
      </c>
      <c r="B663" s="11">
        <v>49</v>
      </c>
      <c r="C663" s="3"/>
      <c r="D663" s="3"/>
      <c r="E663" s="5"/>
      <c r="F663" s="3"/>
      <c r="G663" s="3"/>
      <c r="H663" s="5"/>
      <c r="I663" s="5"/>
      <c r="J663" s="5"/>
      <c r="K663" s="5"/>
      <c r="L663" s="6"/>
      <c r="M663" s="6"/>
      <c r="N663" s="7"/>
      <c r="O663" s="3"/>
      <c r="P663" s="3"/>
      <c r="Q663" s="3"/>
      <c r="R663" s="3"/>
    </row>
    <row x14ac:dyDescent="0.25" r="664" customHeight="1" ht="18.75">
      <c r="A664" s="10" t="s">
        <v>731</v>
      </c>
      <c r="B664" s="11">
        <v>49</v>
      </c>
      <c r="C664" s="3"/>
      <c r="D664" s="3"/>
      <c r="E664" s="5"/>
      <c r="F664" s="3"/>
      <c r="G664" s="3"/>
      <c r="H664" s="5"/>
      <c r="I664" s="5"/>
      <c r="J664" s="5"/>
      <c r="K664" s="5"/>
      <c r="L664" s="6"/>
      <c r="M664" s="6"/>
      <c r="N664" s="7"/>
      <c r="O664" s="3"/>
      <c r="P664" s="3"/>
      <c r="Q664" s="3"/>
      <c r="R664" s="3"/>
    </row>
    <row x14ac:dyDescent="0.25" r="665" customHeight="1" ht="18.75">
      <c r="A665" s="10" t="s">
        <v>732</v>
      </c>
      <c r="B665" s="11">
        <v>49</v>
      </c>
      <c r="C665" s="3"/>
      <c r="D665" s="3"/>
      <c r="E665" s="5"/>
      <c r="F665" s="3"/>
      <c r="G665" s="3"/>
      <c r="H665" s="5"/>
      <c r="I665" s="5"/>
      <c r="J665" s="5"/>
      <c r="K665" s="5"/>
      <c r="L665" s="6"/>
      <c r="M665" s="6"/>
      <c r="N665" s="7"/>
      <c r="O665" s="3"/>
      <c r="P665" s="3"/>
      <c r="Q665" s="3"/>
      <c r="R665" s="3"/>
    </row>
    <row x14ac:dyDescent="0.25" r="666" customHeight="1" ht="18.75">
      <c r="A666" s="10" t="s">
        <v>733</v>
      </c>
      <c r="B666" s="11">
        <v>49</v>
      </c>
      <c r="C666" s="3"/>
      <c r="D666" s="3"/>
      <c r="E666" s="5"/>
      <c r="F666" s="3"/>
      <c r="G666" s="3"/>
      <c r="H666" s="5"/>
      <c r="I666" s="5"/>
      <c r="J666" s="5"/>
      <c r="K666" s="5"/>
      <c r="L666" s="6"/>
      <c r="M666" s="6"/>
      <c r="N666" s="7"/>
      <c r="O666" s="3"/>
      <c r="P666" s="3"/>
      <c r="Q666" s="3"/>
      <c r="R666" s="3"/>
    </row>
    <row x14ac:dyDescent="0.25" r="667" customHeight="1" ht="18.75">
      <c r="A667" s="10" t="s">
        <v>734</v>
      </c>
      <c r="B667" s="11">
        <v>49</v>
      </c>
      <c r="C667" s="3"/>
      <c r="D667" s="3"/>
      <c r="E667" s="5"/>
      <c r="F667" s="3"/>
      <c r="G667" s="3"/>
      <c r="H667" s="5"/>
      <c r="I667" s="5"/>
      <c r="J667" s="5"/>
      <c r="K667" s="5"/>
      <c r="L667" s="6"/>
      <c r="M667" s="6"/>
      <c r="N667" s="7"/>
      <c r="O667" s="3"/>
      <c r="P667" s="3"/>
      <c r="Q667" s="3"/>
      <c r="R667" s="3"/>
    </row>
    <row x14ac:dyDescent="0.25" r="668" customHeight="1" ht="18.75">
      <c r="A668" s="10" t="s">
        <v>735</v>
      </c>
      <c r="B668" s="11">
        <v>50</v>
      </c>
      <c r="C668" s="3"/>
      <c r="D668" s="3"/>
      <c r="E668" s="5"/>
      <c r="F668" s="3"/>
      <c r="G668" s="3"/>
      <c r="H668" s="5"/>
      <c r="I668" s="5"/>
      <c r="J668" s="5"/>
      <c r="K668" s="5"/>
      <c r="L668" s="6"/>
      <c r="M668" s="6"/>
      <c r="N668" s="7"/>
      <c r="O668" s="3"/>
      <c r="P668" s="3"/>
      <c r="Q668" s="3"/>
      <c r="R668" s="3"/>
    </row>
    <row x14ac:dyDescent="0.25" r="669" customHeight="1" ht="18.75">
      <c r="A669" s="10" t="s">
        <v>736</v>
      </c>
      <c r="B669" s="11">
        <v>50</v>
      </c>
      <c r="C669" s="3"/>
      <c r="D669" s="3"/>
      <c r="E669" s="5"/>
      <c r="F669" s="3"/>
      <c r="G669" s="3"/>
      <c r="H669" s="5"/>
      <c r="I669" s="5"/>
      <c r="J669" s="5"/>
      <c r="K669" s="5"/>
      <c r="L669" s="6"/>
      <c r="M669" s="6"/>
      <c r="N669" s="7"/>
      <c r="O669" s="3"/>
      <c r="P669" s="3"/>
      <c r="Q669" s="3"/>
      <c r="R669" s="3"/>
    </row>
    <row x14ac:dyDescent="0.25" r="670" customHeight="1" ht="18.75">
      <c r="A670" s="10" t="s">
        <v>737</v>
      </c>
      <c r="B670" s="11">
        <v>50</v>
      </c>
      <c r="C670" s="3"/>
      <c r="D670" s="3"/>
      <c r="E670" s="5"/>
      <c r="F670" s="3"/>
      <c r="G670" s="3"/>
      <c r="H670" s="5"/>
      <c r="I670" s="5"/>
      <c r="J670" s="5"/>
      <c r="K670" s="5"/>
      <c r="L670" s="6"/>
      <c r="M670" s="6"/>
      <c r="N670" s="7"/>
      <c r="O670" s="3"/>
      <c r="P670" s="3"/>
      <c r="Q670" s="3"/>
      <c r="R670" s="3"/>
    </row>
    <row x14ac:dyDescent="0.25" r="671" customHeight="1" ht="18.75">
      <c r="A671" s="10" t="s">
        <v>738</v>
      </c>
      <c r="B671" s="11">
        <v>50</v>
      </c>
      <c r="C671" s="3"/>
      <c r="D671" s="3"/>
      <c r="E671" s="5"/>
      <c r="F671" s="3"/>
      <c r="G671" s="3"/>
      <c r="H671" s="5"/>
      <c r="I671" s="5"/>
      <c r="J671" s="5"/>
      <c r="K671" s="5"/>
      <c r="L671" s="6"/>
      <c r="M671" s="6"/>
      <c r="N671" s="7"/>
      <c r="O671" s="3"/>
      <c r="P671" s="3"/>
      <c r="Q671" s="3"/>
      <c r="R671" s="3"/>
    </row>
    <row x14ac:dyDescent="0.25" r="672" customHeight="1" ht="18.75">
      <c r="A672" s="10" t="s">
        <v>739</v>
      </c>
      <c r="B672" s="11">
        <v>50</v>
      </c>
      <c r="C672" s="3"/>
      <c r="D672" s="3"/>
      <c r="E672" s="5"/>
      <c r="F672" s="3"/>
      <c r="G672" s="3"/>
      <c r="H672" s="5"/>
      <c r="I672" s="5"/>
      <c r="J672" s="5"/>
      <c r="K672" s="5"/>
      <c r="L672" s="6"/>
      <c r="M672" s="6"/>
      <c r="N672" s="7"/>
      <c r="O672" s="3"/>
      <c r="P672" s="3"/>
      <c r="Q672" s="3"/>
      <c r="R672" s="3"/>
    </row>
    <row x14ac:dyDescent="0.25" r="673" customHeight="1" ht="18.75">
      <c r="A673" s="10" t="s">
        <v>740</v>
      </c>
      <c r="B673" s="11">
        <v>50</v>
      </c>
      <c r="C673" s="3"/>
      <c r="D673" s="3"/>
      <c r="E673" s="5"/>
      <c r="F673" s="3"/>
      <c r="G673" s="3"/>
      <c r="H673" s="5"/>
      <c r="I673" s="5"/>
      <c r="J673" s="5"/>
      <c r="K673" s="5"/>
      <c r="L673" s="6"/>
      <c r="M673" s="6"/>
      <c r="N673" s="7"/>
      <c r="O673" s="3"/>
      <c r="P673" s="3"/>
      <c r="Q673" s="3"/>
      <c r="R673" s="3"/>
    </row>
    <row x14ac:dyDescent="0.25" r="674" customHeight="1" ht="18.75">
      <c r="A674" s="10" t="s">
        <v>741</v>
      </c>
      <c r="B674" s="11">
        <v>50</v>
      </c>
      <c r="C674" s="3"/>
      <c r="D674" s="3"/>
      <c r="E674" s="5"/>
      <c r="F674" s="3"/>
      <c r="G674" s="3"/>
      <c r="H674" s="5"/>
      <c r="I674" s="5"/>
      <c r="J674" s="5"/>
      <c r="K674" s="5"/>
      <c r="L674" s="6"/>
      <c r="M674" s="6"/>
      <c r="N674" s="7"/>
      <c r="O674" s="3"/>
      <c r="P674" s="3"/>
      <c r="Q674" s="3"/>
      <c r="R674" s="3"/>
    </row>
    <row x14ac:dyDescent="0.25" r="675" customHeight="1" ht="18.75">
      <c r="A675" s="10" t="s">
        <v>742</v>
      </c>
      <c r="B675" s="11">
        <v>50</v>
      </c>
      <c r="C675" s="3"/>
      <c r="D675" s="3"/>
      <c r="E675" s="5"/>
      <c r="F675" s="3"/>
      <c r="G675" s="3"/>
      <c r="H675" s="5"/>
      <c r="I675" s="5"/>
      <c r="J675" s="5"/>
      <c r="K675" s="5"/>
      <c r="L675" s="6"/>
      <c r="M675" s="6"/>
      <c r="N675" s="7"/>
      <c r="O675" s="3"/>
      <c r="P675" s="3"/>
      <c r="Q675" s="3"/>
      <c r="R675" s="3"/>
    </row>
    <row x14ac:dyDescent="0.25" r="676" customHeight="1" ht="18.75">
      <c r="A676" s="10" t="s">
        <v>743</v>
      </c>
      <c r="B676" s="11">
        <v>50</v>
      </c>
      <c r="C676" s="3"/>
      <c r="D676" s="3"/>
      <c r="E676" s="5"/>
      <c r="F676" s="3"/>
      <c r="G676" s="3"/>
      <c r="H676" s="5"/>
      <c r="I676" s="5"/>
      <c r="J676" s="5"/>
      <c r="K676" s="5"/>
      <c r="L676" s="6"/>
      <c r="M676" s="6"/>
      <c r="N676" s="7"/>
      <c r="O676" s="3"/>
      <c r="P676" s="3"/>
      <c r="Q676" s="3"/>
      <c r="R676" s="3"/>
    </row>
    <row x14ac:dyDescent="0.25" r="677" customHeight="1" ht="18.75">
      <c r="A677" s="10" t="s">
        <v>744</v>
      </c>
      <c r="B677" s="11">
        <v>50</v>
      </c>
      <c r="C677" s="3"/>
      <c r="D677" s="3"/>
      <c r="E677" s="5"/>
      <c r="F677" s="3"/>
      <c r="G677" s="3"/>
      <c r="H677" s="5"/>
      <c r="I677" s="5"/>
      <c r="J677" s="5"/>
      <c r="K677" s="5"/>
      <c r="L677" s="6"/>
      <c r="M677" s="6"/>
      <c r="N677" s="7"/>
      <c r="O677" s="3"/>
      <c r="P677" s="3"/>
      <c r="Q677" s="3"/>
      <c r="R677" s="3"/>
    </row>
    <row x14ac:dyDescent="0.25" r="678" customHeight="1" ht="18.75">
      <c r="A678" s="10" t="s">
        <v>745</v>
      </c>
      <c r="B678" s="11">
        <v>50</v>
      </c>
      <c r="C678" s="3"/>
      <c r="D678" s="3"/>
      <c r="E678" s="5"/>
      <c r="F678" s="3"/>
      <c r="G678" s="3"/>
      <c r="H678" s="5"/>
      <c r="I678" s="5"/>
      <c r="J678" s="5"/>
      <c r="K678" s="5"/>
      <c r="L678" s="6"/>
      <c r="M678" s="6"/>
      <c r="N678" s="7"/>
      <c r="O678" s="3"/>
      <c r="P678" s="3"/>
      <c r="Q678" s="3"/>
      <c r="R678" s="3"/>
    </row>
    <row x14ac:dyDescent="0.25" r="679" customHeight="1" ht="18.75">
      <c r="A679" s="10" t="s">
        <v>746</v>
      </c>
      <c r="B679" s="11">
        <v>50</v>
      </c>
      <c r="C679" s="3"/>
      <c r="D679" s="3"/>
      <c r="E679" s="5"/>
      <c r="F679" s="3"/>
      <c r="G679" s="3"/>
      <c r="H679" s="5"/>
      <c r="I679" s="5"/>
      <c r="J679" s="5"/>
      <c r="K679" s="5"/>
      <c r="L679" s="6"/>
      <c r="M679" s="6"/>
      <c r="N679" s="7"/>
      <c r="O679" s="3"/>
      <c r="P679" s="3"/>
      <c r="Q679" s="3"/>
      <c r="R679" s="3"/>
    </row>
    <row x14ac:dyDescent="0.25" r="680" customHeight="1" ht="18.75">
      <c r="A680" s="10" t="s">
        <v>747</v>
      </c>
      <c r="B680" s="11">
        <v>50</v>
      </c>
      <c r="C680" s="3"/>
      <c r="D680" s="3"/>
      <c r="E680" s="5"/>
      <c r="F680" s="3"/>
      <c r="G680" s="3"/>
      <c r="H680" s="5"/>
      <c r="I680" s="5"/>
      <c r="J680" s="5"/>
      <c r="K680" s="5"/>
      <c r="L680" s="6"/>
      <c r="M680" s="6"/>
      <c r="N680" s="7"/>
      <c r="O680" s="3"/>
      <c r="P680" s="3"/>
      <c r="Q680" s="3"/>
      <c r="R680" s="3"/>
    </row>
    <row x14ac:dyDescent="0.25" r="681" customHeight="1" ht="18.75">
      <c r="A681" s="10" t="s">
        <v>748</v>
      </c>
      <c r="B681" s="11">
        <v>50</v>
      </c>
      <c r="C681" s="3"/>
      <c r="D681" s="3"/>
      <c r="E681" s="5"/>
      <c r="F681" s="3"/>
      <c r="G681" s="3"/>
      <c r="H681" s="5"/>
      <c r="I681" s="5"/>
      <c r="J681" s="5"/>
      <c r="K681" s="5"/>
      <c r="L681" s="6"/>
      <c r="M681" s="6"/>
      <c r="N681" s="7"/>
      <c r="O681" s="3"/>
      <c r="P681" s="3"/>
      <c r="Q681" s="3"/>
      <c r="R681" s="3"/>
    </row>
    <row x14ac:dyDescent="0.25" r="682" customHeight="1" ht="18.75">
      <c r="A682" s="10" t="s">
        <v>749</v>
      </c>
      <c r="B682" s="11">
        <v>50</v>
      </c>
      <c r="C682" s="3"/>
      <c r="D682" s="3"/>
      <c r="E682" s="5"/>
      <c r="F682" s="3"/>
      <c r="G682" s="3"/>
      <c r="H682" s="5"/>
      <c r="I682" s="5"/>
      <c r="J682" s="5"/>
      <c r="K682" s="5"/>
      <c r="L682" s="6"/>
      <c r="M682" s="6"/>
      <c r="N682" s="7"/>
      <c r="O682" s="3"/>
      <c r="P682" s="3"/>
      <c r="Q682" s="3"/>
      <c r="R682" s="3"/>
    </row>
    <row x14ac:dyDescent="0.25" r="683" customHeight="1" ht="18.75">
      <c r="A683" s="10" t="s">
        <v>750</v>
      </c>
      <c r="B683" s="11">
        <v>50</v>
      </c>
      <c r="C683" s="3"/>
      <c r="D683" s="3"/>
      <c r="E683" s="5"/>
      <c r="F683" s="3"/>
      <c r="G683" s="3"/>
      <c r="H683" s="5"/>
      <c r="I683" s="5"/>
      <c r="J683" s="5"/>
      <c r="K683" s="5"/>
      <c r="L683" s="6"/>
      <c r="M683" s="6"/>
      <c r="N683" s="7"/>
      <c r="O683" s="3"/>
      <c r="P683" s="3"/>
      <c r="Q683" s="3"/>
      <c r="R683" s="3"/>
    </row>
    <row x14ac:dyDescent="0.25" r="684" customHeight="1" ht="18.75">
      <c r="A684" s="10" t="s">
        <v>751</v>
      </c>
      <c r="B684" s="11">
        <v>50</v>
      </c>
      <c r="C684" s="3"/>
      <c r="D684" s="3"/>
      <c r="E684" s="5"/>
      <c r="F684" s="3"/>
      <c r="G684" s="3"/>
      <c r="H684" s="5"/>
      <c r="I684" s="5"/>
      <c r="J684" s="5"/>
      <c r="K684" s="5"/>
      <c r="L684" s="6"/>
      <c r="M684" s="6"/>
      <c r="N684" s="7"/>
      <c r="O684" s="3"/>
      <c r="P684" s="3"/>
      <c r="Q684" s="3"/>
      <c r="R684" s="3"/>
    </row>
    <row x14ac:dyDescent="0.25" r="685" customHeight="1" ht="18.75">
      <c r="A685" s="10" t="s">
        <v>752</v>
      </c>
      <c r="B685" s="11">
        <v>50</v>
      </c>
      <c r="C685" s="3"/>
      <c r="D685" s="3"/>
      <c r="E685" s="5"/>
      <c r="F685" s="3"/>
      <c r="G685" s="3"/>
      <c r="H685" s="5"/>
      <c r="I685" s="5"/>
      <c r="J685" s="5"/>
      <c r="K685" s="5"/>
      <c r="L685" s="6"/>
      <c r="M685" s="6"/>
      <c r="N685" s="7"/>
      <c r="O685" s="3"/>
      <c r="P685" s="3"/>
      <c r="Q685" s="3"/>
      <c r="R685" s="3"/>
    </row>
    <row x14ac:dyDescent="0.25" r="686" customHeight="1" ht="18.75">
      <c r="A686" s="10" t="s">
        <v>753</v>
      </c>
      <c r="B686" s="11">
        <v>50</v>
      </c>
      <c r="C686" s="3"/>
      <c r="D686" s="3"/>
      <c r="E686" s="5"/>
      <c r="F686" s="3"/>
      <c r="G686" s="3"/>
      <c r="H686" s="5"/>
      <c r="I686" s="5"/>
      <c r="J686" s="5"/>
      <c r="K686" s="5"/>
      <c r="L686" s="6"/>
      <c r="M686" s="6"/>
      <c r="N686" s="7"/>
      <c r="O686" s="3"/>
      <c r="P686" s="3"/>
      <c r="Q686" s="3"/>
      <c r="R686" s="3"/>
    </row>
    <row x14ac:dyDescent="0.25" r="687" customHeight="1" ht="18.75">
      <c r="A687" s="10" t="s">
        <v>754</v>
      </c>
      <c r="B687" s="11">
        <v>50</v>
      </c>
      <c r="C687" s="3"/>
      <c r="D687" s="3"/>
      <c r="E687" s="5"/>
      <c r="F687" s="3"/>
      <c r="G687" s="3"/>
      <c r="H687" s="5"/>
      <c r="I687" s="5"/>
      <c r="J687" s="5"/>
      <c r="K687" s="5"/>
      <c r="L687" s="6"/>
      <c r="M687" s="6"/>
      <c r="N687" s="7"/>
      <c r="O687" s="3"/>
      <c r="P687" s="3"/>
      <c r="Q687" s="3"/>
      <c r="R687" s="3"/>
    </row>
    <row x14ac:dyDescent="0.25" r="688" customHeight="1" ht="18.75">
      <c r="A688" s="10" t="s">
        <v>755</v>
      </c>
      <c r="B688" s="11">
        <v>51</v>
      </c>
      <c r="C688" s="3"/>
      <c r="D688" s="3"/>
      <c r="E688" s="5"/>
      <c r="F688" s="3"/>
      <c r="G688" s="3"/>
      <c r="H688" s="5"/>
      <c r="I688" s="5"/>
      <c r="J688" s="5"/>
      <c r="K688" s="5"/>
      <c r="L688" s="6"/>
      <c r="M688" s="6"/>
      <c r="N688" s="7"/>
      <c r="O688" s="3"/>
      <c r="P688" s="3"/>
      <c r="Q688" s="3"/>
      <c r="R688" s="3"/>
    </row>
    <row x14ac:dyDescent="0.25" r="689" customHeight="1" ht="18.75">
      <c r="A689" s="10" t="s">
        <v>756</v>
      </c>
      <c r="B689" s="11">
        <v>51</v>
      </c>
      <c r="C689" s="3"/>
      <c r="D689" s="3"/>
      <c r="E689" s="5"/>
      <c r="F689" s="3"/>
      <c r="G689" s="3"/>
      <c r="H689" s="5"/>
      <c r="I689" s="5"/>
      <c r="J689" s="5"/>
      <c r="K689" s="5"/>
      <c r="L689" s="6"/>
      <c r="M689" s="6"/>
      <c r="N689" s="7"/>
      <c r="O689" s="3"/>
      <c r="P689" s="3"/>
      <c r="Q689" s="3"/>
      <c r="R689" s="3"/>
    </row>
    <row x14ac:dyDescent="0.25" r="690" customHeight="1" ht="18.75">
      <c r="A690" s="10" t="s">
        <v>757</v>
      </c>
      <c r="B690" s="11">
        <v>51</v>
      </c>
      <c r="C690" s="3"/>
      <c r="D690" s="3"/>
      <c r="E690" s="5"/>
      <c r="F690" s="3"/>
      <c r="G690" s="3"/>
      <c r="H690" s="5"/>
      <c r="I690" s="5"/>
      <c r="J690" s="5"/>
      <c r="K690" s="5"/>
      <c r="L690" s="6"/>
      <c r="M690" s="6"/>
      <c r="N690" s="7"/>
      <c r="O690" s="3"/>
      <c r="P690" s="3"/>
      <c r="Q690" s="3"/>
      <c r="R690" s="3"/>
    </row>
    <row x14ac:dyDescent="0.25" r="691" customHeight="1" ht="18.75">
      <c r="A691" s="10" t="s">
        <v>758</v>
      </c>
      <c r="B691" s="11">
        <v>51</v>
      </c>
      <c r="C691" s="3"/>
      <c r="D691" s="3"/>
      <c r="E691" s="5"/>
      <c r="F691" s="3"/>
      <c r="G691" s="3"/>
      <c r="H691" s="5"/>
      <c r="I691" s="5"/>
      <c r="J691" s="5"/>
      <c r="K691" s="5"/>
      <c r="L691" s="6"/>
      <c r="M691" s="6"/>
      <c r="N691" s="7"/>
      <c r="O691" s="3"/>
      <c r="P691" s="3"/>
      <c r="Q691" s="3"/>
      <c r="R691" s="3"/>
    </row>
    <row x14ac:dyDescent="0.25" r="692" customHeight="1" ht="18.75">
      <c r="A692" s="10" t="s">
        <v>759</v>
      </c>
      <c r="B692" s="11">
        <v>51</v>
      </c>
      <c r="C692" s="3"/>
      <c r="D692" s="3"/>
      <c r="E692" s="5"/>
      <c r="F692" s="3"/>
      <c r="G692" s="3"/>
      <c r="H692" s="5"/>
      <c r="I692" s="5"/>
      <c r="J692" s="5"/>
      <c r="K692" s="5"/>
      <c r="L692" s="6"/>
      <c r="M692" s="6"/>
      <c r="N692" s="7"/>
      <c r="O692" s="3"/>
      <c r="P692" s="3"/>
      <c r="Q692" s="3"/>
      <c r="R692" s="3"/>
    </row>
    <row x14ac:dyDescent="0.25" r="693" customHeight="1" ht="18.75">
      <c r="A693" s="10" t="s">
        <v>760</v>
      </c>
      <c r="B693" s="11">
        <v>51</v>
      </c>
      <c r="C693" s="3"/>
      <c r="D693" s="3"/>
      <c r="E693" s="5"/>
      <c r="F693" s="3"/>
      <c r="G693" s="3"/>
      <c r="H693" s="5"/>
      <c r="I693" s="5"/>
      <c r="J693" s="5"/>
      <c r="K693" s="5"/>
      <c r="L693" s="6"/>
      <c r="M693" s="6"/>
      <c r="N693" s="7"/>
      <c r="O693" s="3"/>
      <c r="P693" s="3"/>
      <c r="Q693" s="3"/>
      <c r="R693" s="3"/>
    </row>
    <row x14ac:dyDescent="0.25" r="694" customHeight="1" ht="18.75">
      <c r="A694" s="10" t="s">
        <v>761</v>
      </c>
      <c r="B694" s="11">
        <v>51</v>
      </c>
      <c r="C694" s="3"/>
      <c r="D694" s="3"/>
      <c r="E694" s="5"/>
      <c r="F694" s="3"/>
      <c r="G694" s="3"/>
      <c r="H694" s="5"/>
      <c r="I694" s="5"/>
      <c r="J694" s="5"/>
      <c r="K694" s="5"/>
      <c r="L694" s="6"/>
      <c r="M694" s="6"/>
      <c r="N694" s="7"/>
      <c r="O694" s="3"/>
      <c r="P694" s="3"/>
      <c r="Q694" s="3"/>
      <c r="R694" s="3"/>
    </row>
    <row x14ac:dyDescent="0.25" r="695" customHeight="1" ht="18.75">
      <c r="A695" s="10" t="s">
        <v>762</v>
      </c>
      <c r="B695" s="11">
        <v>51</v>
      </c>
      <c r="C695" s="3"/>
      <c r="D695" s="3"/>
      <c r="E695" s="5"/>
      <c r="F695" s="3"/>
      <c r="G695" s="3"/>
      <c r="H695" s="5"/>
      <c r="I695" s="5"/>
      <c r="J695" s="5"/>
      <c r="K695" s="5"/>
      <c r="L695" s="6"/>
      <c r="M695" s="6"/>
      <c r="N695" s="7"/>
      <c r="O695" s="3"/>
      <c r="P695" s="3"/>
      <c r="Q695" s="3"/>
      <c r="R695" s="3"/>
    </row>
    <row x14ac:dyDescent="0.25" r="696" customHeight="1" ht="18.75">
      <c r="A696" s="10" t="s">
        <v>763</v>
      </c>
      <c r="B696" s="11">
        <v>51</v>
      </c>
      <c r="C696" s="3"/>
      <c r="D696" s="3"/>
      <c r="E696" s="5"/>
      <c r="F696" s="3"/>
      <c r="G696" s="3"/>
      <c r="H696" s="5"/>
      <c r="I696" s="5"/>
      <c r="J696" s="5"/>
      <c r="K696" s="5"/>
      <c r="L696" s="6"/>
      <c r="M696" s="6"/>
      <c r="N696" s="7"/>
      <c r="O696" s="3"/>
      <c r="P696" s="3"/>
      <c r="Q696" s="3"/>
      <c r="R696" s="3"/>
    </row>
    <row x14ac:dyDescent="0.25" r="697" customHeight="1" ht="18.75">
      <c r="A697" s="10" t="s">
        <v>764</v>
      </c>
      <c r="B697" s="11">
        <v>51</v>
      </c>
      <c r="C697" s="3"/>
      <c r="D697" s="3"/>
      <c r="E697" s="5"/>
      <c r="F697" s="3"/>
      <c r="G697" s="3"/>
      <c r="H697" s="5"/>
      <c r="I697" s="5"/>
      <c r="J697" s="5"/>
      <c r="K697" s="5"/>
      <c r="L697" s="6"/>
      <c r="M697" s="6"/>
      <c r="N697" s="7"/>
      <c r="O697" s="3"/>
      <c r="P697" s="3"/>
      <c r="Q697" s="3"/>
      <c r="R697" s="3"/>
    </row>
    <row x14ac:dyDescent="0.25" r="698" customHeight="1" ht="18.75">
      <c r="A698" s="10" t="s">
        <v>765</v>
      </c>
      <c r="B698" s="11">
        <v>51</v>
      </c>
      <c r="C698" s="3"/>
      <c r="D698" s="3"/>
      <c r="E698" s="5"/>
      <c r="F698" s="3"/>
      <c r="G698" s="3"/>
      <c r="H698" s="5"/>
      <c r="I698" s="5"/>
      <c r="J698" s="5"/>
      <c r="K698" s="5"/>
      <c r="L698" s="6"/>
      <c r="M698" s="6"/>
      <c r="N698" s="7"/>
      <c r="O698" s="3"/>
      <c r="P698" s="3"/>
      <c r="Q698" s="3"/>
      <c r="R698" s="3"/>
    </row>
    <row x14ac:dyDescent="0.25" r="699" customHeight="1" ht="18.75">
      <c r="A699" s="10" t="s">
        <v>766</v>
      </c>
      <c r="B699" s="11">
        <v>51</v>
      </c>
      <c r="C699" s="3"/>
      <c r="D699" s="3"/>
      <c r="E699" s="5"/>
      <c r="F699" s="3"/>
      <c r="G699" s="3"/>
      <c r="H699" s="5"/>
      <c r="I699" s="5"/>
      <c r="J699" s="5"/>
      <c r="K699" s="5"/>
      <c r="L699" s="6"/>
      <c r="M699" s="6"/>
      <c r="N699" s="7"/>
      <c r="O699" s="3"/>
      <c r="P699" s="3"/>
      <c r="Q699" s="3"/>
      <c r="R699" s="3"/>
    </row>
    <row x14ac:dyDescent="0.25" r="700" customHeight="1" ht="18.75">
      <c r="A700" s="10" t="s">
        <v>767</v>
      </c>
      <c r="B700" s="11">
        <v>51</v>
      </c>
      <c r="C700" s="3"/>
      <c r="D700" s="3"/>
      <c r="E700" s="5"/>
      <c r="F700" s="3"/>
      <c r="G700" s="3"/>
      <c r="H700" s="5"/>
      <c r="I700" s="5"/>
      <c r="J700" s="5"/>
      <c r="K700" s="5"/>
      <c r="L700" s="6"/>
      <c r="M700" s="6"/>
      <c r="N700" s="7"/>
      <c r="O700" s="3"/>
      <c r="P700" s="3"/>
      <c r="Q700" s="3"/>
      <c r="R700" s="3"/>
    </row>
    <row x14ac:dyDescent="0.25" r="701" customHeight="1" ht="18.75">
      <c r="A701" s="10" t="s">
        <v>768</v>
      </c>
      <c r="B701" s="11">
        <v>51</v>
      </c>
      <c r="C701" s="3"/>
      <c r="D701" s="3"/>
      <c r="E701" s="5"/>
      <c r="F701" s="3"/>
      <c r="G701" s="3"/>
      <c r="H701" s="5"/>
      <c r="I701" s="5"/>
      <c r="J701" s="5"/>
      <c r="K701" s="5"/>
      <c r="L701" s="6"/>
      <c r="M701" s="6"/>
      <c r="N701" s="7"/>
      <c r="O701" s="3"/>
      <c r="P701" s="3"/>
      <c r="Q701" s="3"/>
      <c r="R701" s="3"/>
    </row>
    <row x14ac:dyDescent="0.25" r="702" customHeight="1" ht="18.75">
      <c r="A702" s="10" t="s">
        <v>769</v>
      </c>
      <c r="B702" s="11">
        <v>51</v>
      </c>
      <c r="C702" s="3"/>
      <c r="D702" s="3"/>
      <c r="E702" s="5"/>
      <c r="F702" s="3"/>
      <c r="G702" s="3"/>
      <c r="H702" s="5"/>
      <c r="I702" s="5"/>
      <c r="J702" s="5"/>
      <c r="K702" s="5"/>
      <c r="L702" s="6"/>
      <c r="M702" s="6"/>
      <c r="N702" s="7"/>
      <c r="O702" s="3"/>
      <c r="P702" s="3"/>
      <c r="Q702" s="3"/>
      <c r="R702" s="3"/>
    </row>
    <row x14ac:dyDescent="0.25" r="703" customHeight="1" ht="18.75">
      <c r="A703" s="10" t="s">
        <v>770</v>
      </c>
      <c r="B703" s="11">
        <v>51</v>
      </c>
      <c r="C703" s="3"/>
      <c r="D703" s="3"/>
      <c r="E703" s="5"/>
      <c r="F703" s="3"/>
      <c r="G703" s="3"/>
      <c r="H703" s="5"/>
      <c r="I703" s="5"/>
      <c r="J703" s="5"/>
      <c r="K703" s="5"/>
      <c r="L703" s="6"/>
      <c r="M703" s="6"/>
      <c r="N703" s="7"/>
      <c r="O703" s="3"/>
      <c r="P703" s="3"/>
      <c r="Q703" s="3"/>
      <c r="R703" s="3"/>
    </row>
    <row x14ac:dyDescent="0.25" r="704" customHeight="1" ht="18.75">
      <c r="A704" s="10" t="s">
        <v>771</v>
      </c>
      <c r="B704" s="11">
        <v>51</v>
      </c>
      <c r="C704" s="3"/>
      <c r="D704" s="3"/>
      <c r="E704" s="5"/>
      <c r="F704" s="3"/>
      <c r="G704" s="3"/>
      <c r="H704" s="5"/>
      <c r="I704" s="5"/>
      <c r="J704" s="5"/>
      <c r="K704" s="5"/>
      <c r="L704" s="6"/>
      <c r="M704" s="6"/>
      <c r="N704" s="7"/>
      <c r="O704" s="3"/>
      <c r="P704" s="3"/>
      <c r="Q704" s="3"/>
      <c r="R704" s="3"/>
    </row>
    <row x14ac:dyDescent="0.25" r="705" customHeight="1" ht="18.75">
      <c r="A705" s="10" t="s">
        <v>772</v>
      </c>
      <c r="B705" s="11">
        <v>51</v>
      </c>
      <c r="C705" s="3"/>
      <c r="D705" s="3"/>
      <c r="E705" s="5"/>
      <c r="F705" s="3"/>
      <c r="G705" s="3"/>
      <c r="H705" s="5"/>
      <c r="I705" s="5"/>
      <c r="J705" s="5"/>
      <c r="K705" s="5"/>
      <c r="L705" s="6"/>
      <c r="M705" s="6"/>
      <c r="N705" s="7"/>
      <c r="O705" s="3"/>
      <c r="P705" s="3"/>
      <c r="Q705" s="3"/>
      <c r="R705" s="3"/>
    </row>
    <row x14ac:dyDescent="0.25" r="706" customHeight="1" ht="18.75">
      <c r="A706" s="10" t="s">
        <v>773</v>
      </c>
      <c r="B706" s="11">
        <v>51</v>
      </c>
      <c r="C706" s="3"/>
      <c r="D706" s="3"/>
      <c r="E706" s="5"/>
      <c r="F706" s="3"/>
      <c r="G706" s="3"/>
      <c r="H706" s="5"/>
      <c r="I706" s="5"/>
      <c r="J706" s="5"/>
      <c r="K706" s="5"/>
      <c r="L706" s="6"/>
      <c r="M706" s="6"/>
      <c r="N706" s="7"/>
      <c r="O706" s="3"/>
      <c r="P706" s="3"/>
      <c r="Q706" s="3"/>
      <c r="R706" s="3"/>
    </row>
    <row x14ac:dyDescent="0.25" r="707" customHeight="1" ht="18.75">
      <c r="A707" s="10" t="s">
        <v>774</v>
      </c>
      <c r="B707" s="11">
        <v>51</v>
      </c>
      <c r="C707" s="3"/>
      <c r="D707" s="3"/>
      <c r="E707" s="5"/>
      <c r="F707" s="3"/>
      <c r="G707" s="3"/>
      <c r="H707" s="5"/>
      <c r="I707" s="5"/>
      <c r="J707" s="5"/>
      <c r="K707" s="5"/>
      <c r="L707" s="6"/>
      <c r="M707" s="6"/>
      <c r="N707" s="7"/>
      <c r="O707" s="3"/>
      <c r="P707" s="3"/>
      <c r="Q707" s="3"/>
      <c r="R707" s="3"/>
    </row>
    <row x14ac:dyDescent="0.25" r="708" customHeight="1" ht="18.75">
      <c r="A708" s="10" t="s">
        <v>775</v>
      </c>
      <c r="B708" s="11">
        <v>51</v>
      </c>
      <c r="C708" s="3"/>
      <c r="D708" s="3"/>
      <c r="E708" s="5"/>
      <c r="F708" s="3"/>
      <c r="G708" s="3"/>
      <c r="H708" s="5"/>
      <c r="I708" s="5"/>
      <c r="J708" s="5"/>
      <c r="K708" s="5"/>
      <c r="L708" s="6"/>
      <c r="M708" s="6"/>
      <c r="N708" s="7"/>
      <c r="O708" s="3"/>
      <c r="P708" s="3"/>
      <c r="Q708" s="3"/>
      <c r="R708" s="3"/>
    </row>
    <row x14ac:dyDescent="0.25" r="709" customHeight="1" ht="18.75">
      <c r="A709" s="10" t="s">
        <v>776</v>
      </c>
      <c r="B709" s="11">
        <v>51</v>
      </c>
      <c r="C709" s="3"/>
      <c r="D709" s="3"/>
      <c r="E709" s="5"/>
      <c r="F709" s="3"/>
      <c r="G709" s="3"/>
      <c r="H709" s="5"/>
      <c r="I709" s="5"/>
      <c r="J709" s="5"/>
      <c r="K709" s="5"/>
      <c r="L709" s="6"/>
      <c r="M709" s="6"/>
      <c r="N709" s="7"/>
      <c r="O709" s="3"/>
      <c r="P709" s="3"/>
      <c r="Q709" s="3"/>
      <c r="R709" s="3"/>
    </row>
    <row x14ac:dyDescent="0.25" r="710" customHeight="1" ht="18.75">
      <c r="A710" s="10" t="s">
        <v>777</v>
      </c>
      <c r="B710" s="11">
        <v>51</v>
      </c>
      <c r="C710" s="3"/>
      <c r="D710" s="3"/>
      <c r="E710" s="5"/>
      <c r="F710" s="3"/>
      <c r="G710" s="3"/>
      <c r="H710" s="5"/>
      <c r="I710" s="5"/>
      <c r="J710" s="5"/>
      <c r="K710" s="5"/>
      <c r="L710" s="6"/>
      <c r="M710" s="6"/>
      <c r="N710" s="7"/>
      <c r="O710" s="3"/>
      <c r="P710" s="3"/>
      <c r="Q710" s="3"/>
      <c r="R710" s="3"/>
    </row>
    <row x14ac:dyDescent="0.25" r="711" customHeight="1" ht="18.75">
      <c r="A711" s="10" t="s">
        <v>778</v>
      </c>
      <c r="B711" s="11">
        <v>51</v>
      </c>
      <c r="C711" s="3"/>
      <c r="D711" s="3"/>
      <c r="E711" s="5"/>
      <c r="F711" s="3"/>
      <c r="G711" s="3"/>
      <c r="H711" s="5"/>
      <c r="I711" s="5"/>
      <c r="J711" s="5"/>
      <c r="K711" s="5"/>
      <c r="L711" s="6"/>
      <c r="M711" s="6"/>
      <c r="N711" s="7"/>
      <c r="O711" s="3"/>
      <c r="P711" s="3"/>
      <c r="Q711" s="3"/>
      <c r="R711" s="3"/>
    </row>
    <row x14ac:dyDescent="0.25" r="712" customHeight="1" ht="18.75">
      <c r="A712" s="10" t="s">
        <v>779</v>
      </c>
      <c r="B712" s="19">
        <v>51.5</v>
      </c>
      <c r="C712" s="3"/>
      <c r="D712" s="3"/>
      <c r="E712" s="5"/>
      <c r="F712" s="3"/>
      <c r="G712" s="3"/>
      <c r="H712" s="5"/>
      <c r="I712" s="5"/>
      <c r="J712" s="5"/>
      <c r="K712" s="5"/>
      <c r="L712" s="6"/>
      <c r="M712" s="6"/>
      <c r="N712" s="7"/>
      <c r="O712" s="3"/>
      <c r="P712" s="3"/>
      <c r="Q712" s="3"/>
      <c r="R712" s="3"/>
    </row>
    <row x14ac:dyDescent="0.25" r="713" customHeight="1" ht="18.75">
      <c r="A713" s="10" t="s">
        <v>780</v>
      </c>
      <c r="B713" s="11">
        <v>52</v>
      </c>
      <c r="C713" s="3"/>
      <c r="D713" s="3"/>
      <c r="E713" s="5"/>
      <c r="F713" s="3"/>
      <c r="G713" s="3"/>
      <c r="H713" s="5"/>
      <c r="I713" s="5"/>
      <c r="J713" s="5"/>
      <c r="K713" s="5"/>
      <c r="L713" s="6"/>
      <c r="M713" s="6"/>
      <c r="N713" s="7"/>
      <c r="O713" s="3"/>
      <c r="P713" s="3"/>
      <c r="Q713" s="3"/>
      <c r="R713" s="3"/>
    </row>
    <row x14ac:dyDescent="0.25" r="714" customHeight="1" ht="18.75">
      <c r="A714" s="10" t="s">
        <v>781</v>
      </c>
      <c r="B714" s="11">
        <v>52</v>
      </c>
      <c r="C714" s="3"/>
      <c r="D714" s="3"/>
      <c r="E714" s="5"/>
      <c r="F714" s="3"/>
      <c r="G714" s="3"/>
      <c r="H714" s="5"/>
      <c r="I714" s="5"/>
      <c r="J714" s="5"/>
      <c r="K714" s="5"/>
      <c r="L714" s="6"/>
      <c r="M714" s="6"/>
      <c r="N714" s="7"/>
      <c r="O714" s="3"/>
      <c r="P714" s="3"/>
      <c r="Q714" s="3"/>
      <c r="R714" s="3"/>
    </row>
    <row x14ac:dyDescent="0.25" r="715" customHeight="1" ht="18.75">
      <c r="A715" s="10" t="s">
        <v>782</v>
      </c>
      <c r="B715" s="11">
        <v>52</v>
      </c>
      <c r="C715" s="3"/>
      <c r="D715" s="3"/>
      <c r="E715" s="5"/>
      <c r="F715" s="3"/>
      <c r="G715" s="3"/>
      <c r="H715" s="5"/>
      <c r="I715" s="5"/>
      <c r="J715" s="5"/>
      <c r="K715" s="5"/>
      <c r="L715" s="6"/>
      <c r="M715" s="6"/>
      <c r="N715" s="7"/>
      <c r="O715" s="3"/>
      <c r="P715" s="3"/>
      <c r="Q715" s="3"/>
      <c r="R715" s="3"/>
    </row>
    <row x14ac:dyDescent="0.25" r="716" customHeight="1" ht="18.75">
      <c r="A716" s="10" t="s">
        <v>783</v>
      </c>
      <c r="B716" s="11">
        <v>52</v>
      </c>
      <c r="C716" s="3"/>
      <c r="D716" s="3"/>
      <c r="E716" s="5"/>
      <c r="F716" s="3"/>
      <c r="G716" s="3"/>
      <c r="H716" s="5"/>
      <c r="I716" s="5"/>
      <c r="J716" s="5"/>
      <c r="K716" s="5"/>
      <c r="L716" s="6"/>
      <c r="M716" s="6"/>
      <c r="N716" s="7"/>
      <c r="O716" s="3"/>
      <c r="P716" s="3"/>
      <c r="Q716" s="3"/>
      <c r="R716" s="3"/>
    </row>
    <row x14ac:dyDescent="0.25" r="717" customHeight="1" ht="18.75">
      <c r="A717" s="10" t="s">
        <v>784</v>
      </c>
      <c r="B717" s="11">
        <v>52</v>
      </c>
      <c r="C717" s="3"/>
      <c r="D717" s="3"/>
      <c r="E717" s="5"/>
      <c r="F717" s="3"/>
      <c r="G717" s="3"/>
      <c r="H717" s="5"/>
      <c r="I717" s="5"/>
      <c r="J717" s="5"/>
      <c r="K717" s="5"/>
      <c r="L717" s="6"/>
      <c r="M717" s="6"/>
      <c r="N717" s="7"/>
      <c r="O717" s="3"/>
      <c r="P717" s="3"/>
      <c r="Q717" s="3"/>
      <c r="R717" s="3"/>
    </row>
    <row x14ac:dyDescent="0.25" r="718" customHeight="1" ht="18.75">
      <c r="A718" s="10" t="s">
        <v>785</v>
      </c>
      <c r="B718" s="11">
        <v>52</v>
      </c>
      <c r="C718" s="3"/>
      <c r="D718" s="3"/>
      <c r="E718" s="5"/>
      <c r="F718" s="3"/>
      <c r="G718" s="3"/>
      <c r="H718" s="5"/>
      <c r="I718" s="5"/>
      <c r="J718" s="5"/>
      <c r="K718" s="5"/>
      <c r="L718" s="6"/>
      <c r="M718" s="6"/>
      <c r="N718" s="7"/>
      <c r="O718" s="3"/>
      <c r="P718" s="3"/>
      <c r="Q718" s="3"/>
      <c r="R718" s="3"/>
    </row>
    <row x14ac:dyDescent="0.25" r="719" customHeight="1" ht="18.75">
      <c r="A719" s="10" t="s">
        <v>786</v>
      </c>
      <c r="B719" s="11">
        <v>52</v>
      </c>
      <c r="C719" s="3"/>
      <c r="D719" s="3"/>
      <c r="E719" s="5"/>
      <c r="F719" s="3"/>
      <c r="G719" s="3"/>
      <c r="H719" s="5"/>
      <c r="I719" s="5"/>
      <c r="J719" s="5"/>
      <c r="K719" s="5"/>
      <c r="L719" s="6"/>
      <c r="M719" s="6"/>
      <c r="N719" s="7"/>
      <c r="O719" s="3"/>
      <c r="P719" s="3"/>
      <c r="Q719" s="3"/>
      <c r="R719" s="3"/>
    </row>
    <row x14ac:dyDescent="0.25" r="720" customHeight="1" ht="18.75">
      <c r="A720" s="10" t="s">
        <v>787</v>
      </c>
      <c r="B720" s="11">
        <v>52</v>
      </c>
      <c r="C720" s="3"/>
      <c r="D720" s="3"/>
      <c r="E720" s="5"/>
      <c r="F720" s="3"/>
      <c r="G720" s="3"/>
      <c r="H720" s="5"/>
      <c r="I720" s="5"/>
      <c r="J720" s="5"/>
      <c r="K720" s="5"/>
      <c r="L720" s="6"/>
      <c r="M720" s="6"/>
      <c r="N720" s="7"/>
      <c r="O720" s="3"/>
      <c r="P720" s="3"/>
      <c r="Q720" s="3"/>
      <c r="R720" s="3"/>
    </row>
    <row x14ac:dyDescent="0.25" r="721" customHeight="1" ht="18.75">
      <c r="A721" s="10" t="s">
        <v>788</v>
      </c>
      <c r="B721" s="11">
        <v>52</v>
      </c>
      <c r="C721" s="3"/>
      <c r="D721" s="3"/>
      <c r="E721" s="5"/>
      <c r="F721" s="3"/>
      <c r="G721" s="3"/>
      <c r="H721" s="5"/>
      <c r="I721" s="5"/>
      <c r="J721" s="5"/>
      <c r="K721" s="5"/>
      <c r="L721" s="6"/>
      <c r="M721" s="6"/>
      <c r="N721" s="7"/>
      <c r="O721" s="3"/>
      <c r="P721" s="3"/>
      <c r="Q721" s="3"/>
      <c r="R721" s="3"/>
    </row>
    <row x14ac:dyDescent="0.25" r="722" customHeight="1" ht="18.75">
      <c r="A722" s="10" t="s">
        <v>789</v>
      </c>
      <c r="B722" s="11">
        <v>52</v>
      </c>
      <c r="C722" s="3"/>
      <c r="D722" s="3"/>
      <c r="E722" s="5"/>
      <c r="F722" s="3"/>
      <c r="G722" s="3"/>
      <c r="H722" s="5"/>
      <c r="I722" s="5"/>
      <c r="J722" s="5"/>
      <c r="K722" s="5"/>
      <c r="L722" s="6"/>
      <c r="M722" s="6"/>
      <c r="N722" s="7"/>
      <c r="O722" s="3"/>
      <c r="P722" s="3"/>
      <c r="Q722" s="3"/>
      <c r="R722" s="3"/>
    </row>
    <row x14ac:dyDescent="0.25" r="723" customHeight="1" ht="18.75">
      <c r="A723" s="10" t="s">
        <v>790</v>
      </c>
      <c r="B723" s="11">
        <v>52</v>
      </c>
      <c r="C723" s="3"/>
      <c r="D723" s="3"/>
      <c r="E723" s="5"/>
      <c r="F723" s="3"/>
      <c r="G723" s="3"/>
      <c r="H723" s="5"/>
      <c r="I723" s="5"/>
      <c r="J723" s="5"/>
      <c r="K723" s="5"/>
      <c r="L723" s="6"/>
      <c r="M723" s="6"/>
      <c r="N723" s="7"/>
      <c r="O723" s="3"/>
      <c r="P723" s="3"/>
      <c r="Q723" s="3"/>
      <c r="R723" s="3"/>
    </row>
    <row x14ac:dyDescent="0.25" r="724" customHeight="1" ht="18.75">
      <c r="A724" s="10" t="s">
        <v>791</v>
      </c>
      <c r="B724" s="11">
        <v>52</v>
      </c>
      <c r="C724" s="3"/>
      <c r="D724" s="3"/>
      <c r="E724" s="5"/>
      <c r="F724" s="3"/>
      <c r="G724" s="3"/>
      <c r="H724" s="5"/>
      <c r="I724" s="5"/>
      <c r="J724" s="5"/>
      <c r="K724" s="5"/>
      <c r="L724" s="6"/>
      <c r="M724" s="6"/>
      <c r="N724" s="7"/>
      <c r="O724" s="3"/>
      <c r="P724" s="3"/>
      <c r="Q724" s="3"/>
      <c r="R724" s="3"/>
    </row>
    <row x14ac:dyDescent="0.25" r="725" customHeight="1" ht="18.75">
      <c r="A725" s="10" t="s">
        <v>792</v>
      </c>
      <c r="B725" s="11">
        <v>52</v>
      </c>
      <c r="C725" s="3"/>
      <c r="D725" s="3"/>
      <c r="E725" s="5"/>
      <c r="F725" s="3"/>
      <c r="G725" s="3"/>
      <c r="H725" s="5"/>
      <c r="I725" s="5"/>
      <c r="J725" s="5"/>
      <c r="K725" s="5"/>
      <c r="L725" s="6"/>
      <c r="M725" s="6"/>
      <c r="N725" s="7"/>
      <c r="O725" s="3"/>
      <c r="P725" s="3"/>
      <c r="Q725" s="3"/>
      <c r="R725" s="3"/>
    </row>
    <row x14ac:dyDescent="0.25" r="726" customHeight="1" ht="18.75">
      <c r="A726" s="10" t="s">
        <v>793</v>
      </c>
      <c r="B726" s="11">
        <v>52</v>
      </c>
      <c r="C726" s="3"/>
      <c r="D726" s="3"/>
      <c r="E726" s="5"/>
      <c r="F726" s="3"/>
      <c r="G726" s="3"/>
      <c r="H726" s="5"/>
      <c r="I726" s="5"/>
      <c r="J726" s="5"/>
      <c r="K726" s="5"/>
      <c r="L726" s="6"/>
      <c r="M726" s="6"/>
      <c r="N726" s="7"/>
      <c r="O726" s="3"/>
      <c r="P726" s="3"/>
      <c r="Q726" s="3"/>
      <c r="R726" s="3"/>
    </row>
    <row x14ac:dyDescent="0.25" r="727" customHeight="1" ht="18.75">
      <c r="A727" s="10" t="s">
        <v>794</v>
      </c>
      <c r="B727" s="11">
        <v>52</v>
      </c>
      <c r="C727" s="3"/>
      <c r="D727" s="3"/>
      <c r="E727" s="5"/>
      <c r="F727" s="3"/>
      <c r="G727" s="3"/>
      <c r="H727" s="5"/>
      <c r="I727" s="5"/>
      <c r="J727" s="5"/>
      <c r="K727" s="5"/>
      <c r="L727" s="6"/>
      <c r="M727" s="6"/>
      <c r="N727" s="7"/>
      <c r="O727" s="3"/>
      <c r="P727" s="3"/>
      <c r="Q727" s="3"/>
      <c r="R727" s="3"/>
    </row>
    <row x14ac:dyDescent="0.25" r="728" customHeight="1" ht="18.75">
      <c r="A728" s="10" t="s">
        <v>795</v>
      </c>
      <c r="B728" s="11">
        <v>52</v>
      </c>
      <c r="C728" s="3"/>
      <c r="D728" s="3"/>
      <c r="E728" s="5"/>
      <c r="F728" s="3"/>
      <c r="G728" s="3"/>
      <c r="H728" s="5"/>
      <c r="I728" s="5"/>
      <c r="J728" s="5"/>
      <c r="K728" s="5"/>
      <c r="L728" s="6"/>
      <c r="M728" s="6"/>
      <c r="N728" s="7"/>
      <c r="O728" s="3"/>
      <c r="P728" s="3"/>
      <c r="Q728" s="3"/>
      <c r="R728" s="3"/>
    </row>
    <row x14ac:dyDescent="0.25" r="729" customHeight="1" ht="18.75">
      <c r="A729" s="10" t="s">
        <v>796</v>
      </c>
      <c r="B729" s="11">
        <v>52</v>
      </c>
      <c r="C729" s="3"/>
      <c r="D729" s="3"/>
      <c r="E729" s="5"/>
      <c r="F729" s="3"/>
      <c r="G729" s="3"/>
      <c r="H729" s="5"/>
      <c r="I729" s="5"/>
      <c r="J729" s="5"/>
      <c r="K729" s="5"/>
      <c r="L729" s="6"/>
      <c r="M729" s="6"/>
      <c r="N729" s="7"/>
      <c r="O729" s="3"/>
      <c r="P729" s="3"/>
      <c r="Q729" s="3"/>
      <c r="R729" s="3"/>
    </row>
    <row x14ac:dyDescent="0.25" r="730" customHeight="1" ht="18.75">
      <c r="A730" s="10" t="s">
        <v>797</v>
      </c>
      <c r="B730" s="11">
        <v>52</v>
      </c>
      <c r="C730" s="3"/>
      <c r="D730" s="3"/>
      <c r="E730" s="5"/>
      <c r="F730" s="3"/>
      <c r="G730" s="3"/>
      <c r="H730" s="5"/>
      <c r="I730" s="5"/>
      <c r="J730" s="5"/>
      <c r="K730" s="5"/>
      <c r="L730" s="6"/>
      <c r="M730" s="6"/>
      <c r="N730" s="7"/>
      <c r="O730" s="3"/>
      <c r="P730" s="3"/>
      <c r="Q730" s="3"/>
      <c r="R730" s="3"/>
    </row>
    <row x14ac:dyDescent="0.25" r="731" customHeight="1" ht="18.75">
      <c r="A731" s="10" t="s">
        <v>798</v>
      </c>
      <c r="B731" s="11">
        <v>52</v>
      </c>
      <c r="C731" s="3"/>
      <c r="D731" s="3"/>
      <c r="E731" s="5"/>
      <c r="F731" s="3"/>
      <c r="G731" s="3"/>
      <c r="H731" s="5"/>
      <c r="I731" s="5"/>
      <c r="J731" s="5"/>
      <c r="K731" s="5"/>
      <c r="L731" s="6"/>
      <c r="M731" s="6"/>
      <c r="N731" s="7"/>
      <c r="O731" s="3"/>
      <c r="P731" s="3"/>
      <c r="Q731" s="3"/>
      <c r="R731" s="3"/>
    </row>
    <row x14ac:dyDescent="0.25" r="732" customHeight="1" ht="18.75">
      <c r="A732" s="10" t="s">
        <v>799</v>
      </c>
      <c r="B732" s="11">
        <v>52</v>
      </c>
      <c r="C732" s="3"/>
      <c r="D732" s="3"/>
      <c r="E732" s="5"/>
      <c r="F732" s="3"/>
      <c r="G732" s="3"/>
      <c r="H732" s="5"/>
      <c r="I732" s="5"/>
      <c r="J732" s="5"/>
      <c r="K732" s="5"/>
      <c r="L732" s="6"/>
      <c r="M732" s="6"/>
      <c r="N732" s="7"/>
      <c r="O732" s="3"/>
      <c r="P732" s="3"/>
      <c r="Q732" s="3"/>
      <c r="R732" s="3"/>
    </row>
    <row x14ac:dyDescent="0.25" r="733" customHeight="1" ht="18.75">
      <c r="A733" s="10" t="s">
        <v>800</v>
      </c>
      <c r="B733" s="11">
        <v>52</v>
      </c>
      <c r="C733" s="3"/>
      <c r="D733" s="3"/>
      <c r="E733" s="5"/>
      <c r="F733" s="3"/>
      <c r="G733" s="3"/>
      <c r="H733" s="5"/>
      <c r="I733" s="5"/>
      <c r="J733" s="5"/>
      <c r="K733" s="5"/>
      <c r="L733" s="6"/>
      <c r="M733" s="6"/>
      <c r="N733" s="7"/>
      <c r="O733" s="3"/>
      <c r="P733" s="3"/>
      <c r="Q733" s="3"/>
      <c r="R733" s="3"/>
    </row>
    <row x14ac:dyDescent="0.25" r="734" customHeight="1" ht="18.75">
      <c r="A734" s="10" t="s">
        <v>801</v>
      </c>
      <c r="B734" s="11">
        <v>52</v>
      </c>
      <c r="C734" s="3"/>
      <c r="D734" s="3"/>
      <c r="E734" s="5"/>
      <c r="F734" s="3"/>
      <c r="G734" s="3"/>
      <c r="H734" s="5"/>
      <c r="I734" s="5"/>
      <c r="J734" s="5"/>
      <c r="K734" s="5"/>
      <c r="L734" s="6"/>
      <c r="M734" s="6"/>
      <c r="N734" s="7"/>
      <c r="O734" s="3"/>
      <c r="P734" s="3"/>
      <c r="Q734" s="3"/>
      <c r="R734" s="3"/>
    </row>
    <row x14ac:dyDescent="0.25" r="735" customHeight="1" ht="18.75">
      <c r="A735" s="10" t="s">
        <v>802</v>
      </c>
      <c r="B735" s="11">
        <v>52</v>
      </c>
      <c r="C735" s="3"/>
      <c r="D735" s="3"/>
      <c r="E735" s="5"/>
      <c r="F735" s="3"/>
      <c r="G735" s="3"/>
      <c r="H735" s="5"/>
      <c r="I735" s="5"/>
      <c r="J735" s="5"/>
      <c r="K735" s="5"/>
      <c r="L735" s="6"/>
      <c r="M735" s="6"/>
      <c r="N735" s="7"/>
      <c r="O735" s="3"/>
      <c r="P735" s="3"/>
      <c r="Q735" s="3"/>
      <c r="R735" s="3"/>
    </row>
    <row x14ac:dyDescent="0.25" r="736" customHeight="1" ht="18.75">
      <c r="A736" s="10" t="s">
        <v>803</v>
      </c>
      <c r="B736" s="11">
        <v>52</v>
      </c>
      <c r="C736" s="3"/>
      <c r="D736" s="3"/>
      <c r="E736" s="5"/>
      <c r="F736" s="3"/>
      <c r="G736" s="3"/>
      <c r="H736" s="5"/>
      <c r="I736" s="5"/>
      <c r="J736" s="5"/>
      <c r="K736" s="5"/>
      <c r="L736" s="6"/>
      <c r="M736" s="6"/>
      <c r="N736" s="7"/>
      <c r="O736" s="3"/>
      <c r="P736" s="3"/>
      <c r="Q736" s="3"/>
      <c r="R736" s="3"/>
    </row>
    <row x14ac:dyDescent="0.25" r="737" customHeight="1" ht="18.75">
      <c r="A737" s="10" t="s">
        <v>804</v>
      </c>
      <c r="B737" s="11">
        <v>52</v>
      </c>
      <c r="C737" s="3"/>
      <c r="D737" s="3"/>
      <c r="E737" s="5"/>
      <c r="F737" s="3"/>
      <c r="G737" s="3"/>
      <c r="H737" s="5"/>
      <c r="I737" s="5"/>
      <c r="J737" s="5"/>
      <c r="K737" s="5"/>
      <c r="L737" s="6"/>
      <c r="M737" s="6"/>
      <c r="N737" s="7"/>
      <c r="O737" s="3"/>
      <c r="P737" s="3"/>
      <c r="Q737" s="3"/>
      <c r="R737" s="3"/>
    </row>
    <row x14ac:dyDescent="0.25" r="738" customHeight="1" ht="18.75">
      <c r="A738" s="10" t="s">
        <v>805</v>
      </c>
      <c r="B738" s="11">
        <v>52</v>
      </c>
      <c r="C738" s="3"/>
      <c r="D738" s="3"/>
      <c r="E738" s="5"/>
      <c r="F738" s="3"/>
      <c r="G738" s="3"/>
      <c r="H738" s="5"/>
      <c r="I738" s="5"/>
      <c r="J738" s="5"/>
      <c r="K738" s="5"/>
      <c r="L738" s="6"/>
      <c r="M738" s="6"/>
      <c r="N738" s="7"/>
      <c r="O738" s="3"/>
      <c r="P738" s="3"/>
      <c r="Q738" s="3"/>
      <c r="R738" s="3"/>
    </row>
    <row x14ac:dyDescent="0.25" r="739" customHeight="1" ht="18.75">
      <c r="A739" s="10" t="s">
        <v>806</v>
      </c>
      <c r="B739" s="11">
        <v>52</v>
      </c>
      <c r="C739" s="3"/>
      <c r="D739" s="3"/>
      <c r="E739" s="5"/>
      <c r="F739" s="3"/>
      <c r="G739" s="3"/>
      <c r="H739" s="5"/>
      <c r="I739" s="5"/>
      <c r="J739" s="5"/>
      <c r="K739" s="5"/>
      <c r="L739" s="6"/>
      <c r="M739" s="6"/>
      <c r="N739" s="7"/>
      <c r="O739" s="3"/>
      <c r="P739" s="3"/>
      <c r="Q739" s="3"/>
      <c r="R739" s="3"/>
    </row>
    <row x14ac:dyDescent="0.25" r="740" customHeight="1" ht="18.75">
      <c r="A740" s="10" t="s">
        <v>807</v>
      </c>
      <c r="B740" s="11">
        <v>52</v>
      </c>
      <c r="C740" s="3"/>
      <c r="D740" s="3"/>
      <c r="E740" s="5"/>
      <c r="F740" s="3"/>
      <c r="G740" s="3"/>
      <c r="H740" s="5"/>
      <c r="I740" s="5"/>
      <c r="J740" s="5"/>
      <c r="K740" s="5"/>
      <c r="L740" s="6"/>
      <c r="M740" s="6"/>
      <c r="N740" s="7"/>
      <c r="O740" s="3"/>
      <c r="P740" s="3"/>
      <c r="Q740" s="3"/>
      <c r="R740" s="3"/>
    </row>
    <row x14ac:dyDescent="0.25" r="741" customHeight="1" ht="18.75">
      <c r="A741" s="10" t="s">
        <v>808</v>
      </c>
      <c r="B741" s="11">
        <v>52</v>
      </c>
      <c r="C741" s="3"/>
      <c r="D741" s="3"/>
      <c r="E741" s="5"/>
      <c r="F741" s="3"/>
      <c r="G741" s="3"/>
      <c r="H741" s="5"/>
      <c r="I741" s="5"/>
      <c r="J741" s="5"/>
      <c r="K741" s="5"/>
      <c r="L741" s="6"/>
      <c r="M741" s="6"/>
      <c r="N741" s="7"/>
      <c r="O741" s="3"/>
      <c r="P741" s="3"/>
      <c r="Q741" s="3"/>
      <c r="R741" s="3"/>
    </row>
    <row x14ac:dyDescent="0.25" r="742" customHeight="1" ht="18.75">
      <c r="A742" s="10" t="s">
        <v>809</v>
      </c>
      <c r="B742" s="11">
        <v>53</v>
      </c>
      <c r="C742" s="3"/>
      <c r="D742" s="3"/>
      <c r="E742" s="5"/>
      <c r="F742" s="3"/>
      <c r="G742" s="3"/>
      <c r="H742" s="5"/>
      <c r="I742" s="5"/>
      <c r="J742" s="5"/>
      <c r="K742" s="5"/>
      <c r="L742" s="6"/>
      <c r="M742" s="6"/>
      <c r="N742" s="7"/>
      <c r="O742" s="3"/>
      <c r="P742" s="3"/>
      <c r="Q742" s="3"/>
      <c r="R742" s="3"/>
    </row>
    <row x14ac:dyDescent="0.25" r="743" customHeight="1" ht="18.75">
      <c r="A743" s="10" t="s">
        <v>810</v>
      </c>
      <c r="B743" s="11">
        <v>53</v>
      </c>
      <c r="C743" s="3"/>
      <c r="D743" s="3"/>
      <c r="E743" s="5"/>
      <c r="F743" s="3"/>
      <c r="G743" s="3"/>
      <c r="H743" s="5"/>
      <c r="I743" s="5"/>
      <c r="J743" s="5"/>
      <c r="K743" s="5"/>
      <c r="L743" s="6"/>
      <c r="M743" s="6"/>
      <c r="N743" s="7"/>
      <c r="O743" s="3"/>
      <c r="P743" s="3"/>
      <c r="Q743" s="3"/>
      <c r="R743" s="3"/>
    </row>
    <row x14ac:dyDescent="0.25" r="744" customHeight="1" ht="18.75">
      <c r="A744" s="10" t="s">
        <v>811</v>
      </c>
      <c r="B744" s="11">
        <v>53</v>
      </c>
      <c r="C744" s="3"/>
      <c r="D744" s="3"/>
      <c r="E744" s="5"/>
      <c r="F744" s="3"/>
      <c r="G744" s="3"/>
      <c r="H744" s="5"/>
      <c r="I744" s="5"/>
      <c r="J744" s="5"/>
      <c r="K744" s="5"/>
      <c r="L744" s="6"/>
      <c r="M744" s="6"/>
      <c r="N744" s="7"/>
      <c r="O744" s="3"/>
      <c r="P744" s="3"/>
      <c r="Q744" s="3"/>
      <c r="R744" s="3"/>
    </row>
    <row x14ac:dyDescent="0.25" r="745" customHeight="1" ht="18.75">
      <c r="A745" s="10" t="s">
        <v>812</v>
      </c>
      <c r="B745" s="11">
        <v>53</v>
      </c>
      <c r="C745" s="3"/>
      <c r="D745" s="3"/>
      <c r="E745" s="5"/>
      <c r="F745" s="3"/>
      <c r="G745" s="3"/>
      <c r="H745" s="5"/>
      <c r="I745" s="5"/>
      <c r="J745" s="5"/>
      <c r="K745" s="5"/>
      <c r="L745" s="6"/>
      <c r="M745" s="6"/>
      <c r="N745" s="7"/>
      <c r="O745" s="3"/>
      <c r="P745" s="3"/>
      <c r="Q745" s="3"/>
      <c r="R745" s="3"/>
    </row>
    <row x14ac:dyDescent="0.25" r="746" customHeight="1" ht="18.75">
      <c r="A746" s="10" t="s">
        <v>813</v>
      </c>
      <c r="B746" s="11">
        <v>53</v>
      </c>
      <c r="C746" s="3"/>
      <c r="D746" s="3"/>
      <c r="E746" s="5"/>
      <c r="F746" s="3"/>
      <c r="G746" s="3"/>
      <c r="H746" s="5"/>
      <c r="I746" s="5"/>
      <c r="J746" s="5"/>
      <c r="K746" s="5"/>
      <c r="L746" s="6"/>
      <c r="M746" s="6"/>
      <c r="N746" s="7"/>
      <c r="O746" s="3"/>
      <c r="P746" s="3"/>
      <c r="Q746" s="3"/>
      <c r="R746" s="3"/>
    </row>
    <row x14ac:dyDescent="0.25" r="747" customHeight="1" ht="18.75">
      <c r="A747" s="10" t="s">
        <v>814</v>
      </c>
      <c r="B747" s="11">
        <v>53</v>
      </c>
      <c r="C747" s="3"/>
      <c r="D747" s="3"/>
      <c r="E747" s="5"/>
      <c r="F747" s="3"/>
      <c r="G747" s="3"/>
      <c r="H747" s="5"/>
      <c r="I747" s="5"/>
      <c r="J747" s="5"/>
      <c r="K747" s="5"/>
      <c r="L747" s="6"/>
      <c r="M747" s="6"/>
      <c r="N747" s="7"/>
      <c r="O747" s="3"/>
      <c r="P747" s="3"/>
      <c r="Q747" s="3"/>
      <c r="R747" s="3"/>
    </row>
    <row x14ac:dyDescent="0.25" r="748" customHeight="1" ht="18.75">
      <c r="A748" s="10" t="s">
        <v>815</v>
      </c>
      <c r="B748" s="11">
        <v>53</v>
      </c>
      <c r="C748" s="3"/>
      <c r="D748" s="3"/>
      <c r="E748" s="5"/>
      <c r="F748" s="3"/>
      <c r="G748" s="3"/>
      <c r="H748" s="5"/>
      <c r="I748" s="5"/>
      <c r="J748" s="5"/>
      <c r="K748" s="5"/>
      <c r="L748" s="6"/>
      <c r="M748" s="6"/>
      <c r="N748" s="7"/>
      <c r="O748" s="3"/>
      <c r="P748" s="3"/>
      <c r="Q748" s="3"/>
      <c r="R748" s="3"/>
    </row>
    <row x14ac:dyDescent="0.25" r="749" customHeight="1" ht="18.75">
      <c r="A749" s="10" t="s">
        <v>816</v>
      </c>
      <c r="B749" s="11">
        <v>53</v>
      </c>
      <c r="C749" s="3"/>
      <c r="D749" s="3"/>
      <c r="E749" s="5"/>
      <c r="F749" s="3"/>
      <c r="G749" s="3"/>
      <c r="H749" s="5"/>
      <c r="I749" s="5"/>
      <c r="J749" s="5"/>
      <c r="K749" s="5"/>
      <c r="L749" s="6"/>
      <c r="M749" s="6"/>
      <c r="N749" s="7"/>
      <c r="O749" s="3"/>
      <c r="P749" s="3"/>
      <c r="Q749" s="3"/>
      <c r="R749" s="3"/>
    </row>
    <row x14ac:dyDescent="0.25" r="750" customHeight="1" ht="18.75">
      <c r="A750" s="10" t="s">
        <v>817</v>
      </c>
      <c r="B750" s="11">
        <v>53</v>
      </c>
      <c r="C750" s="3"/>
      <c r="D750" s="3"/>
      <c r="E750" s="5"/>
      <c r="F750" s="3"/>
      <c r="G750" s="3"/>
      <c r="H750" s="5"/>
      <c r="I750" s="5"/>
      <c r="J750" s="5"/>
      <c r="K750" s="5"/>
      <c r="L750" s="6"/>
      <c r="M750" s="6"/>
      <c r="N750" s="7"/>
      <c r="O750" s="3"/>
      <c r="P750" s="3"/>
      <c r="Q750" s="3"/>
      <c r="R750" s="3"/>
    </row>
    <row x14ac:dyDescent="0.25" r="751" customHeight="1" ht="18.75">
      <c r="A751" s="10" t="s">
        <v>818</v>
      </c>
      <c r="B751" s="11">
        <v>53</v>
      </c>
      <c r="C751" s="3"/>
      <c r="D751" s="3"/>
      <c r="E751" s="5"/>
      <c r="F751" s="3"/>
      <c r="G751" s="3"/>
      <c r="H751" s="5"/>
      <c r="I751" s="5"/>
      <c r="J751" s="5"/>
      <c r="K751" s="5"/>
      <c r="L751" s="6"/>
      <c r="M751" s="6"/>
      <c r="N751" s="7"/>
      <c r="O751" s="3"/>
      <c r="P751" s="3"/>
      <c r="Q751" s="3"/>
      <c r="R751" s="3"/>
    </row>
    <row x14ac:dyDescent="0.25" r="752" customHeight="1" ht="18.75">
      <c r="A752" s="10" t="s">
        <v>819</v>
      </c>
      <c r="B752" s="11">
        <v>53</v>
      </c>
      <c r="C752" s="3"/>
      <c r="D752" s="3"/>
      <c r="E752" s="5"/>
      <c r="F752" s="3"/>
      <c r="G752" s="3"/>
      <c r="H752" s="5"/>
      <c r="I752" s="5"/>
      <c r="J752" s="5"/>
      <c r="K752" s="5"/>
      <c r="L752" s="6"/>
      <c r="M752" s="6"/>
      <c r="N752" s="7"/>
      <c r="O752" s="3"/>
      <c r="P752" s="3"/>
      <c r="Q752" s="3"/>
      <c r="R752" s="3"/>
    </row>
    <row x14ac:dyDescent="0.25" r="753" customHeight="1" ht="18.75">
      <c r="A753" s="10" t="s">
        <v>820</v>
      </c>
      <c r="B753" s="11">
        <v>53</v>
      </c>
      <c r="C753" s="3"/>
      <c r="D753" s="3"/>
      <c r="E753" s="5"/>
      <c r="F753" s="3"/>
      <c r="G753" s="3"/>
      <c r="H753" s="5"/>
      <c r="I753" s="5"/>
      <c r="J753" s="5"/>
      <c r="K753" s="5"/>
      <c r="L753" s="6"/>
      <c r="M753" s="6"/>
      <c r="N753" s="7"/>
      <c r="O753" s="3"/>
      <c r="P753" s="3"/>
      <c r="Q753" s="3"/>
      <c r="R753" s="3"/>
    </row>
    <row x14ac:dyDescent="0.25" r="754" customHeight="1" ht="18.75">
      <c r="A754" s="10" t="s">
        <v>821</v>
      </c>
      <c r="B754" s="11">
        <v>53</v>
      </c>
      <c r="C754" s="3"/>
      <c r="D754" s="3"/>
      <c r="E754" s="5"/>
      <c r="F754" s="3"/>
      <c r="G754" s="3"/>
      <c r="H754" s="5"/>
      <c r="I754" s="5"/>
      <c r="J754" s="5"/>
      <c r="K754" s="5"/>
      <c r="L754" s="6"/>
      <c r="M754" s="6"/>
      <c r="N754" s="7"/>
      <c r="O754" s="3"/>
      <c r="P754" s="3"/>
      <c r="Q754" s="3"/>
      <c r="R754" s="3"/>
    </row>
    <row x14ac:dyDescent="0.25" r="755" customHeight="1" ht="18.75">
      <c r="A755" s="10" t="s">
        <v>822</v>
      </c>
      <c r="B755" s="11">
        <v>53</v>
      </c>
      <c r="C755" s="3"/>
      <c r="D755" s="3"/>
      <c r="E755" s="5"/>
      <c r="F755" s="3"/>
      <c r="G755" s="3"/>
      <c r="H755" s="5"/>
      <c r="I755" s="5"/>
      <c r="J755" s="5"/>
      <c r="K755" s="5"/>
      <c r="L755" s="6"/>
      <c r="M755" s="6"/>
      <c r="N755" s="7"/>
      <c r="O755" s="3"/>
      <c r="P755" s="3"/>
      <c r="Q755" s="3"/>
      <c r="R755" s="3"/>
    </row>
    <row x14ac:dyDescent="0.25" r="756" customHeight="1" ht="18.75">
      <c r="A756" s="10" t="s">
        <v>823</v>
      </c>
      <c r="B756" s="11">
        <v>53</v>
      </c>
      <c r="C756" s="3"/>
      <c r="D756" s="3"/>
      <c r="E756" s="5"/>
      <c r="F756" s="3"/>
      <c r="G756" s="3"/>
      <c r="H756" s="5"/>
      <c r="I756" s="5"/>
      <c r="J756" s="5"/>
      <c r="K756" s="5"/>
      <c r="L756" s="6"/>
      <c r="M756" s="6"/>
      <c r="N756" s="7"/>
      <c r="O756" s="3"/>
      <c r="P756" s="3"/>
      <c r="Q756" s="3"/>
      <c r="R756" s="3"/>
    </row>
    <row x14ac:dyDescent="0.25" r="757" customHeight="1" ht="18.75">
      <c r="A757" s="10" t="s">
        <v>824</v>
      </c>
      <c r="B757" s="11">
        <v>53</v>
      </c>
      <c r="C757" s="3"/>
      <c r="D757" s="3"/>
      <c r="E757" s="5"/>
      <c r="F757" s="3"/>
      <c r="G757" s="3"/>
      <c r="H757" s="5"/>
      <c r="I757" s="5"/>
      <c r="J757" s="5"/>
      <c r="K757" s="5"/>
      <c r="L757" s="6"/>
      <c r="M757" s="6"/>
      <c r="N757" s="7"/>
      <c r="O757" s="3"/>
      <c r="P757" s="3"/>
      <c r="Q757" s="3"/>
      <c r="R757" s="3"/>
    </row>
    <row x14ac:dyDescent="0.25" r="758" customHeight="1" ht="18.75">
      <c r="A758" s="10" t="s">
        <v>825</v>
      </c>
      <c r="B758" s="11">
        <v>53</v>
      </c>
      <c r="C758" s="3"/>
      <c r="D758" s="3"/>
      <c r="E758" s="5"/>
      <c r="F758" s="3"/>
      <c r="G758" s="3"/>
      <c r="H758" s="5"/>
      <c r="I758" s="5"/>
      <c r="J758" s="5"/>
      <c r="K758" s="5"/>
      <c r="L758" s="6"/>
      <c r="M758" s="6"/>
      <c r="N758" s="7"/>
      <c r="O758" s="3"/>
      <c r="P758" s="3"/>
      <c r="Q758" s="3"/>
      <c r="R758" s="3"/>
    </row>
    <row x14ac:dyDescent="0.25" r="759" customHeight="1" ht="18.75">
      <c r="A759" s="10" t="s">
        <v>826</v>
      </c>
      <c r="B759" s="11">
        <v>53</v>
      </c>
      <c r="C759" s="3"/>
      <c r="D759" s="3"/>
      <c r="E759" s="5"/>
      <c r="F759" s="3"/>
      <c r="G759" s="3"/>
      <c r="H759" s="5"/>
      <c r="I759" s="5"/>
      <c r="J759" s="5"/>
      <c r="K759" s="5"/>
      <c r="L759" s="6"/>
      <c r="M759" s="6"/>
      <c r="N759" s="7"/>
      <c r="O759" s="3"/>
      <c r="P759" s="3"/>
      <c r="Q759" s="3"/>
      <c r="R759" s="3"/>
    </row>
    <row x14ac:dyDescent="0.25" r="760" customHeight="1" ht="18.75">
      <c r="A760" s="10" t="s">
        <v>827</v>
      </c>
      <c r="B760" s="11">
        <v>53</v>
      </c>
      <c r="C760" s="3"/>
      <c r="D760" s="3"/>
      <c r="E760" s="5"/>
      <c r="F760" s="3"/>
      <c r="G760" s="3"/>
      <c r="H760" s="5"/>
      <c r="I760" s="5"/>
      <c r="J760" s="5"/>
      <c r="K760" s="5"/>
      <c r="L760" s="6"/>
      <c r="M760" s="6"/>
      <c r="N760" s="7"/>
      <c r="O760" s="3"/>
      <c r="P760" s="3"/>
      <c r="Q760" s="3"/>
      <c r="R760" s="3"/>
    </row>
    <row x14ac:dyDescent="0.25" r="761" customHeight="1" ht="18.75">
      <c r="A761" s="10" t="s">
        <v>828</v>
      </c>
      <c r="B761" s="11">
        <v>53</v>
      </c>
      <c r="C761" s="3"/>
      <c r="D761" s="3"/>
      <c r="E761" s="5"/>
      <c r="F761" s="3"/>
      <c r="G761" s="3"/>
      <c r="H761" s="5"/>
      <c r="I761" s="5"/>
      <c r="J761" s="5"/>
      <c r="K761" s="5"/>
      <c r="L761" s="6"/>
      <c r="M761" s="6"/>
      <c r="N761" s="7"/>
      <c r="O761" s="3"/>
      <c r="P761" s="3"/>
      <c r="Q761" s="3"/>
      <c r="R761" s="3"/>
    </row>
    <row x14ac:dyDescent="0.25" r="762" customHeight="1" ht="18.75">
      <c r="A762" s="10" t="s">
        <v>829</v>
      </c>
      <c r="B762" s="11">
        <v>53</v>
      </c>
      <c r="C762" s="3"/>
      <c r="D762" s="3"/>
      <c r="E762" s="5"/>
      <c r="F762" s="3"/>
      <c r="G762" s="3"/>
      <c r="H762" s="5"/>
      <c r="I762" s="5"/>
      <c r="J762" s="5"/>
      <c r="K762" s="5"/>
      <c r="L762" s="6"/>
      <c r="M762" s="6"/>
      <c r="N762" s="7"/>
      <c r="O762" s="3"/>
      <c r="P762" s="3"/>
      <c r="Q762" s="3"/>
      <c r="R762" s="3"/>
    </row>
    <row x14ac:dyDescent="0.25" r="763" customHeight="1" ht="18.75">
      <c r="A763" s="10" t="s">
        <v>830</v>
      </c>
      <c r="B763" s="11">
        <v>53</v>
      </c>
      <c r="C763" s="3"/>
      <c r="D763" s="3"/>
      <c r="E763" s="5"/>
      <c r="F763" s="3"/>
      <c r="G763" s="3"/>
      <c r="H763" s="5"/>
      <c r="I763" s="5"/>
      <c r="J763" s="5"/>
      <c r="K763" s="5"/>
      <c r="L763" s="6"/>
      <c r="M763" s="6"/>
      <c r="N763" s="7"/>
      <c r="O763" s="3"/>
      <c r="P763" s="3"/>
      <c r="Q763" s="3"/>
      <c r="R763" s="3"/>
    </row>
    <row x14ac:dyDescent="0.25" r="764" customHeight="1" ht="18.75">
      <c r="A764" s="10" t="s">
        <v>831</v>
      </c>
      <c r="B764" s="11">
        <v>54</v>
      </c>
      <c r="C764" s="3"/>
      <c r="D764" s="3"/>
      <c r="E764" s="5"/>
      <c r="F764" s="3"/>
      <c r="G764" s="3"/>
      <c r="H764" s="5"/>
      <c r="I764" s="5"/>
      <c r="J764" s="5"/>
      <c r="K764" s="5"/>
      <c r="L764" s="6"/>
      <c r="M764" s="6"/>
      <c r="N764" s="7"/>
      <c r="O764" s="3"/>
      <c r="P764" s="3"/>
      <c r="Q764" s="3"/>
      <c r="R764" s="3"/>
    </row>
    <row x14ac:dyDescent="0.25" r="765" customHeight="1" ht="18.75">
      <c r="A765" s="10" t="s">
        <v>832</v>
      </c>
      <c r="B765" s="11">
        <v>54</v>
      </c>
      <c r="C765" s="3"/>
      <c r="D765" s="3"/>
      <c r="E765" s="5"/>
      <c r="F765" s="3"/>
      <c r="G765" s="3"/>
      <c r="H765" s="5"/>
      <c r="I765" s="5"/>
      <c r="J765" s="5"/>
      <c r="K765" s="5"/>
      <c r="L765" s="6"/>
      <c r="M765" s="6"/>
      <c r="N765" s="7"/>
      <c r="O765" s="3"/>
      <c r="P765" s="3"/>
      <c r="Q765" s="3"/>
      <c r="R765" s="3"/>
    </row>
    <row x14ac:dyDescent="0.25" r="766" customHeight="1" ht="18.75">
      <c r="A766" s="10" t="s">
        <v>833</v>
      </c>
      <c r="B766" s="11">
        <v>54</v>
      </c>
      <c r="C766" s="3"/>
      <c r="D766" s="3"/>
      <c r="E766" s="5"/>
      <c r="F766" s="3"/>
      <c r="G766" s="3"/>
      <c r="H766" s="5"/>
      <c r="I766" s="5"/>
      <c r="J766" s="5"/>
      <c r="K766" s="5"/>
      <c r="L766" s="6"/>
      <c r="M766" s="6"/>
      <c r="N766" s="7"/>
      <c r="O766" s="3"/>
      <c r="P766" s="3"/>
      <c r="Q766" s="3"/>
      <c r="R766" s="3"/>
    </row>
    <row x14ac:dyDescent="0.25" r="767" customHeight="1" ht="18.75">
      <c r="A767" s="10" t="s">
        <v>834</v>
      </c>
      <c r="B767" s="11">
        <v>54</v>
      </c>
      <c r="C767" s="3"/>
      <c r="D767" s="3"/>
      <c r="E767" s="5"/>
      <c r="F767" s="3"/>
      <c r="G767" s="3"/>
      <c r="H767" s="5"/>
      <c r="I767" s="5"/>
      <c r="J767" s="5"/>
      <c r="K767" s="5"/>
      <c r="L767" s="6"/>
      <c r="M767" s="6"/>
      <c r="N767" s="7"/>
      <c r="O767" s="3"/>
      <c r="P767" s="3"/>
      <c r="Q767" s="3"/>
      <c r="R767" s="3"/>
    </row>
    <row x14ac:dyDescent="0.25" r="768" customHeight="1" ht="18.75">
      <c r="A768" s="10" t="s">
        <v>835</v>
      </c>
      <c r="B768" s="11">
        <v>54</v>
      </c>
      <c r="C768" s="3"/>
      <c r="D768" s="3"/>
      <c r="E768" s="5"/>
      <c r="F768" s="3"/>
      <c r="G768" s="3"/>
      <c r="H768" s="5"/>
      <c r="I768" s="5"/>
      <c r="J768" s="5"/>
      <c r="K768" s="5"/>
      <c r="L768" s="6"/>
      <c r="M768" s="6"/>
      <c r="N768" s="7"/>
      <c r="O768" s="3"/>
      <c r="P768" s="3"/>
      <c r="Q768" s="3"/>
      <c r="R768" s="3"/>
    </row>
    <row x14ac:dyDescent="0.25" r="769" customHeight="1" ht="18.75">
      <c r="A769" s="10" t="s">
        <v>836</v>
      </c>
      <c r="B769" s="11">
        <v>54</v>
      </c>
      <c r="C769" s="3"/>
      <c r="D769" s="3"/>
      <c r="E769" s="5"/>
      <c r="F769" s="3"/>
      <c r="G769" s="3"/>
      <c r="H769" s="5"/>
      <c r="I769" s="5"/>
      <c r="J769" s="5"/>
      <c r="K769" s="5"/>
      <c r="L769" s="6"/>
      <c r="M769" s="6"/>
      <c r="N769" s="7"/>
      <c r="O769" s="3"/>
      <c r="P769" s="3"/>
      <c r="Q769" s="3"/>
      <c r="R769" s="3"/>
    </row>
    <row x14ac:dyDescent="0.25" r="770" customHeight="1" ht="18.75">
      <c r="A770" s="10" t="s">
        <v>837</v>
      </c>
      <c r="B770" s="11">
        <v>54</v>
      </c>
      <c r="C770" s="3"/>
      <c r="D770" s="3"/>
      <c r="E770" s="5"/>
      <c r="F770" s="3"/>
      <c r="G770" s="3"/>
      <c r="H770" s="5"/>
      <c r="I770" s="5"/>
      <c r="J770" s="5"/>
      <c r="K770" s="5"/>
      <c r="L770" s="6"/>
      <c r="M770" s="6"/>
      <c r="N770" s="7"/>
      <c r="O770" s="3"/>
      <c r="P770" s="3"/>
      <c r="Q770" s="3"/>
      <c r="R770" s="3"/>
    </row>
    <row x14ac:dyDescent="0.25" r="771" customHeight="1" ht="18.75">
      <c r="A771" s="10" t="s">
        <v>838</v>
      </c>
      <c r="B771" s="11">
        <v>54</v>
      </c>
      <c r="C771" s="3"/>
      <c r="D771" s="3"/>
      <c r="E771" s="5"/>
      <c r="F771" s="3"/>
      <c r="G771" s="3"/>
      <c r="H771" s="5"/>
      <c r="I771" s="5"/>
      <c r="J771" s="5"/>
      <c r="K771" s="5"/>
      <c r="L771" s="6"/>
      <c r="M771" s="6"/>
      <c r="N771" s="7"/>
      <c r="O771" s="3"/>
      <c r="P771" s="3"/>
      <c r="Q771" s="3"/>
      <c r="R771" s="3"/>
    </row>
    <row x14ac:dyDescent="0.25" r="772" customHeight="1" ht="18.75">
      <c r="A772" s="10" t="s">
        <v>839</v>
      </c>
      <c r="B772" s="11">
        <v>54</v>
      </c>
      <c r="C772" s="3"/>
      <c r="D772" s="3"/>
      <c r="E772" s="5"/>
      <c r="F772" s="3"/>
      <c r="G772" s="3"/>
      <c r="H772" s="5"/>
      <c r="I772" s="5"/>
      <c r="J772" s="5"/>
      <c r="K772" s="5"/>
      <c r="L772" s="6"/>
      <c r="M772" s="6"/>
      <c r="N772" s="7"/>
      <c r="O772" s="3"/>
      <c r="P772" s="3"/>
      <c r="Q772" s="3"/>
      <c r="R772" s="3"/>
    </row>
    <row x14ac:dyDescent="0.25" r="773" customHeight="1" ht="18.75">
      <c r="A773" s="10" t="s">
        <v>840</v>
      </c>
      <c r="B773" s="11">
        <v>54</v>
      </c>
      <c r="C773" s="3"/>
      <c r="D773" s="3"/>
      <c r="E773" s="5"/>
      <c r="F773" s="3"/>
      <c r="G773" s="3"/>
      <c r="H773" s="5"/>
      <c r="I773" s="5"/>
      <c r="J773" s="5"/>
      <c r="K773" s="5"/>
      <c r="L773" s="6"/>
      <c r="M773" s="6"/>
      <c r="N773" s="7"/>
      <c r="O773" s="3"/>
      <c r="P773" s="3"/>
      <c r="Q773" s="3"/>
      <c r="R773" s="3"/>
    </row>
    <row x14ac:dyDescent="0.25" r="774" customHeight="1" ht="18.75">
      <c r="A774" s="10" t="s">
        <v>841</v>
      </c>
      <c r="B774" s="11">
        <v>54</v>
      </c>
      <c r="C774" s="3"/>
      <c r="D774" s="3"/>
      <c r="E774" s="5"/>
      <c r="F774" s="3"/>
      <c r="G774" s="3"/>
      <c r="H774" s="5"/>
      <c r="I774" s="5"/>
      <c r="J774" s="5"/>
      <c r="K774" s="5"/>
      <c r="L774" s="6"/>
      <c r="M774" s="6"/>
      <c r="N774" s="7"/>
      <c r="O774" s="3"/>
      <c r="P774" s="3"/>
      <c r="Q774" s="3"/>
      <c r="R774" s="3"/>
    </row>
    <row x14ac:dyDescent="0.25" r="775" customHeight="1" ht="18.75">
      <c r="A775" s="10" t="s">
        <v>842</v>
      </c>
      <c r="B775" s="11">
        <v>54</v>
      </c>
      <c r="C775" s="3"/>
      <c r="D775" s="3"/>
      <c r="E775" s="5"/>
      <c r="F775" s="3"/>
      <c r="G775" s="3"/>
      <c r="H775" s="5"/>
      <c r="I775" s="5"/>
      <c r="J775" s="5"/>
      <c r="K775" s="5"/>
      <c r="L775" s="6"/>
      <c r="M775" s="6"/>
      <c r="N775" s="7"/>
      <c r="O775" s="3"/>
      <c r="P775" s="3"/>
      <c r="Q775" s="3"/>
      <c r="R775" s="3"/>
    </row>
    <row x14ac:dyDescent="0.25" r="776" customHeight="1" ht="18.75">
      <c r="A776" s="10" t="s">
        <v>843</v>
      </c>
      <c r="B776" s="11">
        <v>54</v>
      </c>
      <c r="C776" s="3"/>
      <c r="D776" s="3"/>
      <c r="E776" s="5"/>
      <c r="F776" s="3"/>
      <c r="G776" s="3"/>
      <c r="H776" s="5"/>
      <c r="I776" s="5"/>
      <c r="J776" s="5"/>
      <c r="K776" s="5"/>
      <c r="L776" s="6"/>
      <c r="M776" s="6"/>
      <c r="N776" s="7"/>
      <c r="O776" s="3"/>
      <c r="P776" s="3"/>
      <c r="Q776" s="3"/>
      <c r="R776" s="3"/>
    </row>
    <row x14ac:dyDescent="0.25" r="777" customHeight="1" ht="18.75">
      <c r="A777" s="10" t="s">
        <v>844</v>
      </c>
      <c r="B777" s="11">
        <v>54</v>
      </c>
      <c r="C777" s="3"/>
      <c r="D777" s="3"/>
      <c r="E777" s="5"/>
      <c r="F777" s="3"/>
      <c r="G777" s="3"/>
      <c r="H777" s="5"/>
      <c r="I777" s="5"/>
      <c r="J777" s="5"/>
      <c r="K777" s="5"/>
      <c r="L777" s="6"/>
      <c r="M777" s="6"/>
      <c r="N777" s="7"/>
      <c r="O777" s="3"/>
      <c r="P777" s="3"/>
      <c r="Q777" s="3"/>
      <c r="R777" s="3"/>
    </row>
    <row x14ac:dyDescent="0.25" r="778" customHeight="1" ht="18.75">
      <c r="A778" s="10" t="s">
        <v>845</v>
      </c>
      <c r="B778" s="11">
        <v>54</v>
      </c>
      <c r="C778" s="3"/>
      <c r="D778" s="3"/>
      <c r="E778" s="5"/>
      <c r="F778" s="3"/>
      <c r="G778" s="3"/>
      <c r="H778" s="5"/>
      <c r="I778" s="5"/>
      <c r="J778" s="5"/>
      <c r="K778" s="5"/>
      <c r="L778" s="6"/>
      <c r="M778" s="6"/>
      <c r="N778" s="7"/>
      <c r="O778" s="3"/>
      <c r="P778" s="3"/>
      <c r="Q778" s="3"/>
      <c r="R778" s="3"/>
    </row>
    <row x14ac:dyDescent="0.25" r="779" customHeight="1" ht="18.75">
      <c r="A779" s="10" t="s">
        <v>846</v>
      </c>
      <c r="B779" s="11">
        <v>54</v>
      </c>
      <c r="C779" s="3"/>
      <c r="D779" s="3"/>
      <c r="E779" s="5"/>
      <c r="F779" s="3"/>
      <c r="G779" s="3"/>
      <c r="H779" s="5"/>
      <c r="I779" s="5"/>
      <c r="J779" s="5"/>
      <c r="K779" s="5"/>
      <c r="L779" s="6"/>
      <c r="M779" s="6"/>
      <c r="N779" s="7"/>
      <c r="O779" s="3"/>
      <c r="P779" s="3"/>
      <c r="Q779" s="3"/>
      <c r="R779" s="3"/>
    </row>
    <row x14ac:dyDescent="0.25" r="780" customHeight="1" ht="18.75">
      <c r="A780" s="10" t="s">
        <v>847</v>
      </c>
      <c r="B780" s="11">
        <v>54</v>
      </c>
      <c r="C780" s="3"/>
      <c r="D780" s="3"/>
      <c r="E780" s="5"/>
      <c r="F780" s="3"/>
      <c r="G780" s="3"/>
      <c r="H780" s="5"/>
      <c r="I780" s="5"/>
      <c r="J780" s="5"/>
      <c r="K780" s="5"/>
      <c r="L780" s="6"/>
      <c r="M780" s="6"/>
      <c r="N780" s="7"/>
      <c r="O780" s="3"/>
      <c r="P780" s="3"/>
      <c r="Q780" s="3"/>
      <c r="R780" s="3"/>
    </row>
    <row x14ac:dyDescent="0.25" r="781" customHeight="1" ht="18.75">
      <c r="A781" s="10" t="s">
        <v>848</v>
      </c>
      <c r="B781" s="11">
        <v>54</v>
      </c>
      <c r="C781" s="3"/>
      <c r="D781" s="3"/>
      <c r="E781" s="5"/>
      <c r="F781" s="3"/>
      <c r="G781" s="3"/>
      <c r="H781" s="5"/>
      <c r="I781" s="5"/>
      <c r="J781" s="5"/>
      <c r="K781" s="5"/>
      <c r="L781" s="6"/>
      <c r="M781" s="6"/>
      <c r="N781" s="7"/>
      <c r="O781" s="3"/>
      <c r="P781" s="3"/>
      <c r="Q781" s="3"/>
      <c r="R781" s="3"/>
    </row>
    <row x14ac:dyDescent="0.25" r="782" customHeight="1" ht="18.75">
      <c r="A782" s="10" t="s">
        <v>849</v>
      </c>
      <c r="B782" s="11">
        <v>54</v>
      </c>
      <c r="C782" s="3"/>
      <c r="D782" s="3"/>
      <c r="E782" s="5"/>
      <c r="F782" s="3"/>
      <c r="G782" s="3"/>
      <c r="H782" s="5"/>
      <c r="I782" s="5"/>
      <c r="J782" s="5"/>
      <c r="K782" s="5"/>
      <c r="L782" s="6"/>
      <c r="M782" s="6"/>
      <c r="N782" s="7"/>
      <c r="O782" s="3"/>
      <c r="P782" s="3"/>
      <c r="Q782" s="3"/>
      <c r="R782" s="3"/>
    </row>
    <row x14ac:dyDescent="0.25" r="783" customHeight="1" ht="18.75">
      <c r="A783" s="10" t="s">
        <v>850</v>
      </c>
      <c r="B783" s="11">
        <v>54</v>
      </c>
      <c r="C783" s="3"/>
      <c r="D783" s="3"/>
      <c r="E783" s="5"/>
      <c r="F783" s="3"/>
      <c r="G783" s="3"/>
      <c r="H783" s="5"/>
      <c r="I783" s="5"/>
      <c r="J783" s="5"/>
      <c r="K783" s="5"/>
      <c r="L783" s="6"/>
      <c r="M783" s="6"/>
      <c r="N783" s="7"/>
      <c r="O783" s="3"/>
      <c r="P783" s="3"/>
      <c r="Q783" s="3"/>
      <c r="R783" s="3"/>
    </row>
    <row x14ac:dyDescent="0.25" r="784" customHeight="1" ht="18.75">
      <c r="A784" s="10" t="s">
        <v>851</v>
      </c>
      <c r="B784" s="11">
        <v>54</v>
      </c>
      <c r="C784" s="3"/>
      <c r="D784" s="3"/>
      <c r="E784" s="5"/>
      <c r="F784" s="3"/>
      <c r="G784" s="3"/>
      <c r="H784" s="5"/>
      <c r="I784" s="5"/>
      <c r="J784" s="5"/>
      <c r="K784" s="5"/>
      <c r="L784" s="6"/>
      <c r="M784" s="6"/>
      <c r="N784" s="7"/>
      <c r="O784" s="3"/>
      <c r="P784" s="3"/>
      <c r="Q784" s="3"/>
      <c r="R784" s="3"/>
    </row>
    <row x14ac:dyDescent="0.25" r="785" customHeight="1" ht="18.75">
      <c r="A785" s="10" t="s">
        <v>852</v>
      </c>
      <c r="B785" s="11">
        <v>54</v>
      </c>
      <c r="C785" s="3"/>
      <c r="D785" s="3"/>
      <c r="E785" s="5"/>
      <c r="F785" s="3"/>
      <c r="G785" s="3"/>
      <c r="H785" s="5"/>
      <c r="I785" s="5"/>
      <c r="J785" s="5"/>
      <c r="K785" s="5"/>
      <c r="L785" s="6"/>
      <c r="M785" s="6"/>
      <c r="N785" s="7"/>
      <c r="O785" s="3"/>
      <c r="P785" s="3"/>
      <c r="Q785" s="3"/>
      <c r="R785" s="3"/>
    </row>
    <row x14ac:dyDescent="0.25" r="786" customHeight="1" ht="18.75">
      <c r="A786" s="10" t="s">
        <v>853</v>
      </c>
      <c r="B786" s="11">
        <v>54</v>
      </c>
      <c r="C786" s="3"/>
      <c r="D786" s="3"/>
      <c r="E786" s="5"/>
      <c r="F786" s="3"/>
      <c r="G786" s="3"/>
      <c r="H786" s="5"/>
      <c r="I786" s="5"/>
      <c r="J786" s="5"/>
      <c r="K786" s="5"/>
      <c r="L786" s="6"/>
      <c r="M786" s="6"/>
      <c r="N786" s="7"/>
      <c r="O786" s="3"/>
      <c r="P786" s="3"/>
      <c r="Q786" s="3"/>
      <c r="R786" s="3"/>
    </row>
    <row x14ac:dyDescent="0.25" r="787" customHeight="1" ht="18.75">
      <c r="A787" s="10" t="s">
        <v>854</v>
      </c>
      <c r="B787" s="11">
        <v>54</v>
      </c>
      <c r="C787" s="3"/>
      <c r="D787" s="3"/>
      <c r="E787" s="5"/>
      <c r="F787" s="3"/>
      <c r="G787" s="3"/>
      <c r="H787" s="5"/>
      <c r="I787" s="5"/>
      <c r="J787" s="5"/>
      <c r="K787" s="5"/>
      <c r="L787" s="6"/>
      <c r="M787" s="6"/>
      <c r="N787" s="7"/>
      <c r="O787" s="3"/>
      <c r="P787" s="3"/>
      <c r="Q787" s="3"/>
      <c r="R787" s="3"/>
    </row>
    <row x14ac:dyDescent="0.25" r="788" customHeight="1" ht="18.75">
      <c r="A788" s="10" t="s">
        <v>855</v>
      </c>
      <c r="B788" s="11">
        <v>55</v>
      </c>
      <c r="C788" s="3"/>
      <c r="D788" s="3"/>
      <c r="E788" s="5"/>
      <c r="F788" s="3"/>
      <c r="G788" s="3"/>
      <c r="H788" s="5"/>
      <c r="I788" s="5"/>
      <c r="J788" s="5"/>
      <c r="K788" s="5"/>
      <c r="L788" s="6"/>
      <c r="M788" s="6"/>
      <c r="N788" s="7"/>
      <c r="O788" s="3"/>
      <c r="P788" s="3"/>
      <c r="Q788" s="3"/>
      <c r="R788" s="3"/>
    </row>
    <row x14ac:dyDescent="0.25" r="789" customHeight="1" ht="18.75">
      <c r="A789" s="10" t="s">
        <v>856</v>
      </c>
      <c r="B789" s="11">
        <v>55</v>
      </c>
      <c r="C789" s="3"/>
      <c r="D789" s="3"/>
      <c r="E789" s="5"/>
      <c r="F789" s="3"/>
      <c r="G789" s="3"/>
      <c r="H789" s="5"/>
      <c r="I789" s="5"/>
      <c r="J789" s="5"/>
      <c r="K789" s="5"/>
      <c r="L789" s="6"/>
      <c r="M789" s="6"/>
      <c r="N789" s="7"/>
      <c r="O789" s="3"/>
      <c r="P789" s="3"/>
      <c r="Q789" s="3"/>
      <c r="R789" s="3"/>
    </row>
    <row x14ac:dyDescent="0.25" r="790" customHeight="1" ht="18.75">
      <c r="A790" s="10" t="s">
        <v>857</v>
      </c>
      <c r="B790" s="11">
        <v>55</v>
      </c>
      <c r="C790" s="3"/>
      <c r="D790" s="3"/>
      <c r="E790" s="5"/>
      <c r="F790" s="3"/>
      <c r="G790" s="3"/>
      <c r="H790" s="5"/>
      <c r="I790" s="5"/>
      <c r="J790" s="5"/>
      <c r="K790" s="5"/>
      <c r="L790" s="6"/>
      <c r="M790" s="6"/>
      <c r="N790" s="7"/>
      <c r="O790" s="3"/>
      <c r="P790" s="3"/>
      <c r="Q790" s="3"/>
      <c r="R790" s="3"/>
    </row>
    <row x14ac:dyDescent="0.25" r="791" customHeight="1" ht="18.75">
      <c r="A791" s="10" t="s">
        <v>858</v>
      </c>
      <c r="B791" s="11">
        <v>55</v>
      </c>
      <c r="C791" s="3"/>
      <c r="D791" s="3"/>
      <c r="E791" s="5"/>
      <c r="F791" s="3"/>
      <c r="G791" s="3"/>
      <c r="H791" s="5"/>
      <c r="I791" s="5"/>
      <c r="J791" s="5"/>
      <c r="K791" s="5"/>
      <c r="L791" s="6"/>
      <c r="M791" s="6"/>
      <c r="N791" s="7"/>
      <c r="O791" s="3"/>
      <c r="P791" s="3"/>
      <c r="Q791" s="3"/>
      <c r="R791" s="3"/>
    </row>
    <row x14ac:dyDescent="0.25" r="792" customHeight="1" ht="18.75">
      <c r="A792" s="10" t="s">
        <v>859</v>
      </c>
      <c r="B792" s="11">
        <v>55</v>
      </c>
      <c r="C792" s="3"/>
      <c r="D792" s="3"/>
      <c r="E792" s="5"/>
      <c r="F792" s="3"/>
      <c r="G792" s="3"/>
      <c r="H792" s="5"/>
      <c r="I792" s="5"/>
      <c r="J792" s="5"/>
      <c r="K792" s="5"/>
      <c r="L792" s="6"/>
      <c r="M792" s="6"/>
      <c r="N792" s="7"/>
      <c r="O792" s="3"/>
      <c r="P792" s="3"/>
      <c r="Q792" s="3"/>
      <c r="R792" s="3"/>
    </row>
    <row x14ac:dyDescent="0.25" r="793" customHeight="1" ht="18.75">
      <c r="A793" s="10" t="s">
        <v>860</v>
      </c>
      <c r="B793" s="11">
        <v>55</v>
      </c>
      <c r="C793" s="3"/>
      <c r="D793" s="3"/>
      <c r="E793" s="5"/>
      <c r="F793" s="3"/>
      <c r="G793" s="3"/>
      <c r="H793" s="5"/>
      <c r="I793" s="5"/>
      <c r="J793" s="5"/>
      <c r="K793" s="5"/>
      <c r="L793" s="6"/>
      <c r="M793" s="6"/>
      <c r="N793" s="7"/>
      <c r="O793" s="3"/>
      <c r="P793" s="3"/>
      <c r="Q793" s="3"/>
      <c r="R793" s="3"/>
    </row>
    <row x14ac:dyDescent="0.25" r="794" customHeight="1" ht="18.75">
      <c r="A794" s="10" t="s">
        <v>861</v>
      </c>
      <c r="B794" s="11">
        <v>55</v>
      </c>
      <c r="C794" s="3"/>
      <c r="D794" s="3"/>
      <c r="E794" s="5"/>
      <c r="F794" s="3"/>
      <c r="G794" s="3"/>
      <c r="H794" s="5"/>
      <c r="I794" s="5"/>
      <c r="J794" s="5"/>
      <c r="K794" s="5"/>
      <c r="L794" s="6"/>
      <c r="M794" s="6"/>
      <c r="N794" s="7"/>
      <c r="O794" s="3"/>
      <c r="P794" s="3"/>
      <c r="Q794" s="3"/>
      <c r="R794" s="3"/>
    </row>
    <row x14ac:dyDescent="0.25" r="795" customHeight="1" ht="18.75">
      <c r="A795" s="10" t="s">
        <v>862</v>
      </c>
      <c r="B795" s="11">
        <v>55</v>
      </c>
      <c r="C795" s="3"/>
      <c r="D795" s="3"/>
      <c r="E795" s="5"/>
      <c r="F795" s="3"/>
      <c r="G795" s="3"/>
      <c r="H795" s="5"/>
      <c r="I795" s="5"/>
      <c r="J795" s="5"/>
      <c r="K795" s="5"/>
      <c r="L795" s="6"/>
      <c r="M795" s="6"/>
      <c r="N795" s="7"/>
      <c r="O795" s="3"/>
      <c r="P795" s="3"/>
      <c r="Q795" s="3"/>
      <c r="R795" s="3"/>
    </row>
    <row x14ac:dyDescent="0.25" r="796" customHeight="1" ht="18.75">
      <c r="A796" s="10" t="s">
        <v>863</v>
      </c>
      <c r="B796" s="11">
        <v>55</v>
      </c>
      <c r="C796" s="3"/>
      <c r="D796" s="3"/>
      <c r="E796" s="5"/>
      <c r="F796" s="3"/>
      <c r="G796" s="3"/>
      <c r="H796" s="5"/>
      <c r="I796" s="5"/>
      <c r="J796" s="5"/>
      <c r="K796" s="5"/>
      <c r="L796" s="6"/>
      <c r="M796" s="6"/>
      <c r="N796" s="7"/>
      <c r="O796" s="3"/>
      <c r="P796" s="3"/>
      <c r="Q796" s="3"/>
      <c r="R796" s="3"/>
    </row>
    <row x14ac:dyDescent="0.25" r="797" customHeight="1" ht="18.75">
      <c r="A797" s="10" t="s">
        <v>864</v>
      </c>
      <c r="B797" s="11">
        <v>55</v>
      </c>
      <c r="C797" s="3"/>
      <c r="D797" s="3"/>
      <c r="E797" s="5"/>
      <c r="F797" s="3"/>
      <c r="G797" s="3"/>
      <c r="H797" s="5"/>
      <c r="I797" s="5"/>
      <c r="J797" s="5"/>
      <c r="K797" s="5"/>
      <c r="L797" s="6"/>
      <c r="M797" s="6"/>
      <c r="N797" s="7"/>
      <c r="O797" s="3"/>
      <c r="P797" s="3"/>
      <c r="Q797" s="3"/>
      <c r="R797" s="3"/>
    </row>
    <row x14ac:dyDescent="0.25" r="798" customHeight="1" ht="18.75">
      <c r="A798" s="10" t="s">
        <v>865</v>
      </c>
      <c r="B798" s="11">
        <v>55</v>
      </c>
      <c r="C798" s="3"/>
      <c r="D798" s="3"/>
      <c r="E798" s="5"/>
      <c r="F798" s="3"/>
      <c r="G798" s="3"/>
      <c r="H798" s="5"/>
      <c r="I798" s="5"/>
      <c r="J798" s="5"/>
      <c r="K798" s="5"/>
      <c r="L798" s="6"/>
      <c r="M798" s="6"/>
      <c r="N798" s="7"/>
      <c r="O798" s="3"/>
      <c r="P798" s="3"/>
      <c r="Q798" s="3"/>
      <c r="R798" s="3"/>
    </row>
    <row x14ac:dyDescent="0.25" r="799" customHeight="1" ht="18.75">
      <c r="A799" s="10" t="s">
        <v>866</v>
      </c>
      <c r="B799" s="11">
        <v>55</v>
      </c>
      <c r="C799" s="3"/>
      <c r="D799" s="3"/>
      <c r="E799" s="5"/>
      <c r="F799" s="3"/>
      <c r="G799" s="3"/>
      <c r="H799" s="5"/>
      <c r="I799" s="5"/>
      <c r="J799" s="5"/>
      <c r="K799" s="5"/>
      <c r="L799" s="6"/>
      <c r="M799" s="6"/>
      <c r="N799" s="7"/>
      <c r="O799" s="3"/>
      <c r="P799" s="3"/>
      <c r="Q799" s="3"/>
      <c r="R799" s="3"/>
    </row>
    <row x14ac:dyDescent="0.25" r="800" customHeight="1" ht="18.75">
      <c r="A800" s="10" t="s">
        <v>867</v>
      </c>
      <c r="B800" s="11">
        <v>55</v>
      </c>
      <c r="C800" s="3"/>
      <c r="D800" s="3"/>
      <c r="E800" s="5"/>
      <c r="F800" s="3"/>
      <c r="G800" s="3"/>
      <c r="H800" s="5"/>
      <c r="I800" s="5"/>
      <c r="J800" s="5"/>
      <c r="K800" s="5"/>
      <c r="L800" s="6"/>
      <c r="M800" s="6"/>
      <c r="N800" s="7"/>
      <c r="O800" s="3"/>
      <c r="P800" s="3"/>
      <c r="Q800" s="3"/>
      <c r="R800" s="3"/>
    </row>
    <row x14ac:dyDescent="0.25" r="801" customHeight="1" ht="18.75">
      <c r="A801" s="10" t="s">
        <v>868</v>
      </c>
      <c r="B801" s="11">
        <v>55</v>
      </c>
      <c r="C801" s="3"/>
      <c r="D801" s="3"/>
      <c r="E801" s="5"/>
      <c r="F801" s="3"/>
      <c r="G801" s="3"/>
      <c r="H801" s="5"/>
      <c r="I801" s="5"/>
      <c r="J801" s="5"/>
      <c r="K801" s="5"/>
      <c r="L801" s="6"/>
      <c r="M801" s="6"/>
      <c r="N801" s="7"/>
      <c r="O801" s="3"/>
      <c r="P801" s="3"/>
      <c r="Q801" s="3"/>
      <c r="R801" s="3"/>
    </row>
    <row x14ac:dyDescent="0.25" r="802" customHeight="1" ht="18.75">
      <c r="A802" s="10" t="s">
        <v>869</v>
      </c>
      <c r="B802" s="11">
        <v>55</v>
      </c>
      <c r="C802" s="3"/>
      <c r="D802" s="3"/>
      <c r="E802" s="5"/>
      <c r="F802" s="3"/>
      <c r="G802" s="3"/>
      <c r="H802" s="5"/>
      <c r="I802" s="5"/>
      <c r="J802" s="5"/>
      <c r="K802" s="5"/>
      <c r="L802" s="6"/>
      <c r="M802" s="6"/>
      <c r="N802" s="7"/>
      <c r="O802" s="3"/>
      <c r="P802" s="3"/>
      <c r="Q802" s="3"/>
      <c r="R802" s="3"/>
    </row>
    <row x14ac:dyDescent="0.25" r="803" customHeight="1" ht="18.75">
      <c r="A803" s="10" t="s">
        <v>870</v>
      </c>
      <c r="B803" s="11">
        <v>55</v>
      </c>
      <c r="C803" s="3"/>
      <c r="D803" s="3"/>
      <c r="E803" s="5"/>
      <c r="F803" s="3"/>
      <c r="G803" s="3"/>
      <c r="H803" s="5"/>
      <c r="I803" s="5"/>
      <c r="J803" s="5"/>
      <c r="K803" s="5"/>
      <c r="L803" s="6"/>
      <c r="M803" s="6"/>
      <c r="N803" s="7"/>
      <c r="O803" s="3"/>
      <c r="P803" s="3"/>
      <c r="Q803" s="3"/>
      <c r="R803" s="3"/>
    </row>
    <row x14ac:dyDescent="0.25" r="804" customHeight="1" ht="18.75">
      <c r="A804" s="10" t="s">
        <v>871</v>
      </c>
      <c r="B804" s="11">
        <v>55</v>
      </c>
      <c r="C804" s="3"/>
      <c r="D804" s="3"/>
      <c r="E804" s="5"/>
      <c r="F804" s="3"/>
      <c r="G804" s="3"/>
      <c r="H804" s="5"/>
      <c r="I804" s="5"/>
      <c r="J804" s="5"/>
      <c r="K804" s="5"/>
      <c r="L804" s="6"/>
      <c r="M804" s="6"/>
      <c r="N804" s="7"/>
      <c r="O804" s="3"/>
      <c r="P804" s="3"/>
      <c r="Q804" s="3"/>
      <c r="R804" s="3"/>
    </row>
    <row x14ac:dyDescent="0.25" r="805" customHeight="1" ht="18.75">
      <c r="A805" s="10" t="s">
        <v>872</v>
      </c>
      <c r="B805" s="11">
        <v>55</v>
      </c>
      <c r="C805" s="3"/>
      <c r="D805" s="3"/>
      <c r="E805" s="5"/>
      <c r="F805" s="3"/>
      <c r="G805" s="3"/>
      <c r="H805" s="5"/>
      <c r="I805" s="5"/>
      <c r="J805" s="5"/>
      <c r="K805" s="5"/>
      <c r="L805" s="6"/>
      <c r="M805" s="6"/>
      <c r="N805" s="7"/>
      <c r="O805" s="3"/>
      <c r="P805" s="3"/>
      <c r="Q805" s="3"/>
      <c r="R805" s="3"/>
    </row>
    <row x14ac:dyDescent="0.25" r="806" customHeight="1" ht="18.75">
      <c r="A806" s="10" t="s">
        <v>873</v>
      </c>
      <c r="B806" s="11">
        <v>55</v>
      </c>
      <c r="C806" s="3"/>
      <c r="D806" s="3"/>
      <c r="E806" s="5"/>
      <c r="F806" s="3"/>
      <c r="G806" s="3"/>
      <c r="H806" s="5"/>
      <c r="I806" s="5"/>
      <c r="J806" s="5"/>
      <c r="K806" s="5"/>
      <c r="L806" s="6"/>
      <c r="M806" s="6"/>
      <c r="N806" s="7"/>
      <c r="O806" s="3"/>
      <c r="P806" s="3"/>
      <c r="Q806" s="3"/>
      <c r="R806" s="3"/>
    </row>
    <row x14ac:dyDescent="0.25" r="807" customHeight="1" ht="18.75">
      <c r="A807" s="10" t="s">
        <v>874</v>
      </c>
      <c r="B807" s="11">
        <v>55</v>
      </c>
      <c r="C807" s="3"/>
      <c r="D807" s="3"/>
      <c r="E807" s="5"/>
      <c r="F807" s="3"/>
      <c r="G807" s="3"/>
      <c r="H807" s="5"/>
      <c r="I807" s="5"/>
      <c r="J807" s="5"/>
      <c r="K807" s="5"/>
      <c r="L807" s="6"/>
      <c r="M807" s="6"/>
      <c r="N807" s="7"/>
      <c r="O807" s="3"/>
      <c r="P807" s="3"/>
      <c r="Q807" s="3"/>
      <c r="R807" s="3"/>
    </row>
    <row x14ac:dyDescent="0.25" r="808" customHeight="1" ht="18.75">
      <c r="A808" s="10" t="s">
        <v>875</v>
      </c>
      <c r="B808" s="11">
        <v>55</v>
      </c>
      <c r="C808" s="3"/>
      <c r="D808" s="3"/>
      <c r="E808" s="5"/>
      <c r="F808" s="3"/>
      <c r="G808" s="3"/>
      <c r="H808" s="5"/>
      <c r="I808" s="5"/>
      <c r="J808" s="5"/>
      <c r="K808" s="5"/>
      <c r="L808" s="6"/>
      <c r="M808" s="6"/>
      <c r="N808" s="7"/>
      <c r="O808" s="3"/>
      <c r="P808" s="3"/>
      <c r="Q808" s="3"/>
      <c r="R808" s="3"/>
    </row>
    <row x14ac:dyDescent="0.25" r="809" customHeight="1" ht="18.75">
      <c r="A809" s="10" t="s">
        <v>876</v>
      </c>
      <c r="B809" s="11">
        <v>55</v>
      </c>
      <c r="C809" s="3"/>
      <c r="D809" s="3"/>
      <c r="E809" s="5"/>
      <c r="F809" s="3"/>
      <c r="G809" s="3"/>
      <c r="H809" s="5"/>
      <c r="I809" s="5"/>
      <c r="J809" s="5"/>
      <c r="K809" s="5"/>
      <c r="L809" s="6"/>
      <c r="M809" s="6"/>
      <c r="N809" s="7"/>
      <c r="O809" s="3"/>
      <c r="P809" s="3"/>
      <c r="Q809" s="3"/>
      <c r="R809" s="3"/>
    </row>
    <row x14ac:dyDescent="0.25" r="810" customHeight="1" ht="18.75">
      <c r="A810" s="10" t="s">
        <v>877</v>
      </c>
      <c r="B810" s="11">
        <v>55</v>
      </c>
      <c r="C810" s="3"/>
      <c r="D810" s="3"/>
      <c r="E810" s="5"/>
      <c r="F810" s="3"/>
      <c r="G810" s="3"/>
      <c r="H810" s="5"/>
      <c r="I810" s="5"/>
      <c r="J810" s="5"/>
      <c r="K810" s="5"/>
      <c r="L810" s="6"/>
      <c r="M810" s="6"/>
      <c r="N810" s="7"/>
      <c r="O810" s="3"/>
      <c r="P810" s="3"/>
      <c r="Q810" s="3"/>
      <c r="R810" s="3"/>
    </row>
    <row x14ac:dyDescent="0.25" r="811" customHeight="1" ht="18.75">
      <c r="A811" s="10" t="s">
        <v>878</v>
      </c>
      <c r="B811" s="11">
        <v>55</v>
      </c>
      <c r="C811" s="3"/>
      <c r="D811" s="3"/>
      <c r="E811" s="5"/>
      <c r="F811" s="3"/>
      <c r="G811" s="3"/>
      <c r="H811" s="5"/>
      <c r="I811" s="5"/>
      <c r="J811" s="5"/>
      <c r="K811" s="5"/>
      <c r="L811" s="6"/>
      <c r="M811" s="6"/>
      <c r="N811" s="7"/>
      <c r="O811" s="3"/>
      <c r="P811" s="3"/>
      <c r="Q811" s="3"/>
      <c r="R811" s="3"/>
    </row>
    <row x14ac:dyDescent="0.25" r="812" customHeight="1" ht="18.75">
      <c r="A812" s="10" t="s">
        <v>879</v>
      </c>
      <c r="B812" s="11">
        <v>55</v>
      </c>
      <c r="C812" s="3"/>
      <c r="D812" s="3"/>
      <c r="E812" s="5"/>
      <c r="F812" s="3"/>
      <c r="G812" s="3"/>
      <c r="H812" s="5"/>
      <c r="I812" s="5"/>
      <c r="J812" s="5"/>
      <c r="K812" s="5"/>
      <c r="L812" s="6"/>
      <c r="M812" s="6"/>
      <c r="N812" s="7"/>
      <c r="O812" s="3"/>
      <c r="P812" s="3"/>
      <c r="Q812" s="3"/>
      <c r="R812" s="3"/>
    </row>
    <row x14ac:dyDescent="0.25" r="813" customHeight="1" ht="18.75">
      <c r="A813" s="10" t="s">
        <v>880</v>
      </c>
      <c r="B813" s="11">
        <v>55</v>
      </c>
      <c r="C813" s="3"/>
      <c r="D813" s="3"/>
      <c r="E813" s="5"/>
      <c r="F813" s="3"/>
      <c r="G813" s="3"/>
      <c r="H813" s="5"/>
      <c r="I813" s="5"/>
      <c r="J813" s="5"/>
      <c r="K813" s="5"/>
      <c r="L813" s="6"/>
      <c r="M813" s="6"/>
      <c r="N813" s="7"/>
      <c r="O813" s="3"/>
      <c r="P813" s="3"/>
      <c r="Q813" s="3"/>
      <c r="R813" s="3"/>
    </row>
    <row x14ac:dyDescent="0.25" r="814" customHeight="1" ht="18.75">
      <c r="A814" s="10" t="s">
        <v>881</v>
      </c>
      <c r="B814" s="11">
        <v>55</v>
      </c>
      <c r="C814" s="3"/>
      <c r="D814" s="3"/>
      <c r="E814" s="5"/>
      <c r="F814" s="3"/>
      <c r="G814" s="3"/>
      <c r="H814" s="5"/>
      <c r="I814" s="5"/>
      <c r="J814" s="5"/>
      <c r="K814" s="5"/>
      <c r="L814" s="6"/>
      <c r="M814" s="6"/>
      <c r="N814" s="7"/>
      <c r="O814" s="3"/>
      <c r="P814" s="3"/>
      <c r="Q814" s="3"/>
      <c r="R814" s="3"/>
    </row>
    <row x14ac:dyDescent="0.25" r="815" customHeight="1" ht="18.75">
      <c r="A815" s="10" t="s">
        <v>882</v>
      </c>
      <c r="B815" s="11">
        <v>55</v>
      </c>
      <c r="C815" s="3"/>
      <c r="D815" s="3"/>
      <c r="E815" s="5"/>
      <c r="F815" s="3"/>
      <c r="G815" s="3"/>
      <c r="H815" s="5"/>
      <c r="I815" s="5"/>
      <c r="J815" s="5"/>
      <c r="K815" s="5"/>
      <c r="L815" s="6"/>
      <c r="M815" s="6"/>
      <c r="N815" s="7"/>
      <c r="O815" s="3"/>
      <c r="P815" s="3"/>
      <c r="Q815" s="3"/>
      <c r="R815" s="3"/>
    </row>
    <row x14ac:dyDescent="0.25" r="816" customHeight="1" ht="18.75">
      <c r="A816" s="10" t="s">
        <v>883</v>
      </c>
      <c r="B816" s="11">
        <v>55</v>
      </c>
      <c r="C816" s="3"/>
      <c r="D816" s="3"/>
      <c r="E816" s="5"/>
      <c r="F816" s="3"/>
      <c r="G816" s="3"/>
      <c r="H816" s="5"/>
      <c r="I816" s="5"/>
      <c r="J816" s="5"/>
      <c r="K816" s="5"/>
      <c r="L816" s="6"/>
      <c r="M816" s="6"/>
      <c r="N816" s="7"/>
      <c r="O816" s="3"/>
      <c r="P816" s="3"/>
      <c r="Q816" s="3"/>
      <c r="R816" s="3"/>
    </row>
    <row x14ac:dyDescent="0.25" r="817" customHeight="1" ht="18.75">
      <c r="A817" s="10" t="s">
        <v>884</v>
      </c>
      <c r="B817" s="11">
        <v>55</v>
      </c>
      <c r="C817" s="3"/>
      <c r="D817" s="3"/>
      <c r="E817" s="5"/>
      <c r="F817" s="3"/>
      <c r="G817" s="3"/>
      <c r="H817" s="5"/>
      <c r="I817" s="5"/>
      <c r="J817" s="5"/>
      <c r="K817" s="5"/>
      <c r="L817" s="6"/>
      <c r="M817" s="6"/>
      <c r="N817" s="7"/>
      <c r="O817" s="3"/>
      <c r="P817" s="3"/>
      <c r="Q817" s="3"/>
      <c r="R817" s="3"/>
    </row>
    <row x14ac:dyDescent="0.25" r="818" customHeight="1" ht="18.75">
      <c r="A818" s="10" t="s">
        <v>885</v>
      </c>
      <c r="B818" s="11">
        <v>55</v>
      </c>
      <c r="C818" s="3"/>
      <c r="D818" s="3"/>
      <c r="E818" s="5"/>
      <c r="F818" s="3"/>
      <c r="G818" s="3"/>
      <c r="H818" s="5"/>
      <c r="I818" s="5"/>
      <c r="J818" s="5"/>
      <c r="K818" s="5"/>
      <c r="L818" s="6"/>
      <c r="M818" s="6"/>
      <c r="N818" s="7"/>
      <c r="O818" s="3"/>
      <c r="P818" s="3"/>
      <c r="Q818" s="3"/>
      <c r="R818" s="3"/>
    </row>
    <row x14ac:dyDescent="0.25" r="819" customHeight="1" ht="18.75">
      <c r="A819" s="10" t="s">
        <v>886</v>
      </c>
      <c r="B819" s="11">
        <v>55</v>
      </c>
      <c r="C819" s="3"/>
      <c r="D819" s="3"/>
      <c r="E819" s="5"/>
      <c r="F819" s="3"/>
      <c r="G819" s="3"/>
      <c r="H819" s="5"/>
      <c r="I819" s="5"/>
      <c r="J819" s="5"/>
      <c r="K819" s="5"/>
      <c r="L819" s="6"/>
      <c r="M819" s="6"/>
      <c r="N819" s="7"/>
      <c r="O819" s="3"/>
      <c r="P819" s="3"/>
      <c r="Q819" s="3"/>
      <c r="R819" s="3"/>
    </row>
    <row x14ac:dyDescent="0.25" r="820" customHeight="1" ht="18.75">
      <c r="A820" s="10" t="s">
        <v>887</v>
      </c>
      <c r="B820" s="11">
        <v>55</v>
      </c>
      <c r="C820" s="3"/>
      <c r="D820" s="3"/>
      <c r="E820" s="5"/>
      <c r="F820" s="3"/>
      <c r="G820" s="3"/>
      <c r="H820" s="5"/>
      <c r="I820" s="5"/>
      <c r="J820" s="5"/>
      <c r="K820" s="5"/>
      <c r="L820" s="6"/>
      <c r="M820" s="6"/>
      <c r="N820" s="7"/>
      <c r="O820" s="3"/>
      <c r="P820" s="3"/>
      <c r="Q820" s="3"/>
      <c r="R820" s="3"/>
    </row>
    <row x14ac:dyDescent="0.25" r="821" customHeight="1" ht="18.75">
      <c r="A821" s="10" t="s">
        <v>888</v>
      </c>
      <c r="B821" s="11">
        <v>55</v>
      </c>
      <c r="C821" s="3"/>
      <c r="D821" s="3"/>
      <c r="E821" s="5"/>
      <c r="F821" s="3"/>
      <c r="G821" s="3"/>
      <c r="H821" s="5"/>
      <c r="I821" s="5"/>
      <c r="J821" s="5"/>
      <c r="K821" s="5"/>
      <c r="L821" s="6"/>
      <c r="M821" s="6"/>
      <c r="N821" s="7"/>
      <c r="O821" s="3"/>
      <c r="P821" s="3"/>
      <c r="Q821" s="3"/>
      <c r="R821" s="3"/>
    </row>
    <row x14ac:dyDescent="0.25" r="822" customHeight="1" ht="18.75">
      <c r="A822" s="10" t="s">
        <v>889</v>
      </c>
      <c r="B822" s="11">
        <v>55</v>
      </c>
      <c r="C822" s="3"/>
      <c r="D822" s="3"/>
      <c r="E822" s="5"/>
      <c r="F822" s="3"/>
      <c r="G822" s="3"/>
      <c r="H822" s="5"/>
      <c r="I822" s="5"/>
      <c r="J822" s="5"/>
      <c r="K822" s="5"/>
      <c r="L822" s="6"/>
      <c r="M822" s="6"/>
      <c r="N822" s="7"/>
      <c r="O822" s="3"/>
      <c r="P822" s="3"/>
      <c r="Q822" s="3"/>
      <c r="R822" s="3"/>
    </row>
    <row x14ac:dyDescent="0.25" r="823" customHeight="1" ht="18.75">
      <c r="A823" s="10" t="s">
        <v>890</v>
      </c>
      <c r="B823" s="11">
        <v>55</v>
      </c>
      <c r="C823" s="3"/>
      <c r="D823" s="3"/>
      <c r="E823" s="5"/>
      <c r="F823" s="3"/>
      <c r="G823" s="3"/>
      <c r="H823" s="5"/>
      <c r="I823" s="5"/>
      <c r="J823" s="5"/>
      <c r="K823" s="5"/>
      <c r="L823" s="6"/>
      <c r="M823" s="6"/>
      <c r="N823" s="7"/>
      <c r="O823" s="3"/>
      <c r="P823" s="3"/>
      <c r="Q823" s="3"/>
      <c r="R823" s="3"/>
    </row>
    <row x14ac:dyDescent="0.25" r="824" customHeight="1" ht="18.75">
      <c r="A824" s="10" t="s">
        <v>891</v>
      </c>
      <c r="B824" s="11">
        <v>55</v>
      </c>
      <c r="C824" s="3"/>
      <c r="D824" s="3"/>
      <c r="E824" s="5"/>
      <c r="F824" s="3"/>
      <c r="G824" s="3"/>
      <c r="H824" s="5"/>
      <c r="I824" s="5"/>
      <c r="J824" s="5"/>
      <c r="K824" s="5"/>
      <c r="L824" s="6"/>
      <c r="M824" s="6"/>
      <c r="N824" s="7"/>
      <c r="O824" s="3"/>
      <c r="P824" s="3"/>
      <c r="Q824" s="3"/>
      <c r="R824" s="3"/>
    </row>
    <row x14ac:dyDescent="0.25" r="825" customHeight="1" ht="18.75">
      <c r="A825" s="10" t="s">
        <v>892</v>
      </c>
      <c r="B825" s="11">
        <v>55</v>
      </c>
      <c r="C825" s="3"/>
      <c r="D825" s="3"/>
      <c r="E825" s="5"/>
      <c r="F825" s="3"/>
      <c r="G825" s="3"/>
      <c r="H825" s="5"/>
      <c r="I825" s="5"/>
      <c r="J825" s="5"/>
      <c r="K825" s="5"/>
      <c r="L825" s="6"/>
      <c r="M825" s="6"/>
      <c r="N825" s="7"/>
      <c r="O825" s="3"/>
      <c r="P825" s="3"/>
      <c r="Q825" s="3"/>
      <c r="R825" s="3"/>
    </row>
    <row x14ac:dyDescent="0.25" r="826" customHeight="1" ht="18.75">
      <c r="A826" s="10" t="s">
        <v>893</v>
      </c>
      <c r="B826" s="11">
        <v>55</v>
      </c>
      <c r="C826" s="3"/>
      <c r="D826" s="3"/>
      <c r="E826" s="5"/>
      <c r="F826" s="3"/>
      <c r="G826" s="3"/>
      <c r="H826" s="5"/>
      <c r="I826" s="5"/>
      <c r="J826" s="5"/>
      <c r="K826" s="5"/>
      <c r="L826" s="6"/>
      <c r="M826" s="6"/>
      <c r="N826" s="7"/>
      <c r="O826" s="3"/>
      <c r="P826" s="3"/>
      <c r="Q826" s="3"/>
      <c r="R826" s="3"/>
    </row>
    <row x14ac:dyDescent="0.25" r="827" customHeight="1" ht="18.75">
      <c r="A827" s="10" t="s">
        <v>894</v>
      </c>
      <c r="B827" s="11">
        <v>55</v>
      </c>
      <c r="C827" s="3"/>
      <c r="D827" s="3"/>
      <c r="E827" s="5"/>
      <c r="F827" s="3"/>
      <c r="G827" s="3"/>
      <c r="H827" s="5"/>
      <c r="I827" s="5"/>
      <c r="J827" s="5"/>
      <c r="K827" s="5"/>
      <c r="L827" s="6"/>
      <c r="M827" s="6"/>
      <c r="N827" s="7"/>
      <c r="O827" s="3"/>
      <c r="P827" s="3"/>
      <c r="Q827" s="3"/>
      <c r="R827" s="3"/>
    </row>
    <row x14ac:dyDescent="0.25" r="828" customHeight="1" ht="18.75">
      <c r="A828" s="10" t="s">
        <v>895</v>
      </c>
      <c r="B828" s="11">
        <v>55</v>
      </c>
      <c r="C828" s="3"/>
      <c r="D828" s="3"/>
      <c r="E828" s="5"/>
      <c r="F828" s="3"/>
      <c r="G828" s="3"/>
      <c r="H828" s="5"/>
      <c r="I828" s="5"/>
      <c r="J828" s="5"/>
      <c r="K828" s="5"/>
      <c r="L828" s="6"/>
      <c r="M828" s="6"/>
      <c r="N828" s="7"/>
      <c r="O828" s="3"/>
      <c r="P828" s="3"/>
      <c r="Q828" s="3"/>
      <c r="R828" s="3"/>
    </row>
    <row x14ac:dyDescent="0.25" r="829" customHeight="1" ht="18.75">
      <c r="A829" s="10" t="s">
        <v>896</v>
      </c>
      <c r="B829" s="11">
        <v>55</v>
      </c>
      <c r="C829" s="3"/>
      <c r="D829" s="3"/>
      <c r="E829" s="5"/>
      <c r="F829" s="3"/>
      <c r="G829" s="3"/>
      <c r="H829" s="5"/>
      <c r="I829" s="5"/>
      <c r="J829" s="5"/>
      <c r="K829" s="5"/>
      <c r="L829" s="6"/>
      <c r="M829" s="6"/>
      <c r="N829" s="7"/>
      <c r="O829" s="3"/>
      <c r="P829" s="3"/>
      <c r="Q829" s="3"/>
      <c r="R829" s="3"/>
    </row>
    <row x14ac:dyDescent="0.25" r="830" customHeight="1" ht="18.75">
      <c r="A830" s="10" t="s">
        <v>897</v>
      </c>
      <c r="B830" s="11">
        <v>55</v>
      </c>
      <c r="C830" s="3"/>
      <c r="D830" s="3"/>
      <c r="E830" s="5"/>
      <c r="F830" s="3"/>
      <c r="G830" s="3"/>
      <c r="H830" s="5"/>
      <c r="I830" s="5"/>
      <c r="J830" s="5"/>
      <c r="K830" s="5"/>
      <c r="L830" s="6"/>
      <c r="M830" s="6"/>
      <c r="N830" s="7"/>
      <c r="O830" s="3"/>
      <c r="P830" s="3"/>
      <c r="Q830" s="3"/>
      <c r="R830" s="3"/>
    </row>
    <row x14ac:dyDescent="0.25" r="831" customHeight="1" ht="18.75">
      <c r="A831" s="10" t="s">
        <v>898</v>
      </c>
      <c r="B831" s="11">
        <v>55</v>
      </c>
      <c r="C831" s="3"/>
      <c r="D831" s="3"/>
      <c r="E831" s="5"/>
      <c r="F831" s="3"/>
      <c r="G831" s="3"/>
      <c r="H831" s="5"/>
      <c r="I831" s="5"/>
      <c r="J831" s="5"/>
      <c r="K831" s="5"/>
      <c r="L831" s="6"/>
      <c r="M831" s="6"/>
      <c r="N831" s="7"/>
      <c r="O831" s="3"/>
      <c r="P831" s="3"/>
      <c r="Q831" s="3"/>
      <c r="R831" s="3"/>
    </row>
    <row x14ac:dyDescent="0.25" r="832" customHeight="1" ht="18.75">
      <c r="A832" s="10" t="s">
        <v>899</v>
      </c>
      <c r="B832" s="11">
        <v>55</v>
      </c>
      <c r="C832" s="3"/>
      <c r="D832" s="3"/>
      <c r="E832" s="5"/>
      <c r="F832" s="3"/>
      <c r="G832" s="3"/>
      <c r="H832" s="5"/>
      <c r="I832" s="5"/>
      <c r="J832" s="5"/>
      <c r="K832" s="5"/>
      <c r="L832" s="6"/>
      <c r="M832" s="6"/>
      <c r="N832" s="7"/>
      <c r="O832" s="3"/>
      <c r="P832" s="3"/>
      <c r="Q832" s="3"/>
      <c r="R832" s="3"/>
    </row>
    <row x14ac:dyDescent="0.25" r="833" customHeight="1" ht="18.75">
      <c r="A833" s="10" t="s">
        <v>900</v>
      </c>
      <c r="B833" s="11">
        <v>55</v>
      </c>
      <c r="C833" s="3"/>
      <c r="D833" s="3"/>
      <c r="E833" s="5"/>
      <c r="F833" s="3"/>
      <c r="G833" s="3"/>
      <c r="H833" s="5"/>
      <c r="I833" s="5"/>
      <c r="J833" s="5"/>
      <c r="K833" s="5"/>
      <c r="L833" s="6"/>
      <c r="M833" s="6"/>
      <c r="N833" s="7"/>
      <c r="O833" s="3"/>
      <c r="P833" s="3"/>
      <c r="Q833" s="3"/>
      <c r="R833" s="3"/>
    </row>
    <row x14ac:dyDescent="0.25" r="834" customHeight="1" ht="18.75">
      <c r="A834" s="10" t="s">
        <v>901</v>
      </c>
      <c r="B834" s="11">
        <v>55</v>
      </c>
      <c r="C834" s="3"/>
      <c r="D834" s="3"/>
      <c r="E834" s="5"/>
      <c r="F834" s="3"/>
      <c r="G834" s="3"/>
      <c r="H834" s="5"/>
      <c r="I834" s="5"/>
      <c r="J834" s="5"/>
      <c r="K834" s="5"/>
      <c r="L834" s="6"/>
      <c r="M834" s="6"/>
      <c r="N834" s="7"/>
      <c r="O834" s="3"/>
      <c r="P834" s="3"/>
      <c r="Q834" s="3"/>
      <c r="R834" s="3"/>
    </row>
    <row x14ac:dyDescent="0.25" r="835" customHeight="1" ht="18.75">
      <c r="A835" s="10" t="s">
        <v>902</v>
      </c>
      <c r="B835" s="11">
        <v>55</v>
      </c>
      <c r="C835" s="3"/>
      <c r="D835" s="3"/>
      <c r="E835" s="5"/>
      <c r="F835" s="3"/>
      <c r="G835" s="3"/>
      <c r="H835" s="5"/>
      <c r="I835" s="5"/>
      <c r="J835" s="5"/>
      <c r="K835" s="5"/>
      <c r="L835" s="6"/>
      <c r="M835" s="6"/>
      <c r="N835" s="7"/>
      <c r="O835" s="3"/>
      <c r="P835" s="3"/>
      <c r="Q835" s="3"/>
      <c r="R835" s="3"/>
    </row>
    <row x14ac:dyDescent="0.25" r="836" customHeight="1" ht="18.75">
      <c r="A836" s="10" t="s">
        <v>903</v>
      </c>
      <c r="B836" s="11">
        <v>55</v>
      </c>
      <c r="C836" s="3"/>
      <c r="D836" s="3"/>
      <c r="E836" s="5"/>
      <c r="F836" s="3"/>
      <c r="G836" s="3"/>
      <c r="H836" s="5"/>
      <c r="I836" s="5"/>
      <c r="J836" s="5"/>
      <c r="K836" s="5"/>
      <c r="L836" s="6"/>
      <c r="M836" s="6"/>
      <c r="N836" s="7"/>
      <c r="O836" s="3"/>
      <c r="P836" s="3"/>
      <c r="Q836" s="3"/>
      <c r="R836" s="3"/>
    </row>
    <row x14ac:dyDescent="0.25" r="837" customHeight="1" ht="18.75">
      <c r="A837" s="10" t="s">
        <v>904</v>
      </c>
      <c r="B837" s="11">
        <v>56</v>
      </c>
      <c r="C837" s="3"/>
      <c r="D837" s="3"/>
      <c r="E837" s="5"/>
      <c r="F837" s="3"/>
      <c r="G837" s="3"/>
      <c r="H837" s="5"/>
      <c r="I837" s="5"/>
      <c r="J837" s="5"/>
      <c r="K837" s="5"/>
      <c r="L837" s="6"/>
      <c r="M837" s="6"/>
      <c r="N837" s="7"/>
      <c r="O837" s="3"/>
      <c r="P837" s="3"/>
      <c r="Q837" s="3"/>
      <c r="R837" s="3"/>
    </row>
    <row x14ac:dyDescent="0.25" r="838" customHeight="1" ht="18.75">
      <c r="A838" s="10" t="s">
        <v>905</v>
      </c>
      <c r="B838" s="11">
        <v>56</v>
      </c>
      <c r="C838" s="3"/>
      <c r="D838" s="3"/>
      <c r="E838" s="5"/>
      <c r="F838" s="3"/>
      <c r="G838" s="3"/>
      <c r="H838" s="5"/>
      <c r="I838" s="5"/>
      <c r="J838" s="5"/>
      <c r="K838" s="5"/>
      <c r="L838" s="6"/>
      <c r="M838" s="6"/>
      <c r="N838" s="7"/>
      <c r="O838" s="3"/>
      <c r="P838" s="3"/>
      <c r="Q838" s="3"/>
      <c r="R838" s="3"/>
    </row>
    <row x14ac:dyDescent="0.25" r="839" customHeight="1" ht="18.75">
      <c r="A839" s="10" t="s">
        <v>906</v>
      </c>
      <c r="B839" s="11">
        <v>56</v>
      </c>
      <c r="C839" s="3"/>
      <c r="D839" s="3"/>
      <c r="E839" s="5"/>
      <c r="F839" s="3"/>
      <c r="G839" s="3"/>
      <c r="H839" s="5"/>
      <c r="I839" s="5"/>
      <c r="J839" s="5"/>
      <c r="K839" s="5"/>
      <c r="L839" s="6"/>
      <c r="M839" s="6"/>
      <c r="N839" s="7"/>
      <c r="O839" s="3"/>
      <c r="P839" s="3"/>
      <c r="Q839" s="3"/>
      <c r="R839" s="3"/>
    </row>
    <row x14ac:dyDescent="0.25" r="840" customHeight="1" ht="18.75">
      <c r="A840" s="10" t="s">
        <v>907</v>
      </c>
      <c r="B840" s="11">
        <v>56</v>
      </c>
      <c r="C840" s="3"/>
      <c r="D840" s="3"/>
      <c r="E840" s="5"/>
      <c r="F840" s="3"/>
      <c r="G840" s="3"/>
      <c r="H840" s="5"/>
      <c r="I840" s="5"/>
      <c r="J840" s="5"/>
      <c r="K840" s="5"/>
      <c r="L840" s="6"/>
      <c r="M840" s="6"/>
      <c r="N840" s="7"/>
      <c r="O840" s="3"/>
      <c r="P840" s="3"/>
      <c r="Q840" s="3"/>
      <c r="R840" s="3"/>
    </row>
    <row x14ac:dyDescent="0.25" r="841" customHeight="1" ht="18.75">
      <c r="A841" s="10" t="s">
        <v>908</v>
      </c>
      <c r="B841" s="11">
        <v>56</v>
      </c>
      <c r="C841" s="3"/>
      <c r="D841" s="3"/>
      <c r="E841" s="5"/>
      <c r="F841" s="3"/>
      <c r="G841" s="3"/>
      <c r="H841" s="5"/>
      <c r="I841" s="5"/>
      <c r="J841" s="5"/>
      <c r="K841" s="5"/>
      <c r="L841" s="6"/>
      <c r="M841" s="6"/>
      <c r="N841" s="7"/>
      <c r="O841" s="3"/>
      <c r="P841" s="3"/>
      <c r="Q841" s="3"/>
      <c r="R841" s="3"/>
    </row>
    <row x14ac:dyDescent="0.25" r="842" customHeight="1" ht="18.75">
      <c r="A842" s="10" t="s">
        <v>909</v>
      </c>
      <c r="B842" s="11">
        <v>56</v>
      </c>
      <c r="C842" s="3"/>
      <c r="D842" s="3"/>
      <c r="E842" s="5"/>
      <c r="F842" s="3"/>
      <c r="G842" s="3"/>
      <c r="H842" s="5"/>
      <c r="I842" s="5"/>
      <c r="J842" s="5"/>
      <c r="K842" s="5"/>
      <c r="L842" s="6"/>
      <c r="M842" s="6"/>
      <c r="N842" s="7"/>
      <c r="O842" s="3"/>
      <c r="P842" s="3"/>
      <c r="Q842" s="3"/>
      <c r="R842" s="3"/>
    </row>
    <row x14ac:dyDescent="0.25" r="843" customHeight="1" ht="18.75">
      <c r="A843" s="10" t="s">
        <v>910</v>
      </c>
      <c r="B843" s="11">
        <v>56</v>
      </c>
      <c r="C843" s="3"/>
      <c r="D843" s="3"/>
      <c r="E843" s="5"/>
      <c r="F843" s="3"/>
      <c r="G843" s="3"/>
      <c r="H843" s="5"/>
      <c r="I843" s="5"/>
      <c r="J843" s="5"/>
      <c r="K843" s="5"/>
      <c r="L843" s="6"/>
      <c r="M843" s="6"/>
      <c r="N843" s="7"/>
      <c r="O843" s="3"/>
      <c r="P843" s="3"/>
      <c r="Q843" s="3"/>
      <c r="R843" s="3"/>
    </row>
    <row x14ac:dyDescent="0.25" r="844" customHeight="1" ht="18.75">
      <c r="A844" s="10" t="s">
        <v>911</v>
      </c>
      <c r="B844" s="11">
        <v>56</v>
      </c>
      <c r="C844" s="3"/>
      <c r="D844" s="3"/>
      <c r="E844" s="5"/>
      <c r="F844" s="3"/>
      <c r="G844" s="3"/>
      <c r="H844" s="5"/>
      <c r="I844" s="5"/>
      <c r="J844" s="5"/>
      <c r="K844" s="5"/>
      <c r="L844" s="6"/>
      <c r="M844" s="6"/>
      <c r="N844" s="7"/>
      <c r="O844" s="3"/>
      <c r="P844" s="3"/>
      <c r="Q844" s="3"/>
      <c r="R844" s="3"/>
    </row>
    <row x14ac:dyDescent="0.25" r="845" customHeight="1" ht="18.75">
      <c r="A845" s="10" t="s">
        <v>912</v>
      </c>
      <c r="B845" s="11">
        <v>56</v>
      </c>
      <c r="C845" s="3"/>
      <c r="D845" s="3"/>
      <c r="E845" s="5"/>
      <c r="F845" s="3"/>
      <c r="G845" s="3"/>
      <c r="H845" s="5"/>
      <c r="I845" s="5"/>
      <c r="J845" s="5"/>
      <c r="K845" s="5"/>
      <c r="L845" s="6"/>
      <c r="M845" s="6"/>
      <c r="N845" s="7"/>
      <c r="O845" s="3"/>
      <c r="P845" s="3"/>
      <c r="Q845" s="3"/>
      <c r="R845" s="3"/>
    </row>
    <row x14ac:dyDescent="0.25" r="846" customHeight="1" ht="18.75">
      <c r="A846" s="10" t="s">
        <v>913</v>
      </c>
      <c r="B846" s="11">
        <v>56</v>
      </c>
      <c r="C846" s="3"/>
      <c r="D846" s="3"/>
      <c r="E846" s="5"/>
      <c r="F846" s="3"/>
      <c r="G846" s="3"/>
      <c r="H846" s="5"/>
      <c r="I846" s="5"/>
      <c r="J846" s="5"/>
      <c r="K846" s="5"/>
      <c r="L846" s="6"/>
      <c r="M846" s="6"/>
      <c r="N846" s="7"/>
      <c r="O846" s="3"/>
      <c r="P846" s="3"/>
      <c r="Q846" s="3"/>
      <c r="R846" s="3"/>
    </row>
    <row x14ac:dyDescent="0.25" r="847" customHeight="1" ht="18.75">
      <c r="A847" s="10" t="s">
        <v>914</v>
      </c>
      <c r="B847" s="11">
        <v>56</v>
      </c>
      <c r="C847" s="3"/>
      <c r="D847" s="3"/>
      <c r="E847" s="5"/>
      <c r="F847" s="3"/>
      <c r="G847" s="3"/>
      <c r="H847" s="5"/>
      <c r="I847" s="5"/>
      <c r="J847" s="5"/>
      <c r="K847" s="5"/>
      <c r="L847" s="6"/>
      <c r="M847" s="6"/>
      <c r="N847" s="7"/>
      <c r="O847" s="3"/>
      <c r="P847" s="3"/>
      <c r="Q847" s="3"/>
      <c r="R847" s="3"/>
    </row>
    <row x14ac:dyDescent="0.25" r="848" customHeight="1" ht="18.75">
      <c r="A848" s="10" t="s">
        <v>915</v>
      </c>
      <c r="B848" s="11">
        <v>56</v>
      </c>
      <c r="C848" s="3"/>
      <c r="D848" s="3"/>
      <c r="E848" s="5"/>
      <c r="F848" s="3"/>
      <c r="G848" s="3"/>
      <c r="H848" s="5"/>
      <c r="I848" s="5"/>
      <c r="J848" s="5"/>
      <c r="K848" s="5"/>
      <c r="L848" s="6"/>
      <c r="M848" s="6"/>
      <c r="N848" s="7"/>
      <c r="O848" s="3"/>
      <c r="P848" s="3"/>
      <c r="Q848" s="3"/>
      <c r="R848" s="3"/>
    </row>
    <row x14ac:dyDescent="0.25" r="849" customHeight="1" ht="18.75">
      <c r="A849" s="10" t="s">
        <v>916</v>
      </c>
      <c r="B849" s="11">
        <v>56</v>
      </c>
      <c r="C849" s="3"/>
      <c r="D849" s="3"/>
      <c r="E849" s="5"/>
      <c r="F849" s="3"/>
      <c r="G849" s="3"/>
      <c r="H849" s="5"/>
      <c r="I849" s="5"/>
      <c r="J849" s="5"/>
      <c r="K849" s="5"/>
      <c r="L849" s="6"/>
      <c r="M849" s="6"/>
      <c r="N849" s="7"/>
      <c r="O849" s="3"/>
      <c r="P849" s="3"/>
      <c r="Q849" s="3"/>
      <c r="R849" s="3"/>
    </row>
    <row x14ac:dyDescent="0.25" r="850" customHeight="1" ht="18.75">
      <c r="A850" s="10" t="s">
        <v>917</v>
      </c>
      <c r="B850" s="11">
        <v>56</v>
      </c>
      <c r="C850" s="3"/>
      <c r="D850" s="3"/>
      <c r="E850" s="5"/>
      <c r="F850" s="3"/>
      <c r="G850" s="3"/>
      <c r="H850" s="5"/>
      <c r="I850" s="5"/>
      <c r="J850" s="5"/>
      <c r="K850" s="5"/>
      <c r="L850" s="6"/>
      <c r="M850" s="6"/>
      <c r="N850" s="7"/>
      <c r="O850" s="3"/>
      <c r="P850" s="3"/>
      <c r="Q850" s="3"/>
      <c r="R850" s="3"/>
    </row>
    <row x14ac:dyDescent="0.25" r="851" customHeight="1" ht="18.75">
      <c r="A851" s="10" t="s">
        <v>918</v>
      </c>
      <c r="B851" s="11">
        <v>56</v>
      </c>
      <c r="C851" s="3"/>
      <c r="D851" s="3"/>
      <c r="E851" s="5"/>
      <c r="F851" s="3"/>
      <c r="G851" s="3"/>
      <c r="H851" s="5"/>
      <c r="I851" s="5"/>
      <c r="J851" s="5"/>
      <c r="K851" s="5"/>
      <c r="L851" s="6"/>
      <c r="M851" s="6"/>
      <c r="N851" s="7"/>
      <c r="O851" s="3"/>
      <c r="P851" s="3"/>
      <c r="Q851" s="3"/>
      <c r="R851" s="3"/>
    </row>
    <row x14ac:dyDescent="0.25" r="852" customHeight="1" ht="18.75">
      <c r="A852" s="10" t="s">
        <v>919</v>
      </c>
      <c r="B852" s="11">
        <v>56</v>
      </c>
      <c r="C852" s="3"/>
      <c r="D852" s="3"/>
      <c r="E852" s="5"/>
      <c r="F852" s="3"/>
      <c r="G852" s="3"/>
      <c r="H852" s="5"/>
      <c r="I852" s="5"/>
      <c r="J852" s="5"/>
      <c r="K852" s="5"/>
      <c r="L852" s="6"/>
      <c r="M852" s="6"/>
      <c r="N852" s="7"/>
      <c r="O852" s="3"/>
      <c r="P852" s="3"/>
      <c r="Q852" s="3"/>
      <c r="R852" s="3"/>
    </row>
    <row x14ac:dyDescent="0.25" r="853" customHeight="1" ht="18.75">
      <c r="A853" s="10" t="s">
        <v>920</v>
      </c>
      <c r="B853" s="11">
        <v>57</v>
      </c>
      <c r="C853" s="3"/>
      <c r="D853" s="3"/>
      <c r="E853" s="5"/>
      <c r="F853" s="3"/>
      <c r="G853" s="3"/>
      <c r="H853" s="5"/>
      <c r="I853" s="5"/>
      <c r="J853" s="5"/>
      <c r="K853" s="5"/>
      <c r="L853" s="6"/>
      <c r="M853" s="6"/>
      <c r="N853" s="7"/>
      <c r="O853" s="3"/>
      <c r="P853" s="3"/>
      <c r="Q853" s="3"/>
      <c r="R853" s="3"/>
    </row>
    <row x14ac:dyDescent="0.25" r="854" customHeight="1" ht="18.75">
      <c r="A854" s="10" t="s">
        <v>921</v>
      </c>
      <c r="B854" s="11">
        <v>57</v>
      </c>
      <c r="C854" s="3"/>
      <c r="D854" s="3"/>
      <c r="E854" s="5"/>
      <c r="F854" s="3"/>
      <c r="G854" s="3"/>
      <c r="H854" s="5"/>
      <c r="I854" s="5"/>
      <c r="J854" s="5"/>
      <c r="K854" s="5"/>
      <c r="L854" s="6"/>
      <c r="M854" s="6"/>
      <c r="N854" s="7"/>
      <c r="O854" s="3"/>
      <c r="P854" s="3"/>
      <c r="Q854" s="3"/>
      <c r="R854" s="3"/>
    </row>
    <row x14ac:dyDescent="0.25" r="855" customHeight="1" ht="18.75">
      <c r="A855" s="10" t="s">
        <v>922</v>
      </c>
      <c r="B855" s="11">
        <v>57</v>
      </c>
      <c r="C855" s="3"/>
      <c r="D855" s="3"/>
      <c r="E855" s="5"/>
      <c r="F855" s="3"/>
      <c r="G855" s="3"/>
      <c r="H855" s="5"/>
      <c r="I855" s="5"/>
      <c r="J855" s="5"/>
      <c r="K855" s="5"/>
      <c r="L855" s="6"/>
      <c r="M855" s="6"/>
      <c r="N855" s="7"/>
      <c r="O855" s="3"/>
      <c r="P855" s="3"/>
      <c r="Q855" s="3"/>
      <c r="R855" s="3"/>
    </row>
    <row x14ac:dyDescent="0.25" r="856" customHeight="1" ht="18.75">
      <c r="A856" s="10" t="s">
        <v>923</v>
      </c>
      <c r="B856" s="11">
        <v>57</v>
      </c>
      <c r="C856" s="3"/>
      <c r="D856" s="3"/>
      <c r="E856" s="5"/>
      <c r="F856" s="3"/>
      <c r="G856" s="3"/>
      <c r="H856" s="5"/>
      <c r="I856" s="5"/>
      <c r="J856" s="5"/>
      <c r="K856" s="5"/>
      <c r="L856" s="6"/>
      <c r="M856" s="6"/>
      <c r="N856" s="7"/>
      <c r="O856" s="3"/>
      <c r="P856" s="3"/>
      <c r="Q856" s="3"/>
      <c r="R856" s="3"/>
    </row>
    <row x14ac:dyDescent="0.25" r="857" customHeight="1" ht="18.75">
      <c r="A857" s="10" t="s">
        <v>924</v>
      </c>
      <c r="B857" s="11">
        <v>57</v>
      </c>
      <c r="C857" s="3"/>
      <c r="D857" s="3"/>
      <c r="E857" s="5"/>
      <c r="F857" s="3"/>
      <c r="G857" s="3"/>
      <c r="H857" s="5"/>
      <c r="I857" s="5"/>
      <c r="J857" s="5"/>
      <c r="K857" s="5"/>
      <c r="L857" s="6"/>
      <c r="M857" s="6"/>
      <c r="N857" s="7"/>
      <c r="O857" s="3"/>
      <c r="P857" s="3"/>
      <c r="Q857" s="3"/>
      <c r="R857" s="3"/>
    </row>
    <row x14ac:dyDescent="0.25" r="858" customHeight="1" ht="18.75">
      <c r="A858" s="10" t="s">
        <v>925</v>
      </c>
      <c r="B858" s="11">
        <v>57</v>
      </c>
      <c r="C858" s="3"/>
      <c r="D858" s="3"/>
      <c r="E858" s="5"/>
      <c r="F858" s="3"/>
      <c r="G858" s="3"/>
      <c r="H858" s="5"/>
      <c r="I858" s="5"/>
      <c r="J858" s="5"/>
      <c r="K858" s="5"/>
      <c r="L858" s="6"/>
      <c r="M858" s="6"/>
      <c r="N858" s="7"/>
      <c r="O858" s="3"/>
      <c r="P858" s="3"/>
      <c r="Q858" s="3"/>
      <c r="R858" s="3"/>
    </row>
    <row x14ac:dyDescent="0.25" r="859" customHeight="1" ht="18.75">
      <c r="A859" s="10" t="s">
        <v>926</v>
      </c>
      <c r="B859" s="11">
        <v>57</v>
      </c>
      <c r="C859" s="3"/>
      <c r="D859" s="3"/>
      <c r="E859" s="5"/>
      <c r="F859" s="3"/>
      <c r="G859" s="3"/>
      <c r="H859" s="5"/>
      <c r="I859" s="5"/>
      <c r="J859" s="5"/>
      <c r="K859" s="5"/>
      <c r="L859" s="6"/>
      <c r="M859" s="6"/>
      <c r="N859" s="7"/>
      <c r="O859" s="3"/>
      <c r="P859" s="3"/>
      <c r="Q859" s="3"/>
      <c r="R859" s="3"/>
    </row>
    <row x14ac:dyDescent="0.25" r="860" customHeight="1" ht="18.75">
      <c r="A860" s="10" t="s">
        <v>927</v>
      </c>
      <c r="B860" s="11">
        <v>57</v>
      </c>
      <c r="C860" s="3"/>
      <c r="D860" s="3"/>
      <c r="E860" s="5"/>
      <c r="F860" s="3"/>
      <c r="G860" s="3"/>
      <c r="H860" s="5"/>
      <c r="I860" s="5"/>
      <c r="J860" s="5"/>
      <c r="K860" s="5"/>
      <c r="L860" s="6"/>
      <c r="M860" s="6"/>
      <c r="N860" s="7"/>
      <c r="O860" s="3"/>
      <c r="P860" s="3"/>
      <c r="Q860" s="3"/>
      <c r="R860" s="3"/>
    </row>
    <row x14ac:dyDescent="0.25" r="861" customHeight="1" ht="18.75">
      <c r="A861" s="10" t="s">
        <v>928</v>
      </c>
      <c r="B861" s="11">
        <v>57</v>
      </c>
      <c r="C861" s="3"/>
      <c r="D861" s="3"/>
      <c r="E861" s="5"/>
      <c r="F861" s="3"/>
      <c r="G861" s="3"/>
      <c r="H861" s="5"/>
      <c r="I861" s="5"/>
      <c r="J861" s="5"/>
      <c r="K861" s="5"/>
      <c r="L861" s="6"/>
      <c r="M861" s="6"/>
      <c r="N861" s="7"/>
      <c r="O861" s="3"/>
      <c r="P861" s="3"/>
      <c r="Q861" s="3"/>
      <c r="R861" s="3"/>
    </row>
    <row x14ac:dyDescent="0.25" r="862" customHeight="1" ht="18.75">
      <c r="A862" s="10" t="s">
        <v>929</v>
      </c>
      <c r="B862" s="11">
        <v>57</v>
      </c>
      <c r="C862" s="3"/>
      <c r="D862" s="3"/>
      <c r="E862" s="5"/>
      <c r="F862" s="3"/>
      <c r="G862" s="3"/>
      <c r="H862" s="5"/>
      <c r="I862" s="5"/>
      <c r="J862" s="5"/>
      <c r="K862" s="5"/>
      <c r="L862" s="6"/>
      <c r="M862" s="6"/>
      <c r="N862" s="7"/>
      <c r="O862" s="3"/>
      <c r="P862" s="3"/>
      <c r="Q862" s="3"/>
      <c r="R862" s="3"/>
    </row>
    <row x14ac:dyDescent="0.25" r="863" customHeight="1" ht="18.75">
      <c r="A863" s="10" t="s">
        <v>930</v>
      </c>
      <c r="B863" s="11">
        <v>57</v>
      </c>
      <c r="C863" s="3"/>
      <c r="D863" s="3"/>
      <c r="E863" s="5"/>
      <c r="F863" s="3"/>
      <c r="G863" s="3"/>
      <c r="H863" s="5"/>
      <c r="I863" s="5"/>
      <c r="J863" s="5"/>
      <c r="K863" s="5"/>
      <c r="L863" s="6"/>
      <c r="M863" s="6"/>
      <c r="N863" s="7"/>
      <c r="O863" s="3"/>
      <c r="P863" s="3"/>
      <c r="Q863" s="3"/>
      <c r="R863" s="3"/>
    </row>
    <row x14ac:dyDescent="0.25" r="864" customHeight="1" ht="18.75">
      <c r="A864" s="10" t="s">
        <v>931</v>
      </c>
      <c r="B864" s="11">
        <v>57</v>
      </c>
      <c r="C864" s="3"/>
      <c r="D864" s="3"/>
      <c r="E864" s="5"/>
      <c r="F864" s="3"/>
      <c r="G864" s="3"/>
      <c r="H864" s="5"/>
      <c r="I864" s="5"/>
      <c r="J864" s="5"/>
      <c r="K864" s="5"/>
      <c r="L864" s="6"/>
      <c r="M864" s="6"/>
      <c r="N864" s="7"/>
      <c r="O864" s="3"/>
      <c r="P864" s="3"/>
      <c r="Q864" s="3"/>
      <c r="R864" s="3"/>
    </row>
    <row x14ac:dyDescent="0.25" r="865" customHeight="1" ht="18.75">
      <c r="A865" s="10" t="s">
        <v>932</v>
      </c>
      <c r="B865" s="11">
        <v>57</v>
      </c>
      <c r="C865" s="3"/>
      <c r="D865" s="3"/>
      <c r="E865" s="5"/>
      <c r="F865" s="3"/>
      <c r="G865" s="3"/>
      <c r="H865" s="5"/>
      <c r="I865" s="5"/>
      <c r="J865" s="5"/>
      <c r="K865" s="5"/>
      <c r="L865" s="6"/>
      <c r="M865" s="6"/>
      <c r="N865" s="7"/>
      <c r="O865" s="3"/>
      <c r="P865" s="3"/>
      <c r="Q865" s="3"/>
      <c r="R865" s="3"/>
    </row>
    <row x14ac:dyDescent="0.25" r="866" customHeight="1" ht="18.75">
      <c r="A866" s="10" t="s">
        <v>933</v>
      </c>
      <c r="B866" s="11">
        <v>57</v>
      </c>
      <c r="C866" s="3"/>
      <c r="D866" s="3"/>
      <c r="E866" s="5"/>
      <c r="F866" s="3"/>
      <c r="G866" s="3"/>
      <c r="H866" s="5"/>
      <c r="I866" s="5"/>
      <c r="J866" s="5"/>
      <c r="K866" s="5"/>
      <c r="L866" s="6"/>
      <c r="M866" s="6"/>
      <c r="N866" s="7"/>
      <c r="O866" s="3"/>
      <c r="P866" s="3"/>
      <c r="Q866" s="3"/>
      <c r="R866" s="3"/>
    </row>
    <row x14ac:dyDescent="0.25" r="867" customHeight="1" ht="18.75">
      <c r="A867" s="10" t="s">
        <v>934</v>
      </c>
      <c r="B867" s="11">
        <v>57</v>
      </c>
      <c r="C867" s="3"/>
      <c r="D867" s="3"/>
      <c r="E867" s="5"/>
      <c r="F867" s="3"/>
      <c r="G867" s="3"/>
      <c r="H867" s="5"/>
      <c r="I867" s="5"/>
      <c r="J867" s="5"/>
      <c r="K867" s="5"/>
      <c r="L867" s="6"/>
      <c r="M867" s="6"/>
      <c r="N867" s="7"/>
      <c r="O867" s="3"/>
      <c r="P867" s="3"/>
      <c r="Q867" s="3"/>
      <c r="R867" s="3"/>
    </row>
    <row x14ac:dyDescent="0.25" r="868" customHeight="1" ht="18.75">
      <c r="A868" s="10" t="s">
        <v>935</v>
      </c>
      <c r="B868" s="11">
        <v>57</v>
      </c>
      <c r="C868" s="3"/>
      <c r="D868" s="3"/>
      <c r="E868" s="5"/>
      <c r="F868" s="3"/>
      <c r="G868" s="3"/>
      <c r="H868" s="5"/>
      <c r="I868" s="5"/>
      <c r="J868" s="5"/>
      <c r="K868" s="5"/>
      <c r="L868" s="6"/>
      <c r="M868" s="6"/>
      <c r="N868" s="7"/>
      <c r="O868" s="3"/>
      <c r="P868" s="3"/>
      <c r="Q868" s="3"/>
      <c r="R868" s="3"/>
    </row>
    <row x14ac:dyDescent="0.25" r="869" customHeight="1" ht="18.75">
      <c r="A869" s="10" t="s">
        <v>936</v>
      </c>
      <c r="B869" s="11">
        <v>57</v>
      </c>
      <c r="C869" s="3"/>
      <c r="D869" s="3"/>
      <c r="E869" s="5"/>
      <c r="F869" s="3"/>
      <c r="G869" s="3"/>
      <c r="H869" s="5"/>
      <c r="I869" s="5"/>
      <c r="J869" s="5"/>
      <c r="K869" s="5"/>
      <c r="L869" s="6"/>
      <c r="M869" s="6"/>
      <c r="N869" s="7"/>
      <c r="O869" s="3"/>
      <c r="P869" s="3"/>
      <c r="Q869" s="3"/>
      <c r="R869" s="3"/>
    </row>
    <row x14ac:dyDescent="0.25" r="870" customHeight="1" ht="18.75">
      <c r="A870" s="10" t="s">
        <v>937</v>
      </c>
      <c r="B870" s="11">
        <v>57</v>
      </c>
      <c r="C870" s="3"/>
      <c r="D870" s="3"/>
      <c r="E870" s="5"/>
      <c r="F870" s="3"/>
      <c r="G870" s="3"/>
      <c r="H870" s="5"/>
      <c r="I870" s="5"/>
      <c r="J870" s="5"/>
      <c r="K870" s="5"/>
      <c r="L870" s="6"/>
      <c r="M870" s="6"/>
      <c r="N870" s="7"/>
      <c r="O870" s="3"/>
      <c r="P870" s="3"/>
      <c r="Q870" s="3"/>
      <c r="R870" s="3"/>
    </row>
    <row x14ac:dyDescent="0.25" r="871" customHeight="1" ht="18.75">
      <c r="A871" s="10" t="s">
        <v>938</v>
      </c>
      <c r="B871" s="11">
        <v>57</v>
      </c>
      <c r="C871" s="3"/>
      <c r="D871" s="3"/>
      <c r="E871" s="5"/>
      <c r="F871" s="3"/>
      <c r="G871" s="3"/>
      <c r="H871" s="5"/>
      <c r="I871" s="5"/>
      <c r="J871" s="5"/>
      <c r="K871" s="5"/>
      <c r="L871" s="6"/>
      <c r="M871" s="6"/>
      <c r="N871" s="7"/>
      <c r="O871" s="3"/>
      <c r="P871" s="3"/>
      <c r="Q871" s="3"/>
      <c r="R871" s="3"/>
    </row>
    <row x14ac:dyDescent="0.25" r="872" customHeight="1" ht="18.75">
      <c r="A872" s="10" t="s">
        <v>939</v>
      </c>
      <c r="B872" s="11">
        <v>57</v>
      </c>
      <c r="C872" s="3"/>
      <c r="D872" s="3"/>
      <c r="E872" s="5"/>
      <c r="F872" s="3"/>
      <c r="G872" s="3"/>
      <c r="H872" s="5"/>
      <c r="I872" s="5"/>
      <c r="J872" s="5"/>
      <c r="K872" s="5"/>
      <c r="L872" s="6"/>
      <c r="M872" s="6"/>
      <c r="N872" s="7"/>
      <c r="O872" s="3"/>
      <c r="P872" s="3"/>
      <c r="Q872" s="3"/>
      <c r="R872" s="3"/>
    </row>
    <row x14ac:dyDescent="0.25" r="873" customHeight="1" ht="18.75">
      <c r="A873" s="10" t="s">
        <v>940</v>
      </c>
      <c r="B873" s="11">
        <v>58</v>
      </c>
      <c r="C873" s="3"/>
      <c r="D873" s="3"/>
      <c r="E873" s="5"/>
      <c r="F873" s="3"/>
      <c r="G873" s="3"/>
      <c r="H873" s="5"/>
      <c r="I873" s="5"/>
      <c r="J873" s="5"/>
      <c r="K873" s="5"/>
      <c r="L873" s="6"/>
      <c r="M873" s="6"/>
      <c r="N873" s="7"/>
      <c r="O873" s="3"/>
      <c r="P873" s="3"/>
      <c r="Q873" s="3"/>
      <c r="R873" s="3"/>
    </row>
    <row x14ac:dyDescent="0.25" r="874" customHeight="1" ht="18.75">
      <c r="A874" s="10" t="s">
        <v>941</v>
      </c>
      <c r="B874" s="11">
        <v>58</v>
      </c>
      <c r="C874" s="3"/>
      <c r="D874" s="3"/>
      <c r="E874" s="5"/>
      <c r="F874" s="3"/>
      <c r="G874" s="3"/>
      <c r="H874" s="5"/>
      <c r="I874" s="5"/>
      <c r="J874" s="5"/>
      <c r="K874" s="5"/>
      <c r="L874" s="6"/>
      <c r="M874" s="6"/>
      <c r="N874" s="7"/>
      <c r="O874" s="3"/>
      <c r="P874" s="3"/>
      <c r="Q874" s="3"/>
      <c r="R874" s="3"/>
    </row>
    <row x14ac:dyDescent="0.25" r="875" customHeight="1" ht="18.75">
      <c r="A875" s="10" t="s">
        <v>942</v>
      </c>
      <c r="B875" s="11">
        <v>58</v>
      </c>
      <c r="C875" s="3"/>
      <c r="D875" s="3"/>
      <c r="E875" s="5"/>
      <c r="F875" s="3"/>
      <c r="G875" s="3"/>
      <c r="H875" s="5"/>
      <c r="I875" s="5"/>
      <c r="J875" s="5"/>
      <c r="K875" s="5"/>
      <c r="L875" s="6"/>
      <c r="M875" s="6"/>
      <c r="N875" s="7"/>
      <c r="O875" s="3"/>
      <c r="P875" s="3"/>
      <c r="Q875" s="3"/>
      <c r="R875" s="3"/>
    </row>
    <row x14ac:dyDescent="0.25" r="876" customHeight="1" ht="18.75">
      <c r="A876" s="10" t="s">
        <v>943</v>
      </c>
      <c r="B876" s="11">
        <v>58</v>
      </c>
      <c r="C876" s="3"/>
      <c r="D876" s="3"/>
      <c r="E876" s="5"/>
      <c r="F876" s="3"/>
      <c r="G876" s="3"/>
      <c r="H876" s="5"/>
      <c r="I876" s="5"/>
      <c r="J876" s="5"/>
      <c r="K876" s="5"/>
      <c r="L876" s="6"/>
      <c r="M876" s="6"/>
      <c r="N876" s="7"/>
      <c r="O876" s="3"/>
      <c r="P876" s="3"/>
      <c r="Q876" s="3"/>
      <c r="R876" s="3"/>
    </row>
    <row x14ac:dyDescent="0.25" r="877" customHeight="1" ht="18.75">
      <c r="A877" s="10" t="s">
        <v>944</v>
      </c>
      <c r="B877" s="11">
        <v>58</v>
      </c>
      <c r="C877" s="3"/>
      <c r="D877" s="3"/>
      <c r="E877" s="5"/>
      <c r="F877" s="3"/>
      <c r="G877" s="3"/>
      <c r="H877" s="5"/>
      <c r="I877" s="5"/>
      <c r="J877" s="5"/>
      <c r="K877" s="5"/>
      <c r="L877" s="6"/>
      <c r="M877" s="6"/>
      <c r="N877" s="7"/>
      <c r="O877" s="3"/>
      <c r="P877" s="3"/>
      <c r="Q877" s="3"/>
      <c r="R877" s="3"/>
    </row>
    <row x14ac:dyDescent="0.25" r="878" customHeight="1" ht="18.75">
      <c r="A878" s="10" t="s">
        <v>945</v>
      </c>
      <c r="B878" s="11">
        <v>58</v>
      </c>
      <c r="C878" s="3"/>
      <c r="D878" s="3"/>
      <c r="E878" s="5"/>
      <c r="F878" s="3"/>
      <c r="G878" s="3"/>
      <c r="H878" s="5"/>
      <c r="I878" s="5"/>
      <c r="J878" s="5"/>
      <c r="K878" s="5"/>
      <c r="L878" s="6"/>
      <c r="M878" s="6"/>
      <c r="N878" s="7"/>
      <c r="O878" s="3"/>
      <c r="P878" s="3"/>
      <c r="Q878" s="3"/>
      <c r="R878" s="3"/>
    </row>
    <row x14ac:dyDescent="0.25" r="879" customHeight="1" ht="18.75">
      <c r="A879" s="10" t="s">
        <v>946</v>
      </c>
      <c r="B879" s="11">
        <v>58</v>
      </c>
      <c r="C879" s="3"/>
      <c r="D879" s="3"/>
      <c r="E879" s="5"/>
      <c r="F879" s="3"/>
      <c r="G879" s="3"/>
      <c r="H879" s="5"/>
      <c r="I879" s="5"/>
      <c r="J879" s="5"/>
      <c r="K879" s="5"/>
      <c r="L879" s="6"/>
      <c r="M879" s="6"/>
      <c r="N879" s="7"/>
      <c r="O879" s="3"/>
      <c r="P879" s="3"/>
      <c r="Q879" s="3"/>
      <c r="R879" s="3"/>
    </row>
    <row x14ac:dyDescent="0.25" r="880" customHeight="1" ht="18.75">
      <c r="A880" s="10" t="s">
        <v>947</v>
      </c>
      <c r="B880" s="11">
        <v>58</v>
      </c>
      <c r="C880" s="3"/>
      <c r="D880" s="3"/>
      <c r="E880" s="5"/>
      <c r="F880" s="3"/>
      <c r="G880" s="3"/>
      <c r="H880" s="5"/>
      <c r="I880" s="5"/>
      <c r="J880" s="5"/>
      <c r="K880" s="5"/>
      <c r="L880" s="6"/>
      <c r="M880" s="6"/>
      <c r="N880" s="7"/>
      <c r="O880" s="3"/>
      <c r="P880" s="3"/>
      <c r="Q880" s="3"/>
      <c r="R880" s="3"/>
    </row>
    <row x14ac:dyDescent="0.25" r="881" customHeight="1" ht="18.75">
      <c r="A881" s="10" t="s">
        <v>948</v>
      </c>
      <c r="B881" s="11">
        <v>58</v>
      </c>
      <c r="C881" s="3"/>
      <c r="D881" s="3"/>
      <c r="E881" s="5"/>
      <c r="F881" s="3"/>
      <c r="G881" s="3"/>
      <c r="H881" s="5"/>
      <c r="I881" s="5"/>
      <c r="J881" s="5"/>
      <c r="K881" s="5"/>
      <c r="L881" s="6"/>
      <c r="M881" s="6"/>
      <c r="N881" s="7"/>
      <c r="O881" s="3"/>
      <c r="P881" s="3"/>
      <c r="Q881" s="3"/>
      <c r="R881" s="3"/>
    </row>
    <row x14ac:dyDescent="0.25" r="882" customHeight="1" ht="18.75">
      <c r="A882" s="10" t="s">
        <v>949</v>
      </c>
      <c r="B882" s="11">
        <v>58</v>
      </c>
      <c r="C882" s="3"/>
      <c r="D882" s="3"/>
      <c r="E882" s="5"/>
      <c r="F882" s="3"/>
      <c r="G882" s="3"/>
      <c r="H882" s="5"/>
      <c r="I882" s="5"/>
      <c r="J882" s="5"/>
      <c r="K882" s="5"/>
      <c r="L882" s="6"/>
      <c r="M882" s="6"/>
      <c r="N882" s="7"/>
      <c r="O882" s="3"/>
      <c r="P882" s="3"/>
      <c r="Q882" s="3"/>
      <c r="R882" s="3"/>
    </row>
    <row x14ac:dyDescent="0.25" r="883" customHeight="1" ht="18.75">
      <c r="A883" s="10" t="s">
        <v>950</v>
      </c>
      <c r="B883" s="11">
        <v>58</v>
      </c>
      <c r="C883" s="3"/>
      <c r="D883" s="3"/>
      <c r="E883" s="5"/>
      <c r="F883" s="3"/>
      <c r="G883" s="3"/>
      <c r="H883" s="5"/>
      <c r="I883" s="5"/>
      <c r="J883" s="5"/>
      <c r="K883" s="5"/>
      <c r="L883" s="6"/>
      <c r="M883" s="6"/>
      <c r="N883" s="7"/>
      <c r="O883" s="3"/>
      <c r="P883" s="3"/>
      <c r="Q883" s="3"/>
      <c r="R883" s="3"/>
    </row>
    <row x14ac:dyDescent="0.25" r="884" customHeight="1" ht="18.75">
      <c r="A884" s="10" t="s">
        <v>951</v>
      </c>
      <c r="B884" s="11">
        <v>58</v>
      </c>
      <c r="C884" s="3"/>
      <c r="D884" s="3"/>
      <c r="E884" s="5"/>
      <c r="F884" s="3"/>
      <c r="G884" s="3"/>
      <c r="H884" s="5"/>
      <c r="I884" s="5"/>
      <c r="J884" s="5"/>
      <c r="K884" s="5"/>
      <c r="L884" s="6"/>
      <c r="M884" s="6"/>
      <c r="N884" s="7"/>
      <c r="O884" s="3"/>
      <c r="P884" s="3"/>
      <c r="Q884" s="3"/>
      <c r="R884" s="3"/>
    </row>
    <row x14ac:dyDescent="0.25" r="885" customHeight="1" ht="18.75">
      <c r="A885" s="10" t="s">
        <v>952</v>
      </c>
      <c r="B885" s="11">
        <v>58</v>
      </c>
      <c r="C885" s="3"/>
      <c r="D885" s="3"/>
      <c r="E885" s="5"/>
      <c r="F885" s="3"/>
      <c r="G885" s="3"/>
      <c r="H885" s="5"/>
      <c r="I885" s="5"/>
      <c r="J885" s="5"/>
      <c r="K885" s="5"/>
      <c r="L885" s="6"/>
      <c r="M885" s="6"/>
      <c r="N885" s="7"/>
      <c r="O885" s="3"/>
      <c r="P885" s="3"/>
      <c r="Q885" s="3"/>
      <c r="R885" s="3"/>
    </row>
    <row x14ac:dyDescent="0.25" r="886" customHeight="1" ht="18.75">
      <c r="A886" s="10" t="s">
        <v>953</v>
      </c>
      <c r="B886" s="11">
        <v>58</v>
      </c>
      <c r="C886" s="3"/>
      <c r="D886" s="3"/>
      <c r="E886" s="5"/>
      <c r="F886" s="3"/>
      <c r="G886" s="3"/>
      <c r="H886" s="5"/>
      <c r="I886" s="5"/>
      <c r="J886" s="5"/>
      <c r="K886" s="5"/>
      <c r="L886" s="6"/>
      <c r="M886" s="6"/>
      <c r="N886" s="7"/>
      <c r="O886" s="3"/>
      <c r="P886" s="3"/>
      <c r="Q886" s="3"/>
      <c r="R886" s="3"/>
    </row>
    <row x14ac:dyDescent="0.25" r="887" customHeight="1" ht="18.75">
      <c r="A887" s="10" t="s">
        <v>954</v>
      </c>
      <c r="B887" s="11">
        <v>58</v>
      </c>
      <c r="C887" s="3"/>
      <c r="D887" s="3"/>
      <c r="E887" s="5"/>
      <c r="F887" s="3"/>
      <c r="G887" s="3"/>
      <c r="H887" s="5"/>
      <c r="I887" s="5"/>
      <c r="J887" s="5"/>
      <c r="K887" s="5"/>
      <c r="L887" s="6"/>
      <c r="M887" s="6"/>
      <c r="N887" s="7"/>
      <c r="O887" s="3"/>
      <c r="P887" s="3"/>
      <c r="Q887" s="3"/>
      <c r="R887" s="3"/>
    </row>
    <row x14ac:dyDescent="0.25" r="888" customHeight="1" ht="18.75">
      <c r="A888" s="10" t="s">
        <v>955</v>
      </c>
      <c r="B888" s="11">
        <v>59</v>
      </c>
      <c r="C888" s="3"/>
      <c r="D888" s="3"/>
      <c r="E888" s="5"/>
      <c r="F888" s="3"/>
      <c r="G888" s="3"/>
      <c r="H888" s="5"/>
      <c r="I888" s="5"/>
      <c r="J888" s="5"/>
      <c r="K888" s="5"/>
      <c r="L888" s="6"/>
      <c r="M888" s="6"/>
      <c r="N888" s="7"/>
      <c r="O888" s="3"/>
      <c r="P888" s="3"/>
      <c r="Q888" s="3"/>
      <c r="R888" s="3"/>
    </row>
    <row x14ac:dyDescent="0.25" r="889" customHeight="1" ht="18.75">
      <c r="A889" s="10" t="s">
        <v>956</v>
      </c>
      <c r="B889" s="11">
        <v>59</v>
      </c>
      <c r="C889" s="3"/>
      <c r="D889" s="3"/>
      <c r="E889" s="5"/>
      <c r="F889" s="3"/>
      <c r="G889" s="3"/>
      <c r="H889" s="5"/>
      <c r="I889" s="5"/>
      <c r="J889" s="5"/>
      <c r="K889" s="5"/>
      <c r="L889" s="6"/>
      <c r="M889" s="6"/>
      <c r="N889" s="7"/>
      <c r="O889" s="3"/>
      <c r="P889" s="3"/>
      <c r="Q889" s="3"/>
      <c r="R889" s="3"/>
    </row>
    <row x14ac:dyDescent="0.25" r="890" customHeight="1" ht="18.75">
      <c r="A890" s="10" t="s">
        <v>957</v>
      </c>
      <c r="B890" s="11">
        <v>59</v>
      </c>
      <c r="C890" s="3"/>
      <c r="D890" s="3"/>
      <c r="E890" s="5"/>
      <c r="F890" s="3"/>
      <c r="G890" s="3"/>
      <c r="H890" s="5"/>
      <c r="I890" s="5"/>
      <c r="J890" s="5"/>
      <c r="K890" s="5"/>
      <c r="L890" s="6"/>
      <c r="M890" s="6"/>
      <c r="N890" s="7"/>
      <c r="O890" s="3"/>
      <c r="P890" s="3"/>
      <c r="Q890" s="3"/>
      <c r="R890" s="3"/>
    </row>
    <row x14ac:dyDescent="0.25" r="891" customHeight="1" ht="18.75">
      <c r="A891" s="10" t="s">
        <v>958</v>
      </c>
      <c r="B891" s="11">
        <v>59</v>
      </c>
      <c r="C891" s="3"/>
      <c r="D891" s="3"/>
      <c r="E891" s="5"/>
      <c r="F891" s="3"/>
      <c r="G891" s="3"/>
      <c r="H891" s="5"/>
      <c r="I891" s="5"/>
      <c r="J891" s="5"/>
      <c r="K891" s="5"/>
      <c r="L891" s="6"/>
      <c r="M891" s="6"/>
      <c r="N891" s="7"/>
      <c r="O891" s="3"/>
      <c r="P891" s="3"/>
      <c r="Q891" s="3"/>
      <c r="R891" s="3"/>
    </row>
    <row x14ac:dyDescent="0.25" r="892" customHeight="1" ht="18.75">
      <c r="A892" s="10" t="s">
        <v>959</v>
      </c>
      <c r="B892" s="11">
        <v>59</v>
      </c>
      <c r="C892" s="3"/>
      <c r="D892" s="3"/>
      <c r="E892" s="5"/>
      <c r="F892" s="3"/>
      <c r="G892" s="3"/>
      <c r="H892" s="5"/>
      <c r="I892" s="5"/>
      <c r="J892" s="5"/>
      <c r="K892" s="5"/>
      <c r="L892" s="6"/>
      <c r="M892" s="6"/>
      <c r="N892" s="7"/>
      <c r="O892" s="3"/>
      <c r="P892" s="3"/>
      <c r="Q892" s="3"/>
      <c r="R892" s="3"/>
    </row>
    <row x14ac:dyDescent="0.25" r="893" customHeight="1" ht="18.75">
      <c r="A893" s="10" t="s">
        <v>960</v>
      </c>
      <c r="B893" s="11">
        <v>59</v>
      </c>
      <c r="C893" s="3"/>
      <c r="D893" s="3"/>
      <c r="E893" s="5"/>
      <c r="F893" s="3"/>
      <c r="G893" s="3"/>
      <c r="H893" s="5"/>
      <c r="I893" s="5"/>
      <c r="J893" s="5"/>
      <c r="K893" s="5"/>
      <c r="L893" s="6"/>
      <c r="M893" s="6"/>
      <c r="N893" s="7"/>
      <c r="O893" s="3"/>
      <c r="P893" s="3"/>
      <c r="Q893" s="3"/>
      <c r="R893" s="3"/>
    </row>
    <row x14ac:dyDescent="0.25" r="894" customHeight="1" ht="18.75">
      <c r="A894" s="10" t="s">
        <v>961</v>
      </c>
      <c r="B894" s="11">
        <v>59</v>
      </c>
      <c r="C894" s="3"/>
      <c r="D894" s="3"/>
      <c r="E894" s="5"/>
      <c r="F894" s="3"/>
      <c r="G894" s="3"/>
      <c r="H894" s="5"/>
      <c r="I894" s="5"/>
      <c r="J894" s="5"/>
      <c r="K894" s="5"/>
      <c r="L894" s="6"/>
      <c r="M894" s="6"/>
      <c r="N894" s="7"/>
      <c r="O894" s="3"/>
      <c r="P894" s="3"/>
      <c r="Q894" s="3"/>
      <c r="R894" s="3"/>
    </row>
    <row x14ac:dyDescent="0.25" r="895" customHeight="1" ht="18.75">
      <c r="A895" s="10" t="s">
        <v>962</v>
      </c>
      <c r="B895" s="11">
        <v>59</v>
      </c>
      <c r="C895" s="3"/>
      <c r="D895" s="3"/>
      <c r="E895" s="5"/>
      <c r="F895" s="3"/>
      <c r="G895" s="3"/>
      <c r="H895" s="5"/>
      <c r="I895" s="5"/>
      <c r="J895" s="5"/>
      <c r="K895" s="5"/>
      <c r="L895" s="6"/>
      <c r="M895" s="6"/>
      <c r="N895" s="7"/>
      <c r="O895" s="3"/>
      <c r="P895" s="3"/>
      <c r="Q895" s="3"/>
      <c r="R895" s="3"/>
    </row>
    <row x14ac:dyDescent="0.25" r="896" customHeight="1" ht="18.75">
      <c r="A896" s="10" t="s">
        <v>963</v>
      </c>
      <c r="B896" s="11">
        <v>59</v>
      </c>
      <c r="C896" s="3"/>
      <c r="D896" s="3"/>
      <c r="E896" s="5"/>
      <c r="F896" s="3"/>
      <c r="G896" s="3"/>
      <c r="H896" s="5"/>
      <c r="I896" s="5"/>
      <c r="J896" s="5"/>
      <c r="K896" s="5"/>
      <c r="L896" s="6"/>
      <c r="M896" s="6"/>
      <c r="N896" s="7"/>
      <c r="O896" s="3"/>
      <c r="P896" s="3"/>
      <c r="Q896" s="3"/>
      <c r="R896" s="3"/>
    </row>
    <row x14ac:dyDescent="0.25" r="897" customHeight="1" ht="18.75">
      <c r="A897" s="10" t="s">
        <v>964</v>
      </c>
      <c r="B897" s="11">
        <v>59</v>
      </c>
      <c r="C897" s="3"/>
      <c r="D897" s="3"/>
      <c r="E897" s="5"/>
      <c r="F897" s="3"/>
      <c r="G897" s="3"/>
      <c r="H897" s="5"/>
      <c r="I897" s="5"/>
      <c r="J897" s="5"/>
      <c r="K897" s="5"/>
      <c r="L897" s="6"/>
      <c r="M897" s="6"/>
      <c r="N897" s="7"/>
      <c r="O897" s="3"/>
      <c r="P897" s="3"/>
      <c r="Q897" s="3"/>
      <c r="R897" s="3"/>
    </row>
    <row x14ac:dyDescent="0.25" r="898" customHeight="1" ht="18.75">
      <c r="A898" s="10" t="s">
        <v>965</v>
      </c>
      <c r="B898" s="11">
        <v>59</v>
      </c>
      <c r="C898" s="3"/>
      <c r="D898" s="3"/>
      <c r="E898" s="5"/>
      <c r="F898" s="3"/>
      <c r="G898" s="3"/>
      <c r="H898" s="5"/>
      <c r="I898" s="5"/>
      <c r="J898" s="5"/>
      <c r="K898" s="5"/>
      <c r="L898" s="6"/>
      <c r="M898" s="6"/>
      <c r="N898" s="7"/>
      <c r="O898" s="3"/>
      <c r="P898" s="3"/>
      <c r="Q898" s="3"/>
      <c r="R898" s="3"/>
    </row>
    <row x14ac:dyDescent="0.25" r="899" customHeight="1" ht="18.75">
      <c r="A899" s="10" t="s">
        <v>966</v>
      </c>
      <c r="B899" s="11">
        <v>59</v>
      </c>
      <c r="C899" s="3"/>
      <c r="D899" s="3"/>
      <c r="E899" s="5"/>
      <c r="F899" s="3"/>
      <c r="G899" s="3"/>
      <c r="H899" s="5"/>
      <c r="I899" s="5"/>
      <c r="J899" s="5"/>
      <c r="K899" s="5"/>
      <c r="L899" s="6"/>
      <c r="M899" s="6"/>
      <c r="N899" s="7"/>
      <c r="O899" s="3"/>
      <c r="P899" s="3"/>
      <c r="Q899" s="3"/>
      <c r="R899" s="3"/>
    </row>
    <row x14ac:dyDescent="0.25" r="900" customHeight="1" ht="18.75">
      <c r="A900" s="10" t="s">
        <v>967</v>
      </c>
      <c r="B900" s="11">
        <v>59</v>
      </c>
      <c r="C900" s="3"/>
      <c r="D900" s="3"/>
      <c r="E900" s="5"/>
      <c r="F900" s="3"/>
      <c r="G900" s="3"/>
      <c r="H900" s="5"/>
      <c r="I900" s="5"/>
      <c r="J900" s="5"/>
      <c r="K900" s="5"/>
      <c r="L900" s="6"/>
      <c r="M900" s="6"/>
      <c r="N900" s="7"/>
      <c r="O900" s="3"/>
      <c r="P900" s="3"/>
      <c r="Q900" s="3"/>
      <c r="R900" s="3"/>
    </row>
    <row x14ac:dyDescent="0.25" r="901" customHeight="1" ht="18.75">
      <c r="A901" s="10" t="s">
        <v>968</v>
      </c>
      <c r="B901" s="11">
        <v>59</v>
      </c>
      <c r="C901" s="3"/>
      <c r="D901" s="3"/>
      <c r="E901" s="5"/>
      <c r="F901" s="3"/>
      <c r="G901" s="3"/>
      <c r="H901" s="5"/>
      <c r="I901" s="5"/>
      <c r="J901" s="5"/>
      <c r="K901" s="5"/>
      <c r="L901" s="6"/>
      <c r="M901" s="6"/>
      <c r="N901" s="7"/>
      <c r="O901" s="3"/>
      <c r="P901" s="3"/>
      <c r="Q901" s="3"/>
      <c r="R901" s="3"/>
    </row>
    <row x14ac:dyDescent="0.25" r="902" customHeight="1" ht="18.75">
      <c r="A902" s="10" t="s">
        <v>969</v>
      </c>
      <c r="B902" s="11">
        <v>59</v>
      </c>
      <c r="C902" s="3"/>
      <c r="D902" s="3"/>
      <c r="E902" s="5"/>
      <c r="F902" s="3"/>
      <c r="G902" s="3"/>
      <c r="H902" s="5"/>
      <c r="I902" s="5"/>
      <c r="J902" s="5"/>
      <c r="K902" s="5"/>
      <c r="L902" s="6"/>
      <c r="M902" s="6"/>
      <c r="N902" s="7"/>
      <c r="O902" s="3"/>
      <c r="P902" s="3"/>
      <c r="Q902" s="3"/>
      <c r="R902" s="3"/>
    </row>
    <row x14ac:dyDescent="0.25" r="903" customHeight="1" ht="18.75">
      <c r="A903" s="10" t="s">
        <v>970</v>
      </c>
      <c r="B903" s="11">
        <v>59</v>
      </c>
      <c r="C903" s="3"/>
      <c r="D903" s="3"/>
      <c r="E903" s="5"/>
      <c r="F903" s="3"/>
      <c r="G903" s="3"/>
      <c r="H903" s="5"/>
      <c r="I903" s="5"/>
      <c r="J903" s="5"/>
      <c r="K903" s="5"/>
      <c r="L903" s="6"/>
      <c r="M903" s="6"/>
      <c r="N903" s="7"/>
      <c r="O903" s="3"/>
      <c r="P903" s="3"/>
      <c r="Q903" s="3"/>
      <c r="R903" s="3"/>
    </row>
    <row x14ac:dyDescent="0.25" r="904" customHeight="1" ht="18.75">
      <c r="A904" s="10" t="s">
        <v>971</v>
      </c>
      <c r="B904" s="11">
        <v>59</v>
      </c>
      <c r="C904" s="3"/>
      <c r="D904" s="3"/>
      <c r="E904" s="5"/>
      <c r="F904" s="3"/>
      <c r="G904" s="3"/>
      <c r="H904" s="5"/>
      <c r="I904" s="5"/>
      <c r="J904" s="5"/>
      <c r="K904" s="5"/>
      <c r="L904" s="6"/>
      <c r="M904" s="6"/>
      <c r="N904" s="7"/>
      <c r="O904" s="3"/>
      <c r="P904" s="3"/>
      <c r="Q904" s="3"/>
      <c r="R904" s="3"/>
    </row>
    <row x14ac:dyDescent="0.25" r="905" customHeight="1" ht="18.75">
      <c r="A905" s="10" t="s">
        <v>972</v>
      </c>
      <c r="B905" s="11">
        <v>59</v>
      </c>
      <c r="C905" s="3"/>
      <c r="D905" s="3"/>
      <c r="E905" s="5"/>
      <c r="F905" s="3"/>
      <c r="G905" s="3"/>
      <c r="H905" s="5"/>
      <c r="I905" s="5"/>
      <c r="J905" s="5"/>
      <c r="K905" s="5"/>
      <c r="L905" s="6"/>
      <c r="M905" s="6"/>
      <c r="N905" s="7"/>
      <c r="O905" s="3"/>
      <c r="P905" s="3"/>
      <c r="Q905" s="3"/>
      <c r="R905" s="3"/>
    </row>
    <row x14ac:dyDescent="0.25" r="906" customHeight="1" ht="18.75">
      <c r="A906" s="10" t="s">
        <v>973</v>
      </c>
      <c r="B906" s="11">
        <v>59</v>
      </c>
      <c r="C906" s="3"/>
      <c r="D906" s="3"/>
      <c r="E906" s="5"/>
      <c r="F906" s="3"/>
      <c r="G906" s="3"/>
      <c r="H906" s="5"/>
      <c r="I906" s="5"/>
      <c r="J906" s="5"/>
      <c r="K906" s="5"/>
      <c r="L906" s="6"/>
      <c r="M906" s="6"/>
      <c r="N906" s="7"/>
      <c r="O906" s="3"/>
      <c r="P906" s="3"/>
      <c r="Q906" s="3"/>
      <c r="R906" s="3"/>
    </row>
    <row x14ac:dyDescent="0.25" r="907" customHeight="1" ht="18.75">
      <c r="A907" s="10" t="s">
        <v>974</v>
      </c>
      <c r="B907" s="11">
        <v>59</v>
      </c>
      <c r="C907" s="3"/>
      <c r="D907" s="3"/>
      <c r="E907" s="5"/>
      <c r="F907" s="3"/>
      <c r="G907" s="3"/>
      <c r="H907" s="5"/>
      <c r="I907" s="5"/>
      <c r="J907" s="5"/>
      <c r="K907" s="5"/>
      <c r="L907" s="6"/>
      <c r="M907" s="6"/>
      <c r="N907" s="7"/>
      <c r="O907" s="3"/>
      <c r="P907" s="3"/>
      <c r="Q907" s="3"/>
      <c r="R907" s="3"/>
    </row>
    <row x14ac:dyDescent="0.25" r="908" customHeight="1" ht="18.75">
      <c r="A908" s="10" t="s">
        <v>975</v>
      </c>
      <c r="B908" s="11">
        <v>60</v>
      </c>
      <c r="C908" s="3"/>
      <c r="D908" s="3"/>
      <c r="E908" s="5"/>
      <c r="F908" s="3"/>
      <c r="G908" s="3"/>
      <c r="H908" s="5"/>
      <c r="I908" s="5"/>
      <c r="J908" s="5"/>
      <c r="K908" s="5"/>
      <c r="L908" s="6"/>
      <c r="M908" s="6"/>
      <c r="N908" s="7"/>
      <c r="O908" s="3"/>
      <c r="P908" s="3"/>
      <c r="Q908" s="3"/>
      <c r="R908" s="3"/>
    </row>
    <row x14ac:dyDescent="0.25" r="909" customHeight="1" ht="18.75">
      <c r="A909" s="10" t="s">
        <v>976</v>
      </c>
      <c r="B909" s="11">
        <v>60</v>
      </c>
      <c r="C909" s="3"/>
      <c r="D909" s="3"/>
      <c r="E909" s="5"/>
      <c r="F909" s="3"/>
      <c r="G909" s="3"/>
      <c r="H909" s="5"/>
      <c r="I909" s="5"/>
      <c r="J909" s="5"/>
      <c r="K909" s="5"/>
      <c r="L909" s="6"/>
      <c r="M909" s="6"/>
      <c r="N909" s="7"/>
      <c r="O909" s="3"/>
      <c r="P909" s="3"/>
      <c r="Q909" s="3"/>
      <c r="R909" s="3"/>
    </row>
    <row x14ac:dyDescent="0.25" r="910" customHeight="1" ht="18.75">
      <c r="A910" s="10" t="s">
        <v>977</v>
      </c>
      <c r="B910" s="11">
        <v>60</v>
      </c>
      <c r="C910" s="3"/>
      <c r="D910" s="3"/>
      <c r="E910" s="5"/>
      <c r="F910" s="3"/>
      <c r="G910" s="3"/>
      <c r="H910" s="5"/>
      <c r="I910" s="5"/>
      <c r="J910" s="5"/>
      <c r="K910" s="5"/>
      <c r="L910" s="6"/>
      <c r="M910" s="6"/>
      <c r="N910" s="7"/>
      <c r="O910" s="3"/>
      <c r="P910" s="3"/>
      <c r="Q910" s="3"/>
      <c r="R910" s="3"/>
    </row>
    <row x14ac:dyDescent="0.25" r="911" customHeight="1" ht="18.75">
      <c r="A911" s="10" t="s">
        <v>978</v>
      </c>
      <c r="B911" s="11">
        <v>60</v>
      </c>
      <c r="C911" s="3"/>
      <c r="D911" s="3"/>
      <c r="E911" s="5"/>
      <c r="F911" s="3"/>
      <c r="G911" s="3"/>
      <c r="H911" s="5"/>
      <c r="I911" s="5"/>
      <c r="J911" s="5"/>
      <c r="K911" s="5"/>
      <c r="L911" s="6"/>
      <c r="M911" s="6"/>
      <c r="N911" s="7"/>
      <c r="O911" s="3"/>
      <c r="P911" s="3"/>
      <c r="Q911" s="3"/>
      <c r="R911" s="3"/>
    </row>
    <row x14ac:dyDescent="0.25" r="912" customHeight="1" ht="18.75">
      <c r="A912" s="10" t="s">
        <v>979</v>
      </c>
      <c r="B912" s="11">
        <v>60</v>
      </c>
      <c r="C912" s="3"/>
      <c r="D912" s="3"/>
      <c r="E912" s="5"/>
      <c r="F912" s="3"/>
      <c r="G912" s="3"/>
      <c r="H912" s="5"/>
      <c r="I912" s="5"/>
      <c r="J912" s="5"/>
      <c r="K912" s="5"/>
      <c r="L912" s="6"/>
      <c r="M912" s="6"/>
      <c r="N912" s="7"/>
      <c r="O912" s="3"/>
      <c r="P912" s="3"/>
      <c r="Q912" s="3"/>
      <c r="R912" s="3"/>
    </row>
    <row x14ac:dyDescent="0.25" r="913" customHeight="1" ht="18.75">
      <c r="A913" s="10" t="s">
        <v>980</v>
      </c>
      <c r="B913" s="11">
        <v>60</v>
      </c>
      <c r="C913" s="3"/>
      <c r="D913" s="3"/>
      <c r="E913" s="5"/>
      <c r="F913" s="3"/>
      <c r="G913" s="3"/>
      <c r="H913" s="5"/>
      <c r="I913" s="5"/>
      <c r="J913" s="5"/>
      <c r="K913" s="5"/>
      <c r="L913" s="6"/>
      <c r="M913" s="6"/>
      <c r="N913" s="7"/>
      <c r="O913" s="3"/>
      <c r="P913" s="3"/>
      <c r="Q913" s="3"/>
      <c r="R913" s="3"/>
    </row>
    <row x14ac:dyDescent="0.25" r="914" customHeight="1" ht="18.75">
      <c r="A914" s="10" t="s">
        <v>981</v>
      </c>
      <c r="B914" s="11">
        <v>60</v>
      </c>
      <c r="C914" s="3"/>
      <c r="D914" s="3"/>
      <c r="E914" s="5"/>
      <c r="F914" s="3"/>
      <c r="G914" s="3"/>
      <c r="H914" s="5"/>
      <c r="I914" s="5"/>
      <c r="J914" s="5"/>
      <c r="K914" s="5"/>
      <c r="L914" s="6"/>
      <c r="M914" s="6"/>
      <c r="N914" s="7"/>
      <c r="O914" s="3"/>
      <c r="P914" s="3"/>
      <c r="Q914" s="3"/>
      <c r="R914" s="3"/>
    </row>
    <row x14ac:dyDescent="0.25" r="915" customHeight="1" ht="18.75">
      <c r="A915" s="10" t="s">
        <v>982</v>
      </c>
      <c r="B915" s="11">
        <v>60</v>
      </c>
      <c r="C915" s="3"/>
      <c r="D915" s="3"/>
      <c r="E915" s="5"/>
      <c r="F915" s="3"/>
      <c r="G915" s="3"/>
      <c r="H915" s="5"/>
      <c r="I915" s="5"/>
      <c r="J915" s="5"/>
      <c r="K915" s="5"/>
      <c r="L915" s="6"/>
      <c r="M915" s="6"/>
      <c r="N915" s="7"/>
      <c r="O915" s="3"/>
      <c r="P915" s="3"/>
      <c r="Q915" s="3"/>
      <c r="R915" s="3"/>
    </row>
    <row x14ac:dyDescent="0.25" r="916" customHeight="1" ht="18.75">
      <c r="A916" s="10" t="s">
        <v>983</v>
      </c>
      <c r="B916" s="11">
        <v>60</v>
      </c>
      <c r="C916" s="3"/>
      <c r="D916" s="3"/>
      <c r="E916" s="5"/>
      <c r="F916" s="3"/>
      <c r="G916" s="3"/>
      <c r="H916" s="5"/>
      <c r="I916" s="5"/>
      <c r="J916" s="5"/>
      <c r="K916" s="5"/>
      <c r="L916" s="6"/>
      <c r="M916" s="6"/>
      <c r="N916" s="7"/>
      <c r="O916" s="3"/>
      <c r="P916" s="3"/>
      <c r="Q916" s="3"/>
      <c r="R916" s="3"/>
    </row>
    <row x14ac:dyDescent="0.25" r="917" customHeight="1" ht="18.75">
      <c r="A917" s="10" t="s">
        <v>984</v>
      </c>
      <c r="B917" s="11">
        <v>60</v>
      </c>
      <c r="C917" s="3"/>
      <c r="D917" s="3"/>
      <c r="E917" s="5"/>
      <c r="F917" s="3"/>
      <c r="G917" s="3"/>
      <c r="H917" s="5"/>
      <c r="I917" s="5"/>
      <c r="J917" s="5"/>
      <c r="K917" s="5"/>
      <c r="L917" s="6"/>
      <c r="M917" s="6"/>
      <c r="N917" s="7"/>
      <c r="O917" s="3"/>
      <c r="P917" s="3"/>
      <c r="Q917" s="3"/>
      <c r="R917" s="3"/>
    </row>
    <row x14ac:dyDescent="0.25" r="918" customHeight="1" ht="18.75">
      <c r="A918" s="10" t="s">
        <v>985</v>
      </c>
      <c r="B918" s="11">
        <v>60</v>
      </c>
      <c r="C918" s="3"/>
      <c r="D918" s="3"/>
      <c r="E918" s="5"/>
      <c r="F918" s="3"/>
      <c r="G918" s="3"/>
      <c r="H918" s="5"/>
      <c r="I918" s="5"/>
      <c r="J918" s="5"/>
      <c r="K918" s="5"/>
      <c r="L918" s="6"/>
      <c r="M918" s="6"/>
      <c r="N918" s="7"/>
      <c r="O918" s="3"/>
      <c r="P918" s="3"/>
      <c r="Q918" s="3"/>
      <c r="R918" s="3"/>
    </row>
    <row x14ac:dyDescent="0.25" r="919" customHeight="1" ht="18.75">
      <c r="A919" s="10" t="s">
        <v>986</v>
      </c>
      <c r="B919" s="11">
        <v>60</v>
      </c>
      <c r="C919" s="3"/>
      <c r="D919" s="3"/>
      <c r="E919" s="5"/>
      <c r="F919" s="3"/>
      <c r="G919" s="3"/>
      <c r="H919" s="5"/>
      <c r="I919" s="5"/>
      <c r="J919" s="5"/>
      <c r="K919" s="5"/>
      <c r="L919" s="6"/>
      <c r="M919" s="6"/>
      <c r="N919" s="7"/>
      <c r="O919" s="3"/>
      <c r="P919" s="3"/>
      <c r="Q919" s="3"/>
      <c r="R919" s="3"/>
    </row>
    <row x14ac:dyDescent="0.25" r="920" customHeight="1" ht="18.75">
      <c r="A920" s="10" t="s">
        <v>987</v>
      </c>
      <c r="B920" s="11">
        <v>60</v>
      </c>
      <c r="C920" s="3"/>
      <c r="D920" s="3"/>
      <c r="E920" s="5"/>
      <c r="F920" s="3"/>
      <c r="G920" s="3"/>
      <c r="H920" s="5"/>
      <c r="I920" s="5"/>
      <c r="J920" s="5"/>
      <c r="K920" s="5"/>
      <c r="L920" s="6"/>
      <c r="M920" s="6"/>
      <c r="N920" s="7"/>
      <c r="O920" s="3"/>
      <c r="P920" s="3"/>
      <c r="Q920" s="3"/>
      <c r="R920" s="3"/>
    </row>
    <row x14ac:dyDescent="0.25" r="921" customHeight="1" ht="18.75">
      <c r="A921" s="10" t="s">
        <v>988</v>
      </c>
      <c r="B921" s="11">
        <v>60</v>
      </c>
      <c r="C921" s="3"/>
      <c r="D921" s="3"/>
      <c r="E921" s="5"/>
      <c r="F921" s="3"/>
      <c r="G921" s="3"/>
      <c r="H921" s="5"/>
      <c r="I921" s="5"/>
      <c r="J921" s="5"/>
      <c r="K921" s="5"/>
      <c r="L921" s="6"/>
      <c r="M921" s="6"/>
      <c r="N921" s="7"/>
      <c r="O921" s="3"/>
      <c r="P921" s="3"/>
      <c r="Q921" s="3"/>
      <c r="R921" s="3"/>
    </row>
    <row x14ac:dyDescent="0.25" r="922" customHeight="1" ht="18.75">
      <c r="A922" s="10" t="s">
        <v>989</v>
      </c>
      <c r="B922" s="11">
        <v>60</v>
      </c>
      <c r="C922" s="3"/>
      <c r="D922" s="3"/>
      <c r="E922" s="5"/>
      <c r="F922" s="3"/>
      <c r="G922" s="3"/>
      <c r="H922" s="5"/>
      <c r="I922" s="5"/>
      <c r="J922" s="5"/>
      <c r="K922" s="5"/>
      <c r="L922" s="6"/>
      <c r="M922" s="6"/>
      <c r="N922" s="7"/>
      <c r="O922" s="3"/>
      <c r="P922" s="3"/>
      <c r="Q922" s="3"/>
      <c r="R922" s="3"/>
    </row>
    <row x14ac:dyDescent="0.25" r="923" customHeight="1" ht="18.75">
      <c r="A923" s="10" t="s">
        <v>990</v>
      </c>
      <c r="B923" s="11">
        <v>60</v>
      </c>
      <c r="C923" s="3"/>
      <c r="D923" s="3"/>
      <c r="E923" s="5"/>
      <c r="F923" s="3"/>
      <c r="G923" s="3"/>
      <c r="H923" s="5"/>
      <c r="I923" s="5"/>
      <c r="J923" s="5"/>
      <c r="K923" s="5"/>
      <c r="L923" s="6"/>
      <c r="M923" s="6"/>
      <c r="N923" s="7"/>
      <c r="O923" s="3"/>
      <c r="P923" s="3"/>
      <c r="Q923" s="3"/>
      <c r="R923" s="3"/>
    </row>
    <row x14ac:dyDescent="0.25" r="924" customHeight="1" ht="18.75">
      <c r="A924" s="10" t="s">
        <v>991</v>
      </c>
      <c r="B924" s="11">
        <v>60</v>
      </c>
      <c r="C924" s="3"/>
      <c r="D924" s="3"/>
      <c r="E924" s="5"/>
      <c r="F924" s="3"/>
      <c r="G924" s="3"/>
      <c r="H924" s="5"/>
      <c r="I924" s="5"/>
      <c r="J924" s="5"/>
      <c r="K924" s="5"/>
      <c r="L924" s="6"/>
      <c r="M924" s="6"/>
      <c r="N924" s="7"/>
      <c r="O924" s="3"/>
      <c r="P924" s="3"/>
      <c r="Q924" s="3"/>
      <c r="R924" s="3"/>
    </row>
    <row x14ac:dyDescent="0.25" r="925" customHeight="1" ht="18.75">
      <c r="A925" s="10" t="s">
        <v>992</v>
      </c>
      <c r="B925" s="11">
        <v>60</v>
      </c>
      <c r="C925" s="3"/>
      <c r="D925" s="3"/>
      <c r="E925" s="5"/>
      <c r="F925" s="3"/>
      <c r="G925" s="3"/>
      <c r="H925" s="5"/>
      <c r="I925" s="5"/>
      <c r="J925" s="5"/>
      <c r="K925" s="5"/>
      <c r="L925" s="6"/>
      <c r="M925" s="6"/>
      <c r="N925" s="7"/>
      <c r="O925" s="3"/>
      <c r="P925" s="3"/>
      <c r="Q925" s="3"/>
      <c r="R925" s="3"/>
    </row>
    <row x14ac:dyDescent="0.25" r="926" customHeight="1" ht="18.75">
      <c r="A926" s="10" t="s">
        <v>993</v>
      </c>
      <c r="B926" s="11">
        <v>60</v>
      </c>
      <c r="C926" s="3"/>
      <c r="D926" s="3"/>
      <c r="E926" s="5"/>
      <c r="F926" s="3"/>
      <c r="G926" s="3"/>
      <c r="H926" s="5"/>
      <c r="I926" s="5"/>
      <c r="J926" s="5"/>
      <c r="K926" s="5"/>
      <c r="L926" s="6"/>
      <c r="M926" s="6"/>
      <c r="N926" s="7"/>
      <c r="O926" s="3"/>
      <c r="P926" s="3"/>
      <c r="Q926" s="3"/>
      <c r="R926" s="3"/>
    </row>
    <row x14ac:dyDescent="0.25" r="927" customHeight="1" ht="18.75">
      <c r="A927" s="10" t="s">
        <v>994</v>
      </c>
      <c r="B927" s="11">
        <v>60</v>
      </c>
      <c r="C927" s="3"/>
      <c r="D927" s="3"/>
      <c r="E927" s="5"/>
      <c r="F927" s="3"/>
      <c r="G927" s="3"/>
      <c r="H927" s="5"/>
      <c r="I927" s="5"/>
      <c r="J927" s="5"/>
      <c r="K927" s="5"/>
      <c r="L927" s="6"/>
      <c r="M927" s="6"/>
      <c r="N927" s="7"/>
      <c r="O927" s="3"/>
      <c r="P927" s="3"/>
      <c r="Q927" s="3"/>
      <c r="R927" s="3"/>
    </row>
    <row x14ac:dyDescent="0.25" r="928" customHeight="1" ht="18.75">
      <c r="A928" s="10" t="s">
        <v>995</v>
      </c>
      <c r="B928" s="11">
        <v>60</v>
      </c>
      <c r="C928" s="3"/>
      <c r="D928" s="3"/>
      <c r="E928" s="5"/>
      <c r="F928" s="3"/>
      <c r="G928" s="3"/>
      <c r="H928" s="5"/>
      <c r="I928" s="5"/>
      <c r="J928" s="5"/>
      <c r="K928" s="5"/>
      <c r="L928" s="6"/>
      <c r="M928" s="6"/>
      <c r="N928" s="7"/>
      <c r="O928" s="3"/>
      <c r="P928" s="3"/>
      <c r="Q928" s="3"/>
      <c r="R928" s="3"/>
    </row>
    <row x14ac:dyDescent="0.25" r="929" customHeight="1" ht="18.75">
      <c r="A929" s="10" t="s">
        <v>996</v>
      </c>
      <c r="B929" s="11">
        <v>61</v>
      </c>
      <c r="C929" s="3"/>
      <c r="D929" s="3"/>
      <c r="E929" s="5"/>
      <c r="F929" s="3"/>
      <c r="G929" s="3"/>
      <c r="H929" s="5"/>
      <c r="I929" s="5"/>
      <c r="J929" s="5"/>
      <c r="K929" s="5"/>
      <c r="L929" s="6"/>
      <c r="M929" s="6"/>
      <c r="N929" s="7"/>
      <c r="O929" s="3"/>
      <c r="P929" s="3"/>
      <c r="Q929" s="3"/>
      <c r="R929" s="3"/>
    </row>
    <row x14ac:dyDescent="0.25" r="930" customHeight="1" ht="18.75">
      <c r="A930" s="10" t="s">
        <v>997</v>
      </c>
      <c r="B930" s="11">
        <v>61</v>
      </c>
      <c r="C930" s="3"/>
      <c r="D930" s="3"/>
      <c r="E930" s="5"/>
      <c r="F930" s="3"/>
      <c r="G930" s="3"/>
      <c r="H930" s="5"/>
      <c r="I930" s="5"/>
      <c r="J930" s="5"/>
      <c r="K930" s="5"/>
      <c r="L930" s="6"/>
      <c r="M930" s="6"/>
      <c r="N930" s="7"/>
      <c r="O930" s="3"/>
      <c r="P930" s="3"/>
      <c r="Q930" s="3"/>
      <c r="R930" s="3"/>
    </row>
    <row x14ac:dyDescent="0.25" r="931" customHeight="1" ht="18.75">
      <c r="A931" s="10" t="s">
        <v>998</v>
      </c>
      <c r="B931" s="11">
        <v>61</v>
      </c>
      <c r="C931" s="3"/>
      <c r="D931" s="3"/>
      <c r="E931" s="5"/>
      <c r="F931" s="3"/>
      <c r="G931" s="3"/>
      <c r="H931" s="5"/>
      <c r="I931" s="5"/>
      <c r="J931" s="5"/>
      <c r="K931" s="5"/>
      <c r="L931" s="6"/>
      <c r="M931" s="6"/>
      <c r="N931" s="7"/>
      <c r="O931" s="3"/>
      <c r="P931" s="3"/>
      <c r="Q931" s="3"/>
      <c r="R931" s="3"/>
    </row>
    <row x14ac:dyDescent="0.25" r="932" customHeight="1" ht="18.75">
      <c r="A932" s="10" t="s">
        <v>999</v>
      </c>
      <c r="B932" s="11">
        <v>61</v>
      </c>
      <c r="C932" s="3"/>
      <c r="D932" s="3"/>
      <c r="E932" s="5"/>
      <c r="F932" s="3"/>
      <c r="G932" s="3"/>
      <c r="H932" s="5"/>
      <c r="I932" s="5"/>
      <c r="J932" s="5"/>
      <c r="K932" s="5"/>
      <c r="L932" s="6"/>
      <c r="M932" s="6"/>
      <c r="N932" s="7"/>
      <c r="O932" s="3"/>
      <c r="P932" s="3"/>
      <c r="Q932" s="3"/>
      <c r="R932" s="3"/>
    </row>
    <row x14ac:dyDescent="0.25" r="933" customHeight="1" ht="18.75">
      <c r="A933" s="10" t="s">
        <v>1000</v>
      </c>
      <c r="B933" s="11">
        <v>61</v>
      </c>
      <c r="C933" s="3"/>
      <c r="D933" s="3"/>
      <c r="E933" s="5"/>
      <c r="F933" s="3"/>
      <c r="G933" s="3"/>
      <c r="H933" s="5"/>
      <c r="I933" s="5"/>
      <c r="J933" s="5"/>
      <c r="K933" s="5"/>
      <c r="L933" s="6"/>
      <c r="M933" s="6"/>
      <c r="N933" s="7"/>
      <c r="O933" s="3"/>
      <c r="P933" s="3"/>
      <c r="Q933" s="3"/>
      <c r="R933" s="3"/>
    </row>
    <row x14ac:dyDescent="0.25" r="934" customHeight="1" ht="18.75">
      <c r="A934" s="10" t="s">
        <v>1001</v>
      </c>
      <c r="B934" s="11">
        <v>61</v>
      </c>
      <c r="C934" s="3"/>
      <c r="D934" s="3"/>
      <c r="E934" s="5"/>
      <c r="F934" s="3"/>
      <c r="G934" s="3"/>
      <c r="H934" s="5"/>
      <c r="I934" s="5"/>
      <c r="J934" s="5"/>
      <c r="K934" s="5"/>
      <c r="L934" s="6"/>
      <c r="M934" s="6"/>
      <c r="N934" s="7"/>
      <c r="O934" s="3"/>
      <c r="P934" s="3"/>
      <c r="Q934" s="3"/>
      <c r="R934" s="3"/>
    </row>
    <row x14ac:dyDescent="0.25" r="935" customHeight="1" ht="18.75">
      <c r="A935" s="10" t="s">
        <v>1002</v>
      </c>
      <c r="B935" s="11">
        <v>61</v>
      </c>
      <c r="C935" s="3"/>
      <c r="D935" s="3"/>
      <c r="E935" s="5"/>
      <c r="F935" s="3"/>
      <c r="G935" s="3"/>
      <c r="H935" s="5"/>
      <c r="I935" s="5"/>
      <c r="J935" s="5"/>
      <c r="K935" s="5"/>
      <c r="L935" s="6"/>
      <c r="M935" s="6"/>
      <c r="N935" s="7"/>
      <c r="O935" s="3"/>
      <c r="P935" s="3"/>
      <c r="Q935" s="3"/>
      <c r="R935" s="3"/>
    </row>
    <row x14ac:dyDescent="0.25" r="936" customHeight="1" ht="18.75">
      <c r="A936" s="10" t="s">
        <v>1003</v>
      </c>
      <c r="B936" s="11">
        <v>61</v>
      </c>
      <c r="C936" s="3"/>
      <c r="D936" s="3"/>
      <c r="E936" s="5"/>
      <c r="F936" s="3"/>
      <c r="G936" s="3"/>
      <c r="H936" s="5"/>
      <c r="I936" s="5"/>
      <c r="J936" s="5"/>
      <c r="K936" s="5"/>
      <c r="L936" s="6"/>
      <c r="M936" s="6"/>
      <c r="N936" s="7"/>
      <c r="O936" s="3"/>
      <c r="P936" s="3"/>
      <c r="Q936" s="3"/>
      <c r="R936" s="3"/>
    </row>
    <row x14ac:dyDescent="0.25" r="937" customHeight="1" ht="18.75">
      <c r="A937" s="10" t="s">
        <v>1004</v>
      </c>
      <c r="B937" s="11">
        <v>61</v>
      </c>
      <c r="C937" s="3"/>
      <c r="D937" s="3"/>
      <c r="E937" s="5"/>
      <c r="F937" s="3"/>
      <c r="G937" s="3"/>
      <c r="H937" s="5"/>
      <c r="I937" s="5"/>
      <c r="J937" s="5"/>
      <c r="K937" s="5"/>
      <c r="L937" s="6"/>
      <c r="M937" s="6"/>
      <c r="N937" s="7"/>
      <c r="O937" s="3"/>
      <c r="P937" s="3"/>
      <c r="Q937" s="3"/>
      <c r="R937" s="3"/>
    </row>
    <row x14ac:dyDescent="0.25" r="938" customHeight="1" ht="18.75">
      <c r="A938" s="10" t="s">
        <v>1005</v>
      </c>
      <c r="B938" s="11">
        <v>61</v>
      </c>
      <c r="C938" s="3"/>
      <c r="D938" s="3"/>
      <c r="E938" s="5"/>
      <c r="F938" s="3"/>
      <c r="G938" s="3"/>
      <c r="H938" s="5"/>
      <c r="I938" s="5"/>
      <c r="J938" s="5"/>
      <c r="K938" s="5"/>
      <c r="L938" s="6"/>
      <c r="M938" s="6"/>
      <c r="N938" s="7"/>
      <c r="O938" s="3"/>
      <c r="P938" s="3"/>
      <c r="Q938" s="3"/>
      <c r="R938" s="3"/>
    </row>
    <row x14ac:dyDescent="0.25" r="939" customHeight="1" ht="18.75">
      <c r="A939" s="10" t="s">
        <v>1006</v>
      </c>
      <c r="B939" s="11">
        <v>61</v>
      </c>
      <c r="C939" s="3"/>
      <c r="D939" s="3"/>
      <c r="E939" s="5"/>
      <c r="F939" s="3"/>
      <c r="G939" s="3"/>
      <c r="H939" s="5"/>
      <c r="I939" s="5"/>
      <c r="J939" s="5"/>
      <c r="K939" s="5"/>
      <c r="L939" s="6"/>
      <c r="M939" s="6"/>
      <c r="N939" s="7"/>
      <c r="O939" s="3"/>
      <c r="P939" s="3"/>
      <c r="Q939" s="3"/>
      <c r="R939" s="3"/>
    </row>
    <row x14ac:dyDescent="0.25" r="940" customHeight="1" ht="18.75">
      <c r="A940" s="10" t="s">
        <v>1007</v>
      </c>
      <c r="B940" s="11">
        <v>61</v>
      </c>
      <c r="C940" s="3"/>
      <c r="D940" s="3"/>
      <c r="E940" s="5"/>
      <c r="F940" s="3"/>
      <c r="G940" s="3"/>
      <c r="H940" s="5"/>
      <c r="I940" s="5"/>
      <c r="J940" s="5"/>
      <c r="K940" s="5"/>
      <c r="L940" s="6"/>
      <c r="M940" s="6"/>
      <c r="N940" s="7"/>
      <c r="O940" s="3"/>
      <c r="P940" s="3"/>
      <c r="Q940" s="3"/>
      <c r="R940" s="3"/>
    </row>
    <row x14ac:dyDescent="0.25" r="941" customHeight="1" ht="18.75">
      <c r="A941" s="10" t="s">
        <v>1008</v>
      </c>
      <c r="B941" s="11">
        <v>61</v>
      </c>
      <c r="C941" s="3"/>
      <c r="D941" s="3"/>
      <c r="E941" s="5"/>
      <c r="F941" s="3"/>
      <c r="G941" s="3"/>
      <c r="H941" s="5"/>
      <c r="I941" s="5"/>
      <c r="J941" s="5"/>
      <c r="K941" s="5"/>
      <c r="L941" s="6"/>
      <c r="M941" s="6"/>
      <c r="N941" s="7"/>
      <c r="O941" s="3"/>
      <c r="P941" s="3"/>
      <c r="Q941" s="3"/>
      <c r="R941" s="3"/>
    </row>
    <row x14ac:dyDescent="0.25" r="942" customHeight="1" ht="18.75">
      <c r="A942" s="10" t="s">
        <v>1009</v>
      </c>
      <c r="B942" s="11">
        <v>61</v>
      </c>
      <c r="C942" s="3"/>
      <c r="D942" s="3"/>
      <c r="E942" s="5"/>
      <c r="F942" s="3"/>
      <c r="G942" s="3"/>
      <c r="H942" s="5"/>
      <c r="I942" s="5"/>
      <c r="J942" s="5"/>
      <c r="K942" s="5"/>
      <c r="L942" s="6"/>
      <c r="M942" s="6"/>
      <c r="N942" s="7"/>
      <c r="O942" s="3"/>
      <c r="P942" s="3"/>
      <c r="Q942" s="3"/>
      <c r="R942" s="3"/>
    </row>
    <row x14ac:dyDescent="0.25" r="943" customHeight="1" ht="18.75">
      <c r="A943" s="10" t="s">
        <v>1010</v>
      </c>
      <c r="B943" s="11">
        <v>61</v>
      </c>
      <c r="C943" s="3"/>
      <c r="D943" s="3"/>
      <c r="E943" s="5"/>
      <c r="F943" s="3"/>
      <c r="G943" s="3"/>
      <c r="H943" s="5"/>
      <c r="I943" s="5"/>
      <c r="J943" s="5"/>
      <c r="K943" s="5"/>
      <c r="L943" s="6"/>
      <c r="M943" s="6"/>
      <c r="N943" s="7"/>
      <c r="O943" s="3"/>
      <c r="P943" s="3"/>
      <c r="Q943" s="3"/>
      <c r="R943" s="3"/>
    </row>
    <row x14ac:dyDescent="0.25" r="944" customHeight="1" ht="18.75">
      <c r="A944" s="10" t="s">
        <v>1011</v>
      </c>
      <c r="B944" s="11">
        <v>61</v>
      </c>
      <c r="C944" s="3"/>
      <c r="D944" s="3"/>
      <c r="E944" s="5"/>
      <c r="F944" s="3"/>
      <c r="G944" s="3"/>
      <c r="H944" s="5"/>
      <c r="I944" s="5"/>
      <c r="J944" s="5"/>
      <c r="K944" s="5"/>
      <c r="L944" s="6"/>
      <c r="M944" s="6"/>
      <c r="N944" s="7"/>
      <c r="O944" s="3"/>
      <c r="P944" s="3"/>
      <c r="Q944" s="3"/>
      <c r="R944" s="3"/>
    </row>
    <row x14ac:dyDescent="0.25" r="945" customHeight="1" ht="18.75">
      <c r="A945" s="10" t="s">
        <v>1012</v>
      </c>
      <c r="B945" s="11">
        <v>61</v>
      </c>
      <c r="C945" s="3"/>
      <c r="D945" s="3"/>
      <c r="E945" s="5"/>
      <c r="F945" s="3"/>
      <c r="G945" s="3"/>
      <c r="H945" s="5"/>
      <c r="I945" s="5"/>
      <c r="J945" s="5"/>
      <c r="K945" s="5"/>
      <c r="L945" s="6"/>
      <c r="M945" s="6"/>
      <c r="N945" s="7"/>
      <c r="O945" s="3"/>
      <c r="P945" s="3"/>
      <c r="Q945" s="3"/>
      <c r="R945" s="3"/>
    </row>
    <row x14ac:dyDescent="0.25" r="946" customHeight="1" ht="18.75">
      <c r="A946" s="10" t="s">
        <v>1013</v>
      </c>
      <c r="B946" s="11">
        <v>61</v>
      </c>
      <c r="C946" s="3"/>
      <c r="D946" s="3"/>
      <c r="E946" s="5"/>
      <c r="F946" s="3"/>
      <c r="G946" s="3"/>
      <c r="H946" s="5"/>
      <c r="I946" s="5"/>
      <c r="J946" s="5"/>
      <c r="K946" s="5"/>
      <c r="L946" s="6"/>
      <c r="M946" s="6"/>
      <c r="N946" s="7"/>
      <c r="O946" s="3"/>
      <c r="P946" s="3"/>
      <c r="Q946" s="3"/>
      <c r="R946" s="3"/>
    </row>
    <row x14ac:dyDescent="0.25" r="947" customHeight="1" ht="18.75">
      <c r="A947" s="10" t="s">
        <v>1014</v>
      </c>
      <c r="B947" s="11">
        <v>62</v>
      </c>
      <c r="C947" s="3"/>
      <c r="D947" s="3"/>
      <c r="E947" s="5"/>
      <c r="F947" s="3"/>
      <c r="G947" s="3"/>
      <c r="H947" s="5"/>
      <c r="I947" s="5"/>
      <c r="J947" s="5"/>
      <c r="K947" s="5"/>
      <c r="L947" s="6"/>
      <c r="M947" s="6"/>
      <c r="N947" s="7"/>
      <c r="O947" s="3"/>
      <c r="P947" s="3"/>
      <c r="Q947" s="3"/>
      <c r="R947" s="3"/>
    </row>
    <row x14ac:dyDescent="0.25" r="948" customHeight="1" ht="18.75">
      <c r="A948" s="10" t="s">
        <v>1015</v>
      </c>
      <c r="B948" s="11">
        <v>62</v>
      </c>
      <c r="C948" s="3"/>
      <c r="D948" s="3"/>
      <c r="E948" s="5"/>
      <c r="F948" s="3"/>
      <c r="G948" s="3"/>
      <c r="H948" s="5"/>
      <c r="I948" s="5"/>
      <c r="J948" s="5"/>
      <c r="K948" s="5"/>
      <c r="L948" s="6"/>
      <c r="M948" s="6"/>
      <c r="N948" s="7"/>
      <c r="O948" s="3"/>
      <c r="P948" s="3"/>
      <c r="Q948" s="3"/>
      <c r="R948" s="3"/>
    </row>
    <row x14ac:dyDescent="0.25" r="949" customHeight="1" ht="18.75">
      <c r="A949" s="10" t="s">
        <v>1016</v>
      </c>
      <c r="B949" s="11">
        <v>62</v>
      </c>
      <c r="C949" s="3"/>
      <c r="D949" s="3"/>
      <c r="E949" s="5"/>
      <c r="F949" s="3"/>
      <c r="G949" s="3"/>
      <c r="H949" s="5"/>
      <c r="I949" s="5"/>
      <c r="J949" s="5"/>
      <c r="K949" s="5"/>
      <c r="L949" s="6"/>
      <c r="M949" s="6"/>
      <c r="N949" s="7"/>
      <c r="O949" s="3"/>
      <c r="P949" s="3"/>
      <c r="Q949" s="3"/>
      <c r="R949" s="3"/>
    </row>
    <row x14ac:dyDescent="0.25" r="950" customHeight="1" ht="18.75">
      <c r="A950" s="10" t="s">
        <v>1017</v>
      </c>
      <c r="B950" s="11">
        <v>62</v>
      </c>
      <c r="C950" s="3"/>
      <c r="D950" s="3"/>
      <c r="E950" s="5"/>
      <c r="F950" s="3"/>
      <c r="G950" s="3"/>
      <c r="H950" s="5"/>
      <c r="I950" s="5"/>
      <c r="J950" s="5"/>
      <c r="K950" s="5"/>
      <c r="L950" s="6"/>
      <c r="M950" s="6"/>
      <c r="N950" s="7"/>
      <c r="O950" s="3"/>
      <c r="P950" s="3"/>
      <c r="Q950" s="3"/>
      <c r="R950" s="3"/>
    </row>
    <row x14ac:dyDescent="0.25" r="951" customHeight="1" ht="18.75">
      <c r="A951" s="10" t="s">
        <v>1018</v>
      </c>
      <c r="B951" s="11">
        <v>62</v>
      </c>
      <c r="C951" s="3"/>
      <c r="D951" s="3"/>
      <c r="E951" s="5"/>
      <c r="F951" s="3"/>
      <c r="G951" s="3"/>
      <c r="H951" s="5"/>
      <c r="I951" s="5"/>
      <c r="J951" s="5"/>
      <c r="K951" s="5"/>
      <c r="L951" s="6"/>
      <c r="M951" s="6"/>
      <c r="N951" s="7"/>
      <c r="O951" s="3"/>
      <c r="P951" s="3"/>
      <c r="Q951" s="3"/>
      <c r="R951" s="3"/>
    </row>
    <row x14ac:dyDescent="0.25" r="952" customHeight="1" ht="18.75">
      <c r="A952" s="10" t="s">
        <v>1019</v>
      </c>
      <c r="B952" s="11">
        <v>62</v>
      </c>
      <c r="C952" s="3"/>
      <c r="D952" s="3"/>
      <c r="E952" s="5"/>
      <c r="F952" s="3"/>
      <c r="G952" s="3"/>
      <c r="H952" s="5"/>
      <c r="I952" s="5"/>
      <c r="J952" s="5"/>
      <c r="K952" s="5"/>
      <c r="L952" s="6"/>
      <c r="M952" s="6"/>
      <c r="N952" s="7"/>
      <c r="O952" s="3"/>
      <c r="P952" s="3"/>
      <c r="Q952" s="3"/>
      <c r="R952" s="3"/>
    </row>
    <row x14ac:dyDescent="0.25" r="953" customHeight="1" ht="18.75">
      <c r="A953" s="10" t="s">
        <v>1020</v>
      </c>
      <c r="B953" s="11">
        <v>62</v>
      </c>
      <c r="C953" s="3"/>
      <c r="D953" s="3"/>
      <c r="E953" s="5"/>
      <c r="F953" s="3"/>
      <c r="G953" s="3"/>
      <c r="H953" s="5"/>
      <c r="I953" s="5"/>
      <c r="J953" s="5"/>
      <c r="K953" s="5"/>
      <c r="L953" s="6"/>
      <c r="M953" s="6"/>
      <c r="N953" s="7"/>
      <c r="O953" s="3"/>
      <c r="P953" s="3"/>
      <c r="Q953" s="3"/>
      <c r="R953" s="3"/>
    </row>
    <row x14ac:dyDescent="0.25" r="954" customHeight="1" ht="18.75">
      <c r="A954" s="10" t="s">
        <v>1021</v>
      </c>
      <c r="B954" s="11">
        <v>62</v>
      </c>
      <c r="C954" s="3"/>
      <c r="D954" s="3"/>
      <c r="E954" s="5"/>
      <c r="F954" s="3"/>
      <c r="G954" s="3"/>
      <c r="H954" s="5"/>
      <c r="I954" s="5"/>
      <c r="J954" s="5"/>
      <c r="K954" s="5"/>
      <c r="L954" s="6"/>
      <c r="M954" s="6"/>
      <c r="N954" s="7"/>
      <c r="O954" s="3"/>
      <c r="P954" s="3"/>
      <c r="Q954" s="3"/>
      <c r="R954" s="3"/>
    </row>
    <row x14ac:dyDescent="0.25" r="955" customHeight="1" ht="18.75">
      <c r="A955" s="10" t="s">
        <v>1022</v>
      </c>
      <c r="B955" s="11">
        <v>62</v>
      </c>
      <c r="C955" s="3"/>
      <c r="D955" s="3"/>
      <c r="E955" s="5"/>
      <c r="F955" s="3"/>
      <c r="G955" s="3"/>
      <c r="H955" s="5"/>
      <c r="I955" s="5"/>
      <c r="J955" s="5"/>
      <c r="K955" s="5"/>
      <c r="L955" s="6"/>
      <c r="M955" s="6"/>
      <c r="N955" s="7"/>
      <c r="O955" s="3"/>
      <c r="P955" s="3"/>
      <c r="Q955" s="3"/>
      <c r="R955" s="3"/>
    </row>
    <row x14ac:dyDescent="0.25" r="956" customHeight="1" ht="18.75">
      <c r="A956" s="10" t="s">
        <v>1023</v>
      </c>
      <c r="B956" s="11">
        <v>62</v>
      </c>
      <c r="C956" s="3"/>
      <c r="D956" s="3"/>
      <c r="E956" s="5"/>
      <c r="F956" s="3"/>
      <c r="G956" s="3"/>
      <c r="H956" s="5"/>
      <c r="I956" s="5"/>
      <c r="J956" s="5"/>
      <c r="K956" s="5"/>
      <c r="L956" s="6"/>
      <c r="M956" s="6"/>
      <c r="N956" s="7"/>
      <c r="O956" s="3"/>
      <c r="P956" s="3"/>
      <c r="Q956" s="3"/>
      <c r="R956" s="3"/>
    </row>
    <row x14ac:dyDescent="0.25" r="957" customHeight="1" ht="18.75">
      <c r="A957" s="10" t="s">
        <v>1024</v>
      </c>
      <c r="B957" s="11">
        <v>62</v>
      </c>
      <c r="C957" s="3"/>
      <c r="D957" s="3"/>
      <c r="E957" s="5"/>
      <c r="F957" s="3"/>
      <c r="G957" s="3"/>
      <c r="H957" s="5"/>
      <c r="I957" s="5"/>
      <c r="J957" s="5"/>
      <c r="K957" s="5"/>
      <c r="L957" s="6"/>
      <c r="M957" s="6"/>
      <c r="N957" s="7"/>
      <c r="O957" s="3"/>
      <c r="P957" s="3"/>
      <c r="Q957" s="3"/>
      <c r="R957" s="3"/>
    </row>
    <row x14ac:dyDescent="0.25" r="958" customHeight="1" ht="18.75">
      <c r="A958" s="10" t="s">
        <v>1025</v>
      </c>
      <c r="B958" s="11">
        <v>62</v>
      </c>
      <c r="C958" s="3"/>
      <c r="D958" s="3"/>
      <c r="E958" s="5"/>
      <c r="F958" s="3"/>
      <c r="G958" s="3"/>
      <c r="H958" s="5"/>
      <c r="I958" s="5"/>
      <c r="J958" s="5"/>
      <c r="K958" s="5"/>
      <c r="L958" s="6"/>
      <c r="M958" s="6"/>
      <c r="N958" s="7"/>
      <c r="O958" s="3"/>
      <c r="P958" s="3"/>
      <c r="Q958" s="3"/>
      <c r="R958" s="3"/>
    </row>
    <row x14ac:dyDescent="0.25" r="959" customHeight="1" ht="18.75">
      <c r="A959" s="10" t="s">
        <v>1026</v>
      </c>
      <c r="B959" s="11">
        <v>62</v>
      </c>
      <c r="C959" s="3"/>
      <c r="D959" s="3"/>
      <c r="E959" s="5"/>
      <c r="F959" s="3"/>
      <c r="G959" s="3"/>
      <c r="H959" s="5"/>
      <c r="I959" s="5"/>
      <c r="J959" s="5"/>
      <c r="K959" s="5"/>
      <c r="L959" s="6"/>
      <c r="M959" s="6"/>
      <c r="N959" s="7"/>
      <c r="O959" s="3"/>
      <c r="P959" s="3"/>
      <c r="Q959" s="3"/>
      <c r="R959" s="3"/>
    </row>
    <row x14ac:dyDescent="0.25" r="960" customHeight="1" ht="18.75">
      <c r="A960" s="10" t="s">
        <v>1027</v>
      </c>
      <c r="B960" s="11">
        <v>62</v>
      </c>
      <c r="C960" s="3"/>
      <c r="D960" s="3"/>
      <c r="E960" s="5"/>
      <c r="F960" s="3"/>
      <c r="G960" s="3"/>
      <c r="H960" s="5"/>
      <c r="I960" s="5"/>
      <c r="J960" s="5"/>
      <c r="K960" s="5"/>
      <c r="L960" s="6"/>
      <c r="M960" s="6"/>
      <c r="N960" s="7"/>
      <c r="O960" s="3"/>
      <c r="P960" s="3"/>
      <c r="Q960" s="3"/>
      <c r="R960" s="3"/>
    </row>
    <row x14ac:dyDescent="0.25" r="961" customHeight="1" ht="18.75">
      <c r="A961" s="10" t="s">
        <v>1028</v>
      </c>
      <c r="B961" s="11">
        <v>62</v>
      </c>
      <c r="C961" s="3"/>
      <c r="D961" s="3"/>
      <c r="E961" s="5"/>
      <c r="F961" s="3"/>
      <c r="G961" s="3"/>
      <c r="H961" s="5"/>
      <c r="I961" s="5"/>
      <c r="J961" s="5"/>
      <c r="K961" s="5"/>
      <c r="L961" s="6"/>
      <c r="M961" s="6"/>
      <c r="N961" s="7"/>
      <c r="O961" s="3"/>
      <c r="P961" s="3"/>
      <c r="Q961" s="3"/>
      <c r="R961" s="3"/>
    </row>
    <row x14ac:dyDescent="0.25" r="962" customHeight="1" ht="18.75">
      <c r="A962" s="10" t="s">
        <v>1029</v>
      </c>
      <c r="B962" s="11">
        <v>63</v>
      </c>
      <c r="C962" s="3"/>
      <c r="D962" s="3"/>
      <c r="E962" s="5"/>
      <c r="F962" s="3"/>
      <c r="G962" s="3"/>
      <c r="H962" s="5"/>
      <c r="I962" s="5"/>
      <c r="J962" s="5"/>
      <c r="K962" s="5"/>
      <c r="L962" s="6"/>
      <c r="M962" s="6"/>
      <c r="N962" s="7"/>
      <c r="O962" s="3"/>
      <c r="P962" s="3"/>
      <c r="Q962" s="3"/>
      <c r="R962" s="3"/>
    </row>
    <row x14ac:dyDescent="0.25" r="963" customHeight="1" ht="18.75">
      <c r="A963" s="10" t="s">
        <v>1030</v>
      </c>
      <c r="B963" s="11">
        <v>63</v>
      </c>
      <c r="C963" s="3"/>
      <c r="D963" s="3"/>
      <c r="E963" s="5"/>
      <c r="F963" s="3"/>
      <c r="G963" s="3"/>
      <c r="H963" s="5"/>
      <c r="I963" s="5"/>
      <c r="J963" s="5"/>
      <c r="K963" s="5"/>
      <c r="L963" s="6"/>
      <c r="M963" s="6"/>
      <c r="N963" s="7"/>
      <c r="O963" s="3"/>
      <c r="P963" s="3"/>
      <c r="Q963" s="3"/>
      <c r="R963" s="3"/>
    </row>
    <row x14ac:dyDescent="0.25" r="964" customHeight="1" ht="18.75">
      <c r="A964" s="10" t="s">
        <v>1031</v>
      </c>
      <c r="B964" s="11">
        <v>63</v>
      </c>
      <c r="C964" s="3"/>
      <c r="D964" s="3"/>
      <c r="E964" s="5"/>
      <c r="F964" s="3"/>
      <c r="G964" s="3"/>
      <c r="H964" s="5"/>
      <c r="I964" s="5"/>
      <c r="J964" s="5"/>
      <c r="K964" s="5"/>
      <c r="L964" s="6"/>
      <c r="M964" s="6"/>
      <c r="N964" s="7"/>
      <c r="O964" s="3"/>
      <c r="P964" s="3"/>
      <c r="Q964" s="3"/>
      <c r="R964" s="3"/>
    </row>
    <row x14ac:dyDescent="0.25" r="965" customHeight="1" ht="18.75">
      <c r="A965" s="10" t="s">
        <v>1032</v>
      </c>
      <c r="B965" s="11">
        <v>63</v>
      </c>
      <c r="C965" s="3"/>
      <c r="D965" s="3"/>
      <c r="E965" s="5"/>
      <c r="F965" s="3"/>
      <c r="G965" s="3"/>
      <c r="H965" s="5"/>
      <c r="I965" s="5"/>
      <c r="J965" s="5"/>
      <c r="K965" s="5"/>
      <c r="L965" s="6"/>
      <c r="M965" s="6"/>
      <c r="N965" s="7"/>
      <c r="O965" s="3"/>
      <c r="P965" s="3"/>
      <c r="Q965" s="3"/>
      <c r="R965" s="3"/>
    </row>
    <row x14ac:dyDescent="0.25" r="966" customHeight="1" ht="18.75">
      <c r="A966" s="10" t="s">
        <v>1033</v>
      </c>
      <c r="B966" s="11">
        <v>63</v>
      </c>
      <c r="C966" s="3"/>
      <c r="D966" s="3"/>
      <c r="E966" s="5"/>
      <c r="F966" s="3"/>
      <c r="G966" s="3"/>
      <c r="H966" s="5"/>
      <c r="I966" s="5"/>
      <c r="J966" s="5"/>
      <c r="K966" s="5"/>
      <c r="L966" s="6"/>
      <c r="M966" s="6"/>
      <c r="N966" s="7"/>
      <c r="O966" s="3"/>
      <c r="P966" s="3"/>
      <c r="Q966" s="3"/>
      <c r="R966" s="3"/>
    </row>
    <row x14ac:dyDescent="0.25" r="967" customHeight="1" ht="18.75">
      <c r="A967" s="10" t="s">
        <v>1034</v>
      </c>
      <c r="B967" s="11">
        <v>63</v>
      </c>
      <c r="C967" s="3"/>
      <c r="D967" s="3"/>
      <c r="E967" s="5"/>
      <c r="F967" s="3"/>
      <c r="G967" s="3"/>
      <c r="H967" s="5"/>
      <c r="I967" s="5"/>
      <c r="J967" s="5"/>
      <c r="K967" s="5"/>
      <c r="L967" s="6"/>
      <c r="M967" s="6"/>
      <c r="N967" s="7"/>
      <c r="O967" s="3"/>
      <c r="P967" s="3"/>
      <c r="Q967" s="3"/>
      <c r="R967" s="3"/>
    </row>
    <row x14ac:dyDescent="0.25" r="968" customHeight="1" ht="18.75">
      <c r="A968" s="10" t="s">
        <v>1035</v>
      </c>
      <c r="B968" s="11">
        <v>63</v>
      </c>
      <c r="C968" s="3"/>
      <c r="D968" s="3"/>
      <c r="E968" s="5"/>
      <c r="F968" s="3"/>
      <c r="G968" s="3"/>
      <c r="H968" s="5"/>
      <c r="I968" s="5"/>
      <c r="J968" s="5"/>
      <c r="K968" s="5"/>
      <c r="L968" s="6"/>
      <c r="M968" s="6"/>
      <c r="N968" s="7"/>
      <c r="O968" s="3"/>
      <c r="P968" s="3"/>
      <c r="Q968" s="3"/>
      <c r="R968" s="3"/>
    </row>
    <row x14ac:dyDescent="0.25" r="969" customHeight="1" ht="18.75">
      <c r="A969" s="10" t="s">
        <v>1036</v>
      </c>
      <c r="B969" s="11">
        <v>63</v>
      </c>
      <c r="C969" s="3"/>
      <c r="D969" s="3"/>
      <c r="E969" s="5"/>
      <c r="F969" s="3"/>
      <c r="G969" s="3"/>
      <c r="H969" s="5"/>
      <c r="I969" s="5"/>
      <c r="J969" s="5"/>
      <c r="K969" s="5"/>
      <c r="L969" s="6"/>
      <c r="M969" s="6"/>
      <c r="N969" s="7"/>
      <c r="O969" s="3"/>
      <c r="P969" s="3"/>
      <c r="Q969" s="3"/>
      <c r="R969" s="3"/>
    </row>
    <row x14ac:dyDescent="0.25" r="970" customHeight="1" ht="18.75">
      <c r="A970" s="10" t="s">
        <v>1037</v>
      </c>
      <c r="B970" s="11">
        <v>63</v>
      </c>
      <c r="C970" s="3"/>
      <c r="D970" s="3"/>
      <c r="E970" s="5"/>
      <c r="F970" s="3"/>
      <c r="G970" s="3"/>
      <c r="H970" s="5"/>
      <c r="I970" s="5"/>
      <c r="J970" s="5"/>
      <c r="K970" s="5"/>
      <c r="L970" s="6"/>
      <c r="M970" s="6"/>
      <c r="N970" s="7"/>
      <c r="O970" s="3"/>
      <c r="P970" s="3"/>
      <c r="Q970" s="3"/>
      <c r="R970" s="3"/>
    </row>
    <row x14ac:dyDescent="0.25" r="971" customHeight="1" ht="18.75">
      <c r="A971" s="10" t="s">
        <v>1038</v>
      </c>
      <c r="B971" s="11">
        <v>63</v>
      </c>
      <c r="C971" s="3"/>
      <c r="D971" s="3"/>
      <c r="E971" s="5"/>
      <c r="F971" s="3"/>
      <c r="G971" s="3"/>
      <c r="H971" s="5"/>
      <c r="I971" s="5"/>
      <c r="J971" s="5"/>
      <c r="K971" s="5"/>
      <c r="L971" s="6"/>
      <c r="M971" s="6"/>
      <c r="N971" s="7"/>
      <c r="O971" s="3"/>
      <c r="P971" s="3"/>
      <c r="Q971" s="3"/>
      <c r="R971" s="3"/>
    </row>
    <row x14ac:dyDescent="0.25" r="972" customHeight="1" ht="18.75">
      <c r="A972" s="10" t="s">
        <v>1039</v>
      </c>
      <c r="B972" s="11">
        <v>63</v>
      </c>
      <c r="C972" s="3"/>
      <c r="D972" s="3"/>
      <c r="E972" s="5"/>
      <c r="F972" s="3"/>
      <c r="G972" s="3"/>
      <c r="H972" s="5"/>
      <c r="I972" s="5"/>
      <c r="J972" s="5"/>
      <c r="K972" s="5"/>
      <c r="L972" s="6"/>
      <c r="M972" s="6"/>
      <c r="N972" s="7"/>
      <c r="O972" s="3"/>
      <c r="P972" s="3"/>
      <c r="Q972" s="3"/>
      <c r="R972" s="3"/>
    </row>
    <row x14ac:dyDescent="0.25" r="973" customHeight="1" ht="18.75">
      <c r="A973" s="10" t="s">
        <v>1040</v>
      </c>
      <c r="B973" s="11">
        <v>63</v>
      </c>
      <c r="C973" s="3"/>
      <c r="D973" s="3"/>
      <c r="E973" s="5"/>
      <c r="F973" s="3"/>
      <c r="G973" s="3"/>
      <c r="H973" s="5"/>
      <c r="I973" s="5"/>
      <c r="J973" s="5"/>
      <c r="K973" s="5"/>
      <c r="L973" s="6"/>
      <c r="M973" s="6"/>
      <c r="N973" s="7"/>
      <c r="O973" s="3"/>
      <c r="P973" s="3"/>
      <c r="Q973" s="3"/>
      <c r="R973" s="3"/>
    </row>
    <row x14ac:dyDescent="0.25" r="974" customHeight="1" ht="18.75">
      <c r="A974" s="10" t="s">
        <v>1041</v>
      </c>
      <c r="B974" s="11">
        <v>63</v>
      </c>
      <c r="C974" s="3"/>
      <c r="D974" s="3"/>
      <c r="E974" s="5"/>
      <c r="F974" s="3"/>
      <c r="G974" s="3"/>
      <c r="H974" s="5"/>
      <c r="I974" s="5"/>
      <c r="J974" s="5"/>
      <c r="K974" s="5"/>
      <c r="L974" s="6"/>
      <c r="M974" s="6"/>
      <c r="N974" s="7"/>
      <c r="O974" s="3"/>
      <c r="P974" s="3"/>
      <c r="Q974" s="3"/>
      <c r="R974" s="3"/>
    </row>
    <row x14ac:dyDescent="0.25" r="975" customHeight="1" ht="18.75">
      <c r="A975" s="10" t="s">
        <v>1042</v>
      </c>
      <c r="B975" s="11">
        <v>63</v>
      </c>
      <c r="C975" s="3"/>
      <c r="D975" s="3"/>
      <c r="E975" s="5"/>
      <c r="F975" s="3"/>
      <c r="G975" s="3"/>
      <c r="H975" s="5"/>
      <c r="I975" s="5"/>
      <c r="J975" s="5"/>
      <c r="K975" s="5"/>
      <c r="L975" s="6"/>
      <c r="M975" s="6"/>
      <c r="N975" s="7"/>
      <c r="O975" s="3"/>
      <c r="P975" s="3"/>
      <c r="Q975" s="3"/>
      <c r="R975" s="3"/>
    </row>
    <row x14ac:dyDescent="0.25" r="976" customHeight="1" ht="18.75">
      <c r="A976" s="10" t="s">
        <v>1043</v>
      </c>
      <c r="B976" s="11">
        <v>63</v>
      </c>
      <c r="C976" s="3"/>
      <c r="D976" s="3"/>
      <c r="E976" s="5"/>
      <c r="F976" s="3"/>
      <c r="G976" s="3"/>
      <c r="H976" s="5"/>
      <c r="I976" s="5"/>
      <c r="J976" s="5"/>
      <c r="K976" s="5"/>
      <c r="L976" s="6"/>
      <c r="M976" s="6"/>
      <c r="N976" s="7"/>
      <c r="O976" s="3"/>
      <c r="P976" s="3"/>
      <c r="Q976" s="3"/>
      <c r="R976" s="3"/>
    </row>
    <row x14ac:dyDescent="0.25" r="977" customHeight="1" ht="18.75">
      <c r="A977" s="10" t="s">
        <v>1044</v>
      </c>
      <c r="B977" s="11">
        <v>63</v>
      </c>
      <c r="C977" s="3"/>
      <c r="D977" s="3"/>
      <c r="E977" s="5"/>
      <c r="F977" s="3"/>
      <c r="G977" s="3"/>
      <c r="H977" s="5"/>
      <c r="I977" s="5"/>
      <c r="J977" s="5"/>
      <c r="K977" s="5"/>
      <c r="L977" s="6"/>
      <c r="M977" s="6"/>
      <c r="N977" s="7"/>
      <c r="O977" s="3"/>
      <c r="P977" s="3"/>
      <c r="Q977" s="3"/>
      <c r="R977" s="3"/>
    </row>
    <row x14ac:dyDescent="0.25" r="978" customHeight="1" ht="18.75">
      <c r="A978" s="10" t="s">
        <v>1045</v>
      </c>
      <c r="B978" s="11">
        <v>63</v>
      </c>
      <c r="C978" s="3"/>
      <c r="D978" s="3"/>
      <c r="E978" s="5"/>
      <c r="F978" s="3"/>
      <c r="G978" s="3"/>
      <c r="H978" s="5"/>
      <c r="I978" s="5"/>
      <c r="J978" s="5"/>
      <c r="K978" s="5"/>
      <c r="L978" s="6"/>
      <c r="M978" s="6"/>
      <c r="N978" s="7"/>
      <c r="O978" s="3"/>
      <c r="P978" s="3"/>
      <c r="Q978" s="3"/>
      <c r="R978" s="3"/>
    </row>
    <row x14ac:dyDescent="0.25" r="979" customHeight="1" ht="18.75">
      <c r="A979" s="10" t="s">
        <v>1046</v>
      </c>
      <c r="B979" s="11">
        <v>63</v>
      </c>
      <c r="C979" s="3"/>
      <c r="D979" s="3"/>
      <c r="E979" s="5"/>
      <c r="F979" s="3"/>
      <c r="G979" s="3"/>
      <c r="H979" s="5"/>
      <c r="I979" s="5"/>
      <c r="J979" s="5"/>
      <c r="K979" s="5"/>
      <c r="L979" s="6"/>
      <c r="M979" s="6"/>
      <c r="N979" s="7"/>
      <c r="O979" s="3"/>
      <c r="P979" s="3"/>
      <c r="Q979" s="3"/>
      <c r="R979" s="3"/>
    </row>
    <row x14ac:dyDescent="0.25" r="980" customHeight="1" ht="18.75">
      <c r="A980" s="10" t="s">
        <v>1047</v>
      </c>
      <c r="B980" s="11">
        <v>64</v>
      </c>
      <c r="C980" s="3"/>
      <c r="D980" s="3"/>
      <c r="E980" s="5"/>
      <c r="F980" s="3"/>
      <c r="G980" s="3"/>
      <c r="H980" s="5"/>
      <c r="I980" s="5"/>
      <c r="J980" s="5"/>
      <c r="K980" s="5"/>
      <c r="L980" s="6"/>
      <c r="M980" s="6"/>
      <c r="N980" s="7"/>
      <c r="O980" s="3"/>
      <c r="P980" s="3"/>
      <c r="Q980" s="3"/>
      <c r="R980" s="3"/>
    </row>
    <row x14ac:dyDescent="0.25" r="981" customHeight="1" ht="18.75">
      <c r="A981" s="10" t="s">
        <v>1048</v>
      </c>
      <c r="B981" s="11">
        <v>64</v>
      </c>
      <c r="C981" s="3"/>
      <c r="D981" s="3"/>
      <c r="E981" s="5"/>
      <c r="F981" s="3"/>
      <c r="G981" s="3"/>
      <c r="H981" s="5"/>
      <c r="I981" s="5"/>
      <c r="J981" s="5"/>
      <c r="K981" s="5"/>
      <c r="L981" s="6"/>
      <c r="M981" s="6"/>
      <c r="N981" s="7"/>
      <c r="O981" s="3"/>
      <c r="P981" s="3"/>
      <c r="Q981" s="3"/>
      <c r="R981" s="3"/>
    </row>
    <row x14ac:dyDescent="0.25" r="982" customHeight="1" ht="18.75">
      <c r="A982" s="10" t="s">
        <v>1049</v>
      </c>
      <c r="B982" s="11">
        <v>64</v>
      </c>
      <c r="C982" s="3"/>
      <c r="D982" s="3"/>
      <c r="E982" s="5"/>
      <c r="F982" s="3"/>
      <c r="G982" s="3"/>
      <c r="H982" s="5"/>
      <c r="I982" s="5"/>
      <c r="J982" s="5"/>
      <c r="K982" s="5"/>
      <c r="L982" s="6"/>
      <c r="M982" s="6"/>
      <c r="N982" s="7"/>
      <c r="O982" s="3"/>
      <c r="P982" s="3"/>
      <c r="Q982" s="3"/>
      <c r="R982" s="3"/>
    </row>
    <row x14ac:dyDescent="0.25" r="983" customHeight="1" ht="18.75">
      <c r="A983" s="10" t="s">
        <v>1050</v>
      </c>
      <c r="B983" s="11">
        <v>64</v>
      </c>
      <c r="C983" s="3"/>
      <c r="D983" s="3"/>
      <c r="E983" s="5"/>
      <c r="F983" s="3"/>
      <c r="G983" s="3"/>
      <c r="H983" s="5"/>
      <c r="I983" s="5"/>
      <c r="J983" s="5"/>
      <c r="K983" s="5"/>
      <c r="L983" s="6"/>
      <c r="M983" s="6"/>
      <c r="N983" s="7"/>
      <c r="O983" s="3"/>
      <c r="P983" s="3"/>
      <c r="Q983" s="3"/>
      <c r="R983" s="3"/>
    </row>
    <row x14ac:dyDescent="0.25" r="984" customHeight="1" ht="18.75">
      <c r="A984" s="10" t="s">
        <v>1051</v>
      </c>
      <c r="B984" s="11">
        <v>64</v>
      </c>
      <c r="C984" s="3"/>
      <c r="D984" s="3"/>
      <c r="E984" s="5"/>
      <c r="F984" s="3"/>
      <c r="G984" s="3"/>
      <c r="H984" s="5"/>
      <c r="I984" s="5"/>
      <c r="J984" s="5"/>
      <c r="K984" s="5"/>
      <c r="L984" s="6"/>
      <c r="M984" s="6"/>
      <c r="N984" s="7"/>
      <c r="O984" s="3"/>
      <c r="P984" s="3"/>
      <c r="Q984" s="3"/>
      <c r="R984" s="3"/>
    </row>
    <row x14ac:dyDescent="0.25" r="985" customHeight="1" ht="18.75">
      <c r="A985" s="10" t="s">
        <v>1052</v>
      </c>
      <c r="B985" s="11">
        <v>64</v>
      </c>
      <c r="C985" s="3"/>
      <c r="D985" s="3"/>
      <c r="E985" s="5"/>
      <c r="F985" s="3"/>
      <c r="G985" s="3"/>
      <c r="H985" s="5"/>
      <c r="I985" s="5"/>
      <c r="J985" s="5"/>
      <c r="K985" s="5"/>
      <c r="L985" s="6"/>
      <c r="M985" s="6"/>
      <c r="N985" s="7"/>
      <c r="O985" s="3"/>
      <c r="P985" s="3"/>
      <c r="Q985" s="3"/>
      <c r="R985" s="3"/>
    </row>
    <row x14ac:dyDescent="0.25" r="986" customHeight="1" ht="18.75">
      <c r="A986" s="10" t="s">
        <v>1053</v>
      </c>
      <c r="B986" s="11">
        <v>64</v>
      </c>
      <c r="C986" s="3"/>
      <c r="D986" s="3"/>
      <c r="E986" s="5"/>
      <c r="F986" s="3"/>
      <c r="G986" s="3"/>
      <c r="H986" s="5"/>
      <c r="I986" s="5"/>
      <c r="J986" s="5"/>
      <c r="K986" s="5"/>
      <c r="L986" s="6"/>
      <c r="M986" s="6"/>
      <c r="N986" s="7"/>
      <c r="O986" s="3"/>
      <c r="P986" s="3"/>
      <c r="Q986" s="3"/>
      <c r="R986" s="3"/>
    </row>
    <row x14ac:dyDescent="0.25" r="987" customHeight="1" ht="18.75">
      <c r="A987" s="10" t="s">
        <v>1054</v>
      </c>
      <c r="B987" s="11">
        <v>64</v>
      </c>
      <c r="C987" s="3"/>
      <c r="D987" s="3"/>
      <c r="E987" s="5"/>
      <c r="F987" s="3"/>
      <c r="G987" s="3"/>
      <c r="H987" s="5"/>
      <c r="I987" s="5"/>
      <c r="J987" s="5"/>
      <c r="K987" s="5"/>
      <c r="L987" s="6"/>
      <c r="M987" s="6"/>
      <c r="N987" s="7"/>
      <c r="O987" s="3"/>
      <c r="P987" s="3"/>
      <c r="Q987" s="3"/>
      <c r="R987" s="3"/>
    </row>
    <row x14ac:dyDescent="0.25" r="988" customHeight="1" ht="18.75">
      <c r="A988" s="10" t="s">
        <v>1055</v>
      </c>
      <c r="B988" s="11">
        <v>64</v>
      </c>
      <c r="C988" s="3"/>
      <c r="D988" s="3"/>
      <c r="E988" s="5"/>
      <c r="F988" s="3"/>
      <c r="G988" s="3"/>
      <c r="H988" s="5"/>
      <c r="I988" s="5"/>
      <c r="J988" s="5"/>
      <c r="K988" s="5"/>
      <c r="L988" s="6"/>
      <c r="M988" s="6"/>
      <c r="N988" s="7"/>
      <c r="O988" s="3"/>
      <c r="P988" s="3"/>
      <c r="Q988" s="3"/>
      <c r="R988" s="3"/>
    </row>
    <row x14ac:dyDescent="0.25" r="989" customHeight="1" ht="18.75">
      <c r="A989" s="10" t="s">
        <v>1056</v>
      </c>
      <c r="B989" s="11">
        <v>64</v>
      </c>
      <c r="C989" s="3"/>
      <c r="D989" s="3"/>
      <c r="E989" s="5"/>
      <c r="F989" s="3"/>
      <c r="G989" s="3"/>
      <c r="H989" s="5"/>
      <c r="I989" s="5"/>
      <c r="J989" s="5"/>
      <c r="K989" s="5"/>
      <c r="L989" s="6"/>
      <c r="M989" s="6"/>
      <c r="N989" s="7"/>
      <c r="O989" s="3"/>
      <c r="P989" s="3"/>
      <c r="Q989" s="3"/>
      <c r="R989" s="3"/>
    </row>
    <row x14ac:dyDescent="0.25" r="990" customHeight="1" ht="18.75">
      <c r="A990" s="10" t="s">
        <v>1057</v>
      </c>
      <c r="B990" s="11">
        <v>64</v>
      </c>
      <c r="C990" s="3"/>
      <c r="D990" s="3"/>
      <c r="E990" s="5"/>
      <c r="F990" s="3"/>
      <c r="G990" s="3"/>
      <c r="H990" s="5"/>
      <c r="I990" s="5"/>
      <c r="J990" s="5"/>
      <c r="K990" s="5"/>
      <c r="L990" s="6"/>
      <c r="M990" s="6"/>
      <c r="N990" s="7"/>
      <c r="O990" s="3"/>
      <c r="P990" s="3"/>
      <c r="Q990" s="3"/>
      <c r="R990" s="3"/>
    </row>
    <row x14ac:dyDescent="0.25" r="991" customHeight="1" ht="18.75">
      <c r="A991" s="10" t="s">
        <v>1058</v>
      </c>
      <c r="B991" s="11">
        <v>64</v>
      </c>
      <c r="C991" s="3"/>
      <c r="D991" s="3"/>
      <c r="E991" s="5"/>
      <c r="F991" s="3"/>
      <c r="G991" s="3"/>
      <c r="H991" s="5"/>
      <c r="I991" s="5"/>
      <c r="J991" s="5"/>
      <c r="K991" s="5"/>
      <c r="L991" s="6"/>
      <c r="M991" s="6"/>
      <c r="N991" s="7"/>
      <c r="O991" s="3"/>
      <c r="P991" s="3"/>
      <c r="Q991" s="3"/>
      <c r="R991" s="3"/>
    </row>
    <row x14ac:dyDescent="0.25" r="992" customHeight="1" ht="18.75">
      <c r="A992" s="10" t="s">
        <v>1059</v>
      </c>
      <c r="B992" s="11">
        <v>64</v>
      </c>
      <c r="C992" s="3"/>
      <c r="D992" s="3"/>
      <c r="E992" s="5"/>
      <c r="F992" s="3"/>
      <c r="G992" s="3"/>
      <c r="H992" s="5"/>
      <c r="I992" s="5"/>
      <c r="J992" s="5"/>
      <c r="K992" s="5"/>
      <c r="L992" s="6"/>
      <c r="M992" s="6"/>
      <c r="N992" s="7"/>
      <c r="O992" s="3"/>
      <c r="P992" s="3"/>
      <c r="Q992" s="3"/>
      <c r="R992" s="3"/>
    </row>
    <row x14ac:dyDescent="0.25" r="993" customHeight="1" ht="18.75">
      <c r="A993" s="10" t="s">
        <v>1060</v>
      </c>
      <c r="B993" s="11">
        <v>64</v>
      </c>
      <c r="C993" s="3"/>
      <c r="D993" s="3"/>
      <c r="E993" s="5"/>
      <c r="F993" s="3"/>
      <c r="G993" s="3"/>
      <c r="H993" s="5"/>
      <c r="I993" s="5"/>
      <c r="J993" s="5"/>
      <c r="K993" s="5"/>
      <c r="L993" s="6"/>
      <c r="M993" s="6"/>
      <c r="N993" s="7"/>
      <c r="O993" s="3"/>
      <c r="P993" s="3"/>
      <c r="Q993" s="3"/>
      <c r="R993" s="3"/>
    </row>
    <row x14ac:dyDescent="0.25" r="994" customHeight="1" ht="18.75">
      <c r="A994" s="10" t="s">
        <v>1061</v>
      </c>
      <c r="B994" s="11">
        <v>64</v>
      </c>
      <c r="C994" s="3"/>
      <c r="D994" s="3"/>
      <c r="E994" s="5"/>
      <c r="F994" s="3"/>
      <c r="G994" s="3"/>
      <c r="H994" s="5"/>
      <c r="I994" s="5"/>
      <c r="J994" s="5"/>
      <c r="K994" s="5"/>
      <c r="L994" s="6"/>
      <c r="M994" s="6"/>
      <c r="N994" s="7"/>
      <c r="O994" s="3"/>
      <c r="P994" s="3"/>
      <c r="Q994" s="3"/>
      <c r="R994" s="3"/>
    </row>
    <row x14ac:dyDescent="0.25" r="995" customHeight="1" ht="18.75">
      <c r="A995" s="10" t="s">
        <v>1062</v>
      </c>
      <c r="B995" s="11">
        <v>64</v>
      </c>
      <c r="C995" s="3"/>
      <c r="D995" s="3"/>
      <c r="E995" s="5"/>
      <c r="F995" s="3"/>
      <c r="G995" s="3"/>
      <c r="H995" s="5"/>
      <c r="I995" s="5"/>
      <c r="J995" s="5"/>
      <c r="K995" s="5"/>
      <c r="L995" s="6"/>
      <c r="M995" s="6"/>
      <c r="N995" s="7"/>
      <c r="O995" s="3"/>
      <c r="P995" s="3"/>
      <c r="Q995" s="3"/>
      <c r="R995" s="3"/>
    </row>
    <row x14ac:dyDescent="0.25" r="996" customHeight="1" ht="18.75">
      <c r="A996" s="10" t="s">
        <v>1063</v>
      </c>
      <c r="B996" s="11">
        <v>64</v>
      </c>
      <c r="C996" s="3"/>
      <c r="D996" s="3"/>
      <c r="E996" s="5"/>
      <c r="F996" s="3"/>
      <c r="G996" s="3"/>
      <c r="H996" s="5"/>
      <c r="I996" s="5"/>
      <c r="J996" s="5"/>
      <c r="K996" s="5"/>
      <c r="L996" s="6"/>
      <c r="M996" s="6"/>
      <c r="N996" s="7"/>
      <c r="O996" s="3"/>
      <c r="P996" s="3"/>
      <c r="Q996" s="3"/>
      <c r="R996" s="3"/>
    </row>
    <row x14ac:dyDescent="0.25" r="997" customHeight="1" ht="18.75">
      <c r="A997" s="10" t="s">
        <v>1064</v>
      </c>
      <c r="B997" s="11">
        <v>64</v>
      </c>
      <c r="C997" s="3"/>
      <c r="D997" s="3"/>
      <c r="E997" s="5"/>
      <c r="F997" s="3"/>
      <c r="G997" s="3"/>
      <c r="H997" s="5"/>
      <c r="I997" s="5"/>
      <c r="J997" s="5"/>
      <c r="K997" s="5"/>
      <c r="L997" s="6"/>
      <c r="M997" s="6"/>
      <c r="N997" s="7"/>
      <c r="O997" s="3"/>
      <c r="P997" s="3"/>
      <c r="Q997" s="3"/>
      <c r="R997" s="3"/>
    </row>
    <row x14ac:dyDescent="0.25" r="998" customHeight="1" ht="18.75">
      <c r="A998" s="10" t="s">
        <v>1065</v>
      </c>
      <c r="B998" s="11">
        <v>64</v>
      </c>
      <c r="C998" s="3"/>
      <c r="D998" s="3"/>
      <c r="E998" s="5"/>
      <c r="F998" s="3"/>
      <c r="G998" s="3"/>
      <c r="H998" s="5"/>
      <c r="I998" s="5"/>
      <c r="J998" s="5"/>
      <c r="K998" s="5"/>
      <c r="L998" s="6"/>
      <c r="M998" s="6"/>
      <c r="N998" s="7"/>
      <c r="O998" s="3"/>
      <c r="P998" s="3"/>
      <c r="Q998" s="3"/>
      <c r="R998" s="3"/>
    </row>
    <row x14ac:dyDescent="0.25" r="999" customHeight="1" ht="18.75">
      <c r="A999" s="10" t="s">
        <v>1066</v>
      </c>
      <c r="B999" s="11">
        <v>64</v>
      </c>
      <c r="C999" s="3"/>
      <c r="D999" s="3"/>
      <c r="E999" s="5"/>
      <c r="F999" s="3"/>
      <c r="G999" s="3"/>
      <c r="H999" s="5"/>
      <c r="I999" s="5"/>
      <c r="J999" s="5"/>
      <c r="K999" s="5"/>
      <c r="L999" s="6"/>
      <c r="M999" s="6"/>
      <c r="N999" s="7"/>
      <c r="O999" s="3"/>
      <c r="P999" s="3"/>
      <c r="Q999" s="3"/>
      <c r="R999" s="3"/>
    </row>
    <row x14ac:dyDescent="0.25" r="1000" customHeight="1" ht="18.75">
      <c r="A1000" s="10" t="s">
        <v>1067</v>
      </c>
      <c r="B1000" s="11">
        <v>64</v>
      </c>
      <c r="C1000" s="3"/>
      <c r="D1000" s="3"/>
      <c r="E1000" s="5"/>
      <c r="F1000" s="3"/>
      <c r="G1000" s="3"/>
      <c r="H1000" s="5"/>
      <c r="I1000" s="5"/>
      <c r="J1000" s="5"/>
      <c r="K1000" s="5"/>
      <c r="L1000" s="6"/>
      <c r="M1000" s="6"/>
      <c r="N1000" s="7"/>
      <c r="O1000" s="3"/>
      <c r="P1000" s="3"/>
      <c r="Q1000" s="3"/>
      <c r="R1000" s="3"/>
    </row>
    <row x14ac:dyDescent="0.25" r="1001" customHeight="1" ht="18.75">
      <c r="A1001" s="10" t="s">
        <v>1068</v>
      </c>
      <c r="B1001" s="11">
        <v>64</v>
      </c>
      <c r="C1001" s="3"/>
      <c r="D1001" s="3"/>
      <c r="E1001" s="5"/>
      <c r="F1001" s="3"/>
      <c r="G1001" s="3"/>
      <c r="H1001" s="5"/>
      <c r="I1001" s="5"/>
      <c r="J1001" s="5"/>
      <c r="K1001" s="5"/>
      <c r="L1001" s="6"/>
      <c r="M1001" s="6"/>
      <c r="N1001" s="7"/>
      <c r="O1001" s="3"/>
      <c r="P1001" s="3"/>
      <c r="Q1001" s="3"/>
      <c r="R1001" s="3"/>
    </row>
    <row x14ac:dyDescent="0.25" r="1002" customHeight="1" ht="18.75">
      <c r="A1002" s="10" t="s">
        <v>1069</v>
      </c>
      <c r="B1002" s="11">
        <v>65</v>
      </c>
      <c r="C1002" s="3"/>
      <c r="D1002" s="3"/>
      <c r="E1002" s="5"/>
      <c r="F1002" s="3"/>
      <c r="G1002" s="3"/>
      <c r="H1002" s="5"/>
      <c r="I1002" s="5"/>
      <c r="J1002" s="5"/>
      <c r="K1002" s="5"/>
      <c r="L1002" s="6"/>
      <c r="M1002" s="6"/>
      <c r="N1002" s="7"/>
      <c r="O1002" s="3"/>
      <c r="P1002" s="3"/>
      <c r="Q1002" s="3"/>
      <c r="R1002" s="3"/>
    </row>
    <row x14ac:dyDescent="0.25" r="1003" customHeight="1" ht="18.75">
      <c r="A1003" s="10" t="s">
        <v>1070</v>
      </c>
      <c r="B1003" s="11">
        <v>65</v>
      </c>
      <c r="C1003" s="3"/>
      <c r="D1003" s="3"/>
      <c r="E1003" s="5"/>
      <c r="F1003" s="3"/>
      <c r="G1003" s="3"/>
      <c r="H1003" s="5"/>
      <c r="I1003" s="5"/>
      <c r="J1003" s="5"/>
      <c r="K1003" s="5"/>
      <c r="L1003" s="6"/>
      <c r="M1003" s="6"/>
      <c r="N1003" s="7"/>
      <c r="O1003" s="3"/>
      <c r="P1003" s="3"/>
      <c r="Q1003" s="3"/>
      <c r="R1003" s="3"/>
    </row>
    <row x14ac:dyDescent="0.25" r="1004" customHeight="1" ht="18.75">
      <c r="A1004" s="10" t="s">
        <v>1071</v>
      </c>
      <c r="B1004" s="11">
        <v>65</v>
      </c>
      <c r="C1004" s="3"/>
      <c r="D1004" s="3"/>
      <c r="E1004" s="5"/>
      <c r="F1004" s="3"/>
      <c r="G1004" s="3"/>
      <c r="H1004" s="5"/>
      <c r="I1004" s="5"/>
      <c r="J1004" s="5"/>
      <c r="K1004" s="5"/>
      <c r="L1004" s="6"/>
      <c r="M1004" s="6"/>
      <c r="N1004" s="7"/>
      <c r="O1004" s="3"/>
      <c r="P1004" s="3"/>
      <c r="Q1004" s="3"/>
      <c r="R1004" s="3"/>
    </row>
    <row x14ac:dyDescent="0.25" r="1005" customHeight="1" ht="18.75">
      <c r="A1005" s="10" t="s">
        <v>1072</v>
      </c>
      <c r="B1005" s="11">
        <v>65</v>
      </c>
      <c r="C1005" s="3"/>
      <c r="D1005" s="3"/>
      <c r="E1005" s="5"/>
      <c r="F1005" s="3"/>
      <c r="G1005" s="3"/>
      <c r="H1005" s="5"/>
      <c r="I1005" s="5"/>
      <c r="J1005" s="5"/>
      <c r="K1005" s="5"/>
      <c r="L1005" s="6"/>
      <c r="M1005" s="6"/>
      <c r="N1005" s="7"/>
      <c r="O1005" s="3"/>
      <c r="P1005" s="3"/>
      <c r="Q1005" s="3"/>
      <c r="R1005" s="3"/>
    </row>
    <row x14ac:dyDescent="0.25" r="1006" customHeight="1" ht="18.75">
      <c r="A1006" s="10" t="s">
        <v>1073</v>
      </c>
      <c r="B1006" s="11">
        <v>65</v>
      </c>
      <c r="C1006" s="3"/>
      <c r="D1006" s="3"/>
      <c r="E1006" s="5"/>
      <c r="F1006" s="3"/>
      <c r="G1006" s="3"/>
      <c r="H1006" s="5"/>
      <c r="I1006" s="5"/>
      <c r="J1006" s="5"/>
      <c r="K1006" s="5"/>
      <c r="L1006" s="6"/>
      <c r="M1006" s="6"/>
      <c r="N1006" s="7"/>
      <c r="O1006" s="3"/>
      <c r="P1006" s="3"/>
      <c r="Q1006" s="3"/>
      <c r="R1006" s="3"/>
    </row>
    <row x14ac:dyDescent="0.25" r="1007" customHeight="1" ht="18.75">
      <c r="A1007" s="10" t="s">
        <v>1074</v>
      </c>
      <c r="B1007" s="11">
        <v>65</v>
      </c>
      <c r="C1007" s="3"/>
      <c r="D1007" s="3"/>
      <c r="E1007" s="5"/>
      <c r="F1007" s="3"/>
      <c r="G1007" s="3"/>
      <c r="H1007" s="5"/>
      <c r="I1007" s="5"/>
      <c r="J1007" s="5"/>
      <c r="K1007" s="5"/>
      <c r="L1007" s="6"/>
      <c r="M1007" s="6"/>
      <c r="N1007" s="7"/>
      <c r="O1007" s="3"/>
      <c r="P1007" s="3"/>
      <c r="Q1007" s="3"/>
      <c r="R1007" s="3"/>
    </row>
    <row x14ac:dyDescent="0.25" r="1008" customHeight="1" ht="18.75">
      <c r="A1008" s="10" t="s">
        <v>1075</v>
      </c>
      <c r="B1008" s="11">
        <v>65</v>
      </c>
      <c r="C1008" s="3"/>
      <c r="D1008" s="3"/>
      <c r="E1008" s="5"/>
      <c r="F1008" s="3"/>
      <c r="G1008" s="3"/>
      <c r="H1008" s="5"/>
      <c r="I1008" s="5"/>
      <c r="J1008" s="5"/>
      <c r="K1008" s="5"/>
      <c r="L1008" s="6"/>
      <c r="M1008" s="6"/>
      <c r="N1008" s="7"/>
      <c r="O1008" s="3"/>
      <c r="P1008" s="3"/>
      <c r="Q1008" s="3"/>
      <c r="R1008" s="3"/>
    </row>
    <row x14ac:dyDescent="0.25" r="1009" customHeight="1" ht="18.75">
      <c r="A1009" s="10" t="s">
        <v>1076</v>
      </c>
      <c r="B1009" s="11">
        <v>65</v>
      </c>
      <c r="C1009" s="3"/>
      <c r="D1009" s="3"/>
      <c r="E1009" s="5"/>
      <c r="F1009" s="3"/>
      <c r="G1009" s="3"/>
      <c r="H1009" s="5"/>
      <c r="I1009" s="5"/>
      <c r="J1009" s="5"/>
      <c r="K1009" s="5"/>
      <c r="L1009" s="6"/>
      <c r="M1009" s="6"/>
      <c r="N1009" s="7"/>
      <c r="O1009" s="3"/>
      <c r="P1009" s="3"/>
      <c r="Q1009" s="3"/>
      <c r="R1009" s="3"/>
    </row>
    <row x14ac:dyDescent="0.25" r="1010" customHeight="1" ht="18.75">
      <c r="A1010" s="10" t="s">
        <v>1077</v>
      </c>
      <c r="B1010" s="11">
        <v>65</v>
      </c>
      <c r="C1010" s="3"/>
      <c r="D1010" s="3"/>
      <c r="E1010" s="5"/>
      <c r="F1010" s="3"/>
      <c r="G1010" s="3"/>
      <c r="H1010" s="5"/>
      <c r="I1010" s="5"/>
      <c r="J1010" s="5"/>
      <c r="K1010" s="5"/>
      <c r="L1010" s="6"/>
      <c r="M1010" s="6"/>
      <c r="N1010" s="7"/>
      <c r="O1010" s="3"/>
      <c r="P1010" s="3"/>
      <c r="Q1010" s="3"/>
      <c r="R1010" s="3"/>
    </row>
    <row x14ac:dyDescent="0.25" r="1011" customHeight="1" ht="18.75">
      <c r="A1011" s="10" t="s">
        <v>1078</v>
      </c>
      <c r="B1011" s="11">
        <v>65</v>
      </c>
      <c r="C1011" s="3"/>
      <c r="D1011" s="3"/>
      <c r="E1011" s="5"/>
      <c r="F1011" s="3"/>
      <c r="G1011" s="3"/>
      <c r="H1011" s="5"/>
      <c r="I1011" s="5"/>
      <c r="J1011" s="5"/>
      <c r="K1011" s="5"/>
      <c r="L1011" s="6"/>
      <c r="M1011" s="6"/>
      <c r="N1011" s="7"/>
      <c r="O1011" s="3"/>
      <c r="P1011" s="3"/>
      <c r="Q1011" s="3"/>
      <c r="R1011" s="3"/>
    </row>
    <row x14ac:dyDescent="0.25" r="1012" customHeight="1" ht="18.75">
      <c r="A1012" s="10" t="s">
        <v>1079</v>
      </c>
      <c r="B1012" s="11">
        <v>65</v>
      </c>
      <c r="C1012" s="3"/>
      <c r="D1012" s="3"/>
      <c r="E1012" s="5"/>
      <c r="F1012" s="3"/>
      <c r="G1012" s="3"/>
      <c r="H1012" s="5"/>
      <c r="I1012" s="5"/>
      <c r="J1012" s="5"/>
      <c r="K1012" s="5"/>
      <c r="L1012" s="6"/>
      <c r="M1012" s="6"/>
      <c r="N1012" s="7"/>
      <c r="O1012" s="3"/>
      <c r="P1012" s="3"/>
      <c r="Q1012" s="3"/>
      <c r="R1012" s="3"/>
    </row>
    <row x14ac:dyDescent="0.25" r="1013" customHeight="1" ht="18.75">
      <c r="A1013" s="10" t="s">
        <v>1080</v>
      </c>
      <c r="B1013" s="11">
        <v>65</v>
      </c>
      <c r="C1013" s="3"/>
      <c r="D1013" s="3"/>
      <c r="E1013" s="5"/>
      <c r="F1013" s="3"/>
      <c r="G1013" s="3"/>
      <c r="H1013" s="5"/>
      <c r="I1013" s="5"/>
      <c r="J1013" s="5"/>
      <c r="K1013" s="5"/>
      <c r="L1013" s="6"/>
      <c r="M1013" s="6"/>
      <c r="N1013" s="7"/>
      <c r="O1013" s="3"/>
      <c r="P1013" s="3"/>
      <c r="Q1013" s="3"/>
      <c r="R1013" s="3"/>
    </row>
    <row x14ac:dyDescent="0.25" r="1014" customHeight="1" ht="18.75">
      <c r="A1014" s="10" t="s">
        <v>1081</v>
      </c>
      <c r="B1014" s="11">
        <v>65</v>
      </c>
      <c r="C1014" s="3"/>
      <c r="D1014" s="3"/>
      <c r="E1014" s="5"/>
      <c r="F1014" s="3"/>
      <c r="G1014" s="3"/>
      <c r="H1014" s="5"/>
      <c r="I1014" s="5"/>
      <c r="J1014" s="5"/>
      <c r="K1014" s="5"/>
      <c r="L1014" s="6"/>
      <c r="M1014" s="6"/>
      <c r="N1014" s="7"/>
      <c r="O1014" s="3"/>
      <c r="P1014" s="3"/>
      <c r="Q1014" s="3"/>
      <c r="R1014" s="3"/>
    </row>
    <row x14ac:dyDescent="0.25" r="1015" customHeight="1" ht="18.75">
      <c r="A1015" s="10" t="s">
        <v>1082</v>
      </c>
      <c r="B1015" s="11">
        <v>65</v>
      </c>
      <c r="C1015" s="3"/>
      <c r="D1015" s="3"/>
      <c r="E1015" s="5"/>
      <c r="F1015" s="3"/>
      <c r="G1015" s="3"/>
      <c r="H1015" s="5"/>
      <c r="I1015" s="5"/>
      <c r="J1015" s="5"/>
      <c r="K1015" s="5"/>
      <c r="L1015" s="6"/>
      <c r="M1015" s="6"/>
      <c r="N1015" s="7"/>
      <c r="O1015" s="3"/>
      <c r="P1015" s="3"/>
      <c r="Q1015" s="3"/>
      <c r="R1015" s="3"/>
    </row>
    <row x14ac:dyDescent="0.25" r="1016" customHeight="1" ht="18.75">
      <c r="A1016" s="13" t="s">
        <v>16</v>
      </c>
      <c r="B1016" s="9">
        <v>44.382</v>
      </c>
      <c r="C1016" s="3"/>
      <c r="D1016" s="3"/>
      <c r="E1016" s="5"/>
      <c r="F1016" s="3"/>
      <c r="G1016" s="3"/>
      <c r="H1016" s="5"/>
      <c r="I1016" s="5"/>
      <c r="J1016" s="5"/>
      <c r="K1016" s="5"/>
      <c r="L1016" s="6"/>
      <c r="M1016" s="6"/>
      <c r="N1016" s="7"/>
      <c r="O1016" s="3"/>
      <c r="P1016" s="3"/>
      <c r="Q1016" s="3"/>
      <c r="R10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16"/>
  <sheetViews>
    <sheetView workbookViewId="0"/>
  </sheetViews>
  <sheetFormatPr defaultRowHeight="15" x14ac:dyDescent="0.25"/>
  <cols>
    <col min="1" max="1" style="33" width="13.576428571428572" customWidth="1" bestFit="1"/>
    <col min="2" max="2" style="34" width="13.576428571428572" customWidth="1" bestFit="1"/>
    <col min="3" max="3" style="33" width="13.576428571428572" customWidth="1" bestFit="1"/>
    <col min="4" max="4" style="33" width="13.576428571428572" customWidth="1" bestFit="1"/>
    <col min="5" max="5" style="35" width="13.576428571428572" customWidth="1" bestFit="1"/>
    <col min="6" max="6" style="33" width="13.576428571428572" customWidth="1" bestFit="1"/>
    <col min="7" max="7" style="33" width="13.576428571428572" customWidth="1" bestFit="1"/>
    <col min="8" max="8" style="35" width="13.576428571428572" customWidth="1" bestFit="1"/>
    <col min="9" max="9" style="35" width="13.576428571428572" customWidth="1" bestFit="1"/>
    <col min="10" max="10" style="35" width="13.576428571428572" customWidth="1" bestFit="1"/>
    <col min="11" max="11" style="35" width="13.576428571428572" customWidth="1" bestFit="1"/>
    <col min="12" max="12" style="36" width="13.576428571428572" customWidth="1" bestFit="1"/>
    <col min="13" max="13" style="36" width="13.576428571428572" customWidth="1" bestFit="1"/>
    <col min="14" max="14" style="3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1" t="s">
        <v>2</v>
      </c>
      <c r="E1" s="4" t="s">
        <v>3</v>
      </c>
      <c r="F1" s="3"/>
      <c r="G1" s="1" t="s">
        <v>4</v>
      </c>
      <c r="H1" s="4" t="s">
        <v>5</v>
      </c>
      <c r="I1" s="5"/>
      <c r="J1" s="4" t="s">
        <v>6</v>
      </c>
      <c r="K1" s="5"/>
      <c r="L1" s="6"/>
      <c r="M1" s="6"/>
      <c r="N1" s="7"/>
    </row>
    <row x14ac:dyDescent="0.25" r="2" customHeight="1" ht="18.75">
      <c r="A2" s="1" t="s">
        <v>7</v>
      </c>
      <c r="B2" s="8">
        <v>518</v>
      </c>
      <c r="C2" s="3"/>
      <c r="D2" s="1" t="s">
        <v>8</v>
      </c>
      <c r="E2" s="8">
        <v>403</v>
      </c>
      <c r="F2" s="3"/>
      <c r="G2" s="1" t="s">
        <v>9</v>
      </c>
      <c r="H2" s="8">
        <v>139</v>
      </c>
      <c r="I2" s="5"/>
      <c r="J2" s="9">
        <v>44.382</v>
      </c>
      <c r="K2" s="5"/>
      <c r="L2" s="6"/>
      <c r="M2" s="6"/>
      <c r="N2" s="7"/>
    </row>
    <row x14ac:dyDescent="0.25" r="3" customHeight="1" ht="18.75">
      <c r="A3" s="10" t="s">
        <v>10</v>
      </c>
      <c r="B3" s="11">
        <v>482</v>
      </c>
      <c r="C3" s="3"/>
      <c r="D3" s="10" t="s">
        <v>11</v>
      </c>
      <c r="E3" s="11">
        <v>74</v>
      </c>
      <c r="F3" s="3"/>
      <c r="G3" s="10" t="s">
        <v>12</v>
      </c>
      <c r="H3" s="11">
        <v>218</v>
      </c>
      <c r="I3" s="5"/>
      <c r="J3" s="5"/>
      <c r="K3" s="5"/>
      <c r="L3" s="6"/>
      <c r="M3" s="6"/>
      <c r="N3" s="7"/>
    </row>
    <row x14ac:dyDescent="0.25" r="4" customHeight="1" ht="18.75">
      <c r="A4" s="10" t="s">
        <v>13</v>
      </c>
      <c r="B4" s="12"/>
      <c r="C4" s="3"/>
      <c r="D4" s="10" t="s">
        <v>14</v>
      </c>
      <c r="E4" s="11">
        <v>271</v>
      </c>
      <c r="F4" s="3"/>
      <c r="G4" s="10" t="s">
        <v>15</v>
      </c>
      <c r="H4" s="11">
        <v>643</v>
      </c>
      <c r="I4" s="5"/>
      <c r="J4" s="5"/>
      <c r="K4" s="5"/>
      <c r="L4" s="6"/>
      <c r="M4" s="6"/>
      <c r="N4" s="7"/>
    </row>
    <row x14ac:dyDescent="0.25" r="5" customHeight="1" ht="18.75">
      <c r="A5" s="13" t="s">
        <v>16</v>
      </c>
      <c r="B5" s="14">
        <v>1000</v>
      </c>
      <c r="C5" s="3"/>
      <c r="D5" s="10" t="s">
        <v>17</v>
      </c>
      <c r="E5" s="11">
        <v>251</v>
      </c>
      <c r="F5" s="3"/>
      <c r="G5" s="10" t="s">
        <v>13</v>
      </c>
      <c r="H5" s="15"/>
      <c r="I5" s="5"/>
      <c r="J5" s="5"/>
      <c r="K5" s="5"/>
      <c r="L5" s="6"/>
      <c r="M5" s="6"/>
      <c r="N5" s="7"/>
    </row>
    <row x14ac:dyDescent="0.25" r="6" customHeight="1" ht="18.75">
      <c r="A6" s="3"/>
      <c r="B6" s="16"/>
      <c r="C6" s="3"/>
      <c r="D6" s="10" t="s">
        <v>13</v>
      </c>
      <c r="E6" s="15"/>
      <c r="F6" s="3"/>
      <c r="G6" s="13" t="s">
        <v>16</v>
      </c>
      <c r="H6" s="14">
        <v>1000</v>
      </c>
      <c r="I6" s="5"/>
      <c r="J6" s="5"/>
      <c r="K6" s="5"/>
      <c r="L6" s="6"/>
      <c r="M6" s="6"/>
      <c r="N6" s="7"/>
    </row>
    <row x14ac:dyDescent="0.25" r="7" customHeight="1" ht="18.75">
      <c r="A7" s="3"/>
      <c r="B7" s="16"/>
      <c r="C7" s="3"/>
      <c r="D7" s="13" t="s">
        <v>16</v>
      </c>
      <c r="E7" s="14">
        <v>999</v>
      </c>
      <c r="F7" s="3"/>
      <c r="G7" s="3"/>
      <c r="H7" s="5"/>
      <c r="I7" s="5"/>
      <c r="J7" s="5"/>
      <c r="K7" s="5"/>
      <c r="L7" s="6"/>
      <c r="M7" s="6"/>
      <c r="N7" s="7"/>
    </row>
    <row x14ac:dyDescent="0.25" r="8" customHeight="1" ht="18.75">
      <c r="A8" s="3"/>
      <c r="B8" s="16"/>
      <c r="C8" s="3"/>
      <c r="D8" s="3"/>
      <c r="E8" s="5"/>
      <c r="F8" s="3"/>
      <c r="G8" s="3"/>
      <c r="H8" s="5"/>
      <c r="I8" s="5"/>
      <c r="J8" s="5"/>
      <c r="K8" s="5"/>
      <c r="L8" s="6"/>
      <c r="M8" s="6"/>
      <c r="N8" s="7"/>
    </row>
    <row x14ac:dyDescent="0.25" r="9" customHeight="1" ht="18.75">
      <c r="A9" s="3"/>
      <c r="B9" s="16"/>
      <c r="C9" s="3"/>
      <c r="D9" s="3"/>
      <c r="E9" s="5"/>
      <c r="F9" s="3"/>
      <c r="G9" s="3"/>
      <c r="H9" s="5"/>
      <c r="I9" s="5"/>
      <c r="J9" s="5"/>
      <c r="K9" s="5"/>
      <c r="L9" s="6"/>
      <c r="M9" s="6"/>
      <c r="N9" s="7"/>
    </row>
    <row x14ac:dyDescent="0.25" r="10" customHeight="1" ht="18.75">
      <c r="A10" s="3"/>
      <c r="B10" s="16"/>
      <c r="C10" s="3"/>
      <c r="D10" s="3"/>
      <c r="E10" s="5"/>
      <c r="F10" s="3"/>
      <c r="G10" s="3"/>
      <c r="H10" s="5"/>
      <c r="I10" s="5"/>
      <c r="J10" s="5"/>
      <c r="K10" s="5"/>
      <c r="L10" s="6"/>
      <c r="M10" s="6"/>
      <c r="N10" s="7"/>
    </row>
    <row x14ac:dyDescent="0.25" r="11" customHeight="1" ht="18.75">
      <c r="A11" s="1" t="s">
        <v>18</v>
      </c>
      <c r="B11" s="2" t="s">
        <v>19</v>
      </c>
      <c r="C11" s="3"/>
      <c r="D11" s="1" t="s">
        <v>18</v>
      </c>
      <c r="E11" s="4" t="s">
        <v>20</v>
      </c>
      <c r="F11" s="3"/>
      <c r="G11" s="1" t="s">
        <v>18</v>
      </c>
      <c r="H11" s="4" t="s">
        <v>21</v>
      </c>
      <c r="I11" s="5"/>
      <c r="J11" s="17" t="s">
        <v>22</v>
      </c>
      <c r="K11" s="4" t="s">
        <v>23</v>
      </c>
      <c r="L11" s="6"/>
      <c r="M11" s="6"/>
      <c r="N11" s="7"/>
    </row>
    <row x14ac:dyDescent="0.25" r="12" customHeight="1" ht="18.75">
      <c r="A12" s="1" t="s">
        <v>24</v>
      </c>
      <c r="B12" s="8">
        <v>96</v>
      </c>
      <c r="C12" s="3"/>
      <c r="D12" s="1" t="s">
        <v>24</v>
      </c>
      <c r="E12" s="18">
        <v>123146.94791666667</v>
      </c>
      <c r="F12" s="3"/>
      <c r="G12" s="1" t="s">
        <v>24</v>
      </c>
      <c r="H12" s="18">
        <v>0.1113541666666667</v>
      </c>
      <c r="I12" s="5"/>
      <c r="J12" s="17" t="s">
        <v>25</v>
      </c>
      <c r="K12" s="8">
        <v>53</v>
      </c>
      <c r="L12" s="6"/>
      <c r="M12" s="6"/>
      <c r="N12" s="7"/>
    </row>
    <row x14ac:dyDescent="0.25" r="13" customHeight="1" ht="18.75">
      <c r="A13" s="10" t="s">
        <v>26</v>
      </c>
      <c r="B13" s="11">
        <v>158</v>
      </c>
      <c r="C13" s="3"/>
      <c r="D13" s="10" t="s">
        <v>26</v>
      </c>
      <c r="E13" s="19">
        <v>109035.20886075949</v>
      </c>
      <c r="F13" s="3"/>
      <c r="G13" s="10" t="s">
        <v>26</v>
      </c>
      <c r="H13" s="19">
        <v>0.07164556962025316</v>
      </c>
      <c r="I13" s="5"/>
      <c r="J13" s="20" t="s">
        <v>27</v>
      </c>
      <c r="K13" s="11">
        <v>203</v>
      </c>
      <c r="L13" s="6"/>
      <c r="M13" s="6"/>
      <c r="N13" s="7"/>
    </row>
    <row x14ac:dyDescent="0.25" r="14" customHeight="1" ht="18.75">
      <c r="A14" s="10" t="s">
        <v>28</v>
      </c>
      <c r="B14" s="11">
        <v>120</v>
      </c>
      <c r="C14" s="3"/>
      <c r="D14" s="10" t="s">
        <v>28</v>
      </c>
      <c r="E14" s="19">
        <v>122802.89166666666</v>
      </c>
      <c r="F14" s="3"/>
      <c r="G14" s="10" t="s">
        <v>28</v>
      </c>
      <c r="H14" s="19">
        <v>0.11158333333333337</v>
      </c>
      <c r="I14" s="5"/>
      <c r="J14" s="20" t="s">
        <v>29</v>
      </c>
      <c r="K14" s="11">
        <v>178</v>
      </c>
      <c r="L14" s="6"/>
      <c r="M14" s="6"/>
      <c r="N14" s="7"/>
    </row>
    <row x14ac:dyDescent="0.25" r="15" customHeight="1" ht="18.75">
      <c r="A15" s="10" t="s">
        <v>30</v>
      </c>
      <c r="B15" s="11">
        <v>125</v>
      </c>
      <c r="C15" s="3"/>
      <c r="D15" s="10" t="s">
        <v>30</v>
      </c>
      <c r="E15" s="19">
        <v>118058.44</v>
      </c>
      <c r="F15" s="3"/>
      <c r="G15" s="10" t="s">
        <v>30</v>
      </c>
      <c r="H15" s="19">
        <v>0.10728000000000006</v>
      </c>
      <c r="I15" s="5"/>
      <c r="J15" s="20" t="s">
        <v>31</v>
      </c>
      <c r="K15" s="11">
        <v>63</v>
      </c>
      <c r="L15" s="6"/>
      <c r="M15" s="6"/>
      <c r="N15" s="7"/>
    </row>
    <row x14ac:dyDescent="0.25" r="16" customHeight="1" ht="18.75">
      <c r="A16" s="10" t="s">
        <v>32</v>
      </c>
      <c r="B16" s="11">
        <v>241</v>
      </c>
      <c r="C16" s="3"/>
      <c r="D16" s="10" t="s">
        <v>32</v>
      </c>
      <c r="E16" s="19">
        <v>97790.45228215768</v>
      </c>
      <c r="F16" s="3"/>
      <c r="G16" s="10" t="s">
        <v>32</v>
      </c>
      <c r="H16" s="19">
        <v>0.05481327800829876</v>
      </c>
      <c r="I16" s="5"/>
      <c r="J16" s="20" t="s">
        <v>33</v>
      </c>
      <c r="K16" s="11">
        <v>488</v>
      </c>
      <c r="L16" s="6"/>
      <c r="M16" s="6"/>
      <c r="N16" s="7"/>
    </row>
    <row x14ac:dyDescent="0.25" r="17" customHeight="1" ht="18.75">
      <c r="A17" s="10" t="s">
        <v>34</v>
      </c>
      <c r="B17" s="11">
        <v>120</v>
      </c>
      <c r="C17" s="3"/>
      <c r="D17" s="10" t="s">
        <v>34</v>
      </c>
      <c r="E17" s="19">
        <v>129663.03333333334</v>
      </c>
      <c r="F17" s="3"/>
      <c r="G17" s="10" t="s">
        <v>34</v>
      </c>
      <c r="H17" s="19">
        <v>0.12424999999999997</v>
      </c>
      <c r="I17" s="5"/>
      <c r="J17" s="20" t="s">
        <v>35</v>
      </c>
      <c r="K17" s="11">
        <v>16</v>
      </c>
      <c r="L17" s="6"/>
      <c r="M17" s="6"/>
      <c r="N17" s="7"/>
    </row>
    <row x14ac:dyDescent="0.25" r="18" customHeight="1" ht="18.75">
      <c r="A18" s="10" t="s">
        <v>36</v>
      </c>
      <c r="B18" s="11">
        <v>140</v>
      </c>
      <c r="C18" s="3"/>
      <c r="D18" s="10" t="s">
        <v>36</v>
      </c>
      <c r="E18" s="19">
        <v>111049.85714285714</v>
      </c>
      <c r="F18" s="3"/>
      <c r="G18" s="10" t="s">
        <v>36</v>
      </c>
      <c r="H18" s="19">
        <v>0.08378571428571428</v>
      </c>
      <c r="I18" s="5"/>
      <c r="J18" s="21" t="s">
        <v>16</v>
      </c>
      <c r="K18" s="14">
        <v>1001</v>
      </c>
      <c r="L18" s="6"/>
      <c r="M18" s="6"/>
      <c r="N18" s="7"/>
    </row>
    <row x14ac:dyDescent="0.25" r="19" customHeight="1" ht="18.75">
      <c r="A19" s="10" t="s">
        <v>13</v>
      </c>
      <c r="B19" s="12"/>
      <c r="C19" s="3"/>
      <c r="D19" s="10" t="s">
        <v>13</v>
      </c>
      <c r="E19" s="15"/>
      <c r="F19" s="3"/>
      <c r="G19" s="10" t="s">
        <v>13</v>
      </c>
      <c r="H19" s="15"/>
      <c r="I19" s="5"/>
      <c r="J19" s="5"/>
      <c r="K19" s="5"/>
      <c r="L19" s="6"/>
      <c r="M19" s="6"/>
      <c r="N19" s="7"/>
    </row>
    <row x14ac:dyDescent="0.25" r="20" customHeight="1" ht="18.75">
      <c r="A20" s="13" t="s">
        <v>16</v>
      </c>
      <c r="B20" s="14">
        <v>1000</v>
      </c>
      <c r="C20" s="3"/>
      <c r="D20" s="13" t="s">
        <v>16</v>
      </c>
      <c r="E20" s="9">
        <v>113217.365</v>
      </c>
      <c r="F20" s="3"/>
      <c r="G20" s="13" t="s">
        <v>16</v>
      </c>
      <c r="H20" s="9">
        <v>0.08865999999999997</v>
      </c>
      <c r="I20" s="5"/>
      <c r="J20" s="5"/>
      <c r="K20" s="5"/>
      <c r="L20" s="6"/>
      <c r="M20" s="6"/>
      <c r="N20" s="7"/>
    </row>
    <row x14ac:dyDescent="0.25" r="21" customHeight="1" ht="18.75">
      <c r="A21" s="3"/>
      <c r="B21" s="16"/>
      <c r="C21" s="3"/>
      <c r="D21" s="3"/>
      <c r="E21" s="5"/>
      <c r="F21" s="3"/>
      <c r="G21" s="3"/>
      <c r="H21" s="5"/>
      <c r="I21" s="5"/>
      <c r="J21" s="5"/>
      <c r="K21" s="5"/>
      <c r="L21" s="6"/>
      <c r="M21" s="6"/>
      <c r="N21" s="7"/>
    </row>
    <row x14ac:dyDescent="0.25" r="22" customHeight="1" ht="18.75">
      <c r="A22" s="3"/>
      <c r="B22" s="16"/>
      <c r="C22" s="3"/>
      <c r="D22" s="3"/>
      <c r="E22" s="5"/>
      <c r="F22" s="3"/>
      <c r="G22" s="3"/>
      <c r="H22" s="5"/>
      <c r="I22" s="5"/>
      <c r="J22" s="5"/>
      <c r="K22" s="5"/>
      <c r="L22" s="6"/>
      <c r="M22" s="6"/>
      <c r="N22" s="7"/>
    </row>
    <row x14ac:dyDescent="0.25" r="23" customHeight="1" ht="18.75">
      <c r="A23" s="1" t="s">
        <v>37</v>
      </c>
      <c r="B23" s="2" t="s">
        <v>6</v>
      </c>
      <c r="C23" s="3"/>
      <c r="D23" s="1" t="s">
        <v>38</v>
      </c>
      <c r="E23" s="4" t="s">
        <v>39</v>
      </c>
      <c r="F23" s="3"/>
      <c r="G23" s="1" t="s">
        <v>39</v>
      </c>
      <c r="H23" s="17" t="s">
        <v>40</v>
      </c>
      <c r="I23" s="22"/>
      <c r="J23" s="22"/>
      <c r="K23" s="22"/>
      <c r="L23" s="23"/>
      <c r="M23" s="6"/>
      <c r="N23" s="7"/>
    </row>
    <row x14ac:dyDescent="0.25" r="24" customHeight="1" ht="18.75">
      <c r="A24" s="1" t="s">
        <v>41</v>
      </c>
      <c r="B24" s="8">
        <v>25</v>
      </c>
      <c r="C24" s="3"/>
      <c r="D24" s="1" t="s">
        <v>42</v>
      </c>
      <c r="E24" s="8">
        <v>92</v>
      </c>
      <c r="F24" s="3"/>
      <c r="G24" s="1" t="s">
        <v>18</v>
      </c>
      <c r="H24" s="17" t="s">
        <v>43</v>
      </c>
      <c r="I24" s="24" t="s">
        <v>44</v>
      </c>
      <c r="J24" s="24" t="s">
        <v>45</v>
      </c>
      <c r="K24" s="24" t="s">
        <v>13</v>
      </c>
      <c r="L24" s="2" t="s">
        <v>16</v>
      </c>
      <c r="M24" s="6"/>
      <c r="N24" s="7"/>
    </row>
    <row x14ac:dyDescent="0.25" r="25" customHeight="1" ht="18.75">
      <c r="A25" s="10" t="s">
        <v>46</v>
      </c>
      <c r="B25" s="11">
        <v>25</v>
      </c>
      <c r="C25" s="3"/>
      <c r="D25" s="10" t="s">
        <v>47</v>
      </c>
      <c r="E25" s="11">
        <v>49</v>
      </c>
      <c r="F25" s="3"/>
      <c r="G25" s="1" t="s">
        <v>24</v>
      </c>
      <c r="H25" s="25">
        <v>46</v>
      </c>
      <c r="I25" s="26">
        <v>31</v>
      </c>
      <c r="J25" s="26">
        <v>7</v>
      </c>
      <c r="K25" s="24"/>
      <c r="L25" s="8">
        <v>84</v>
      </c>
      <c r="M25" s="6"/>
      <c r="N25" s="7"/>
    </row>
    <row x14ac:dyDescent="0.25" r="26" customHeight="1" ht="18.75">
      <c r="A26" s="10" t="s">
        <v>48</v>
      </c>
      <c r="B26" s="11">
        <v>25</v>
      </c>
      <c r="C26" s="3"/>
      <c r="D26" s="10" t="s">
        <v>49</v>
      </c>
      <c r="E26" s="11">
        <v>40</v>
      </c>
      <c r="F26" s="3"/>
      <c r="G26" s="10" t="s">
        <v>26</v>
      </c>
      <c r="H26" s="27">
        <v>56</v>
      </c>
      <c r="I26" s="28">
        <v>76</v>
      </c>
      <c r="J26" s="28">
        <v>20</v>
      </c>
      <c r="K26" s="5"/>
      <c r="L26" s="11">
        <v>152</v>
      </c>
      <c r="M26" s="6"/>
      <c r="N26" s="7"/>
    </row>
    <row x14ac:dyDescent="0.25" r="27" customHeight="1" ht="18.75">
      <c r="A27" s="10" t="s">
        <v>50</v>
      </c>
      <c r="B27" s="11">
        <v>25</v>
      </c>
      <c r="C27" s="3"/>
      <c r="D27" s="10" t="s">
        <v>51</v>
      </c>
      <c r="E27" s="11">
        <v>84</v>
      </c>
      <c r="F27" s="3"/>
      <c r="G27" s="10" t="s">
        <v>28</v>
      </c>
      <c r="H27" s="27">
        <v>51</v>
      </c>
      <c r="I27" s="28">
        <v>41</v>
      </c>
      <c r="J27" s="28">
        <v>17</v>
      </c>
      <c r="K27" s="5"/>
      <c r="L27" s="11">
        <v>109</v>
      </c>
      <c r="M27" s="6"/>
      <c r="N27" s="7"/>
    </row>
    <row x14ac:dyDescent="0.25" r="28" customHeight="1" ht="18.75">
      <c r="A28" s="10" t="s">
        <v>52</v>
      </c>
      <c r="B28" s="11">
        <v>25</v>
      </c>
      <c r="C28" s="3"/>
      <c r="D28" s="10" t="s">
        <v>53</v>
      </c>
      <c r="E28" s="11">
        <v>63</v>
      </c>
      <c r="F28" s="3"/>
      <c r="G28" s="10" t="s">
        <v>30</v>
      </c>
      <c r="H28" s="27">
        <v>52</v>
      </c>
      <c r="I28" s="28">
        <v>47</v>
      </c>
      <c r="J28" s="28">
        <v>14</v>
      </c>
      <c r="K28" s="5"/>
      <c r="L28" s="11">
        <v>113</v>
      </c>
      <c r="M28" s="6"/>
      <c r="N28" s="7"/>
    </row>
    <row x14ac:dyDescent="0.25" r="29" customHeight="1" ht="18.75">
      <c r="A29" s="10" t="s">
        <v>54</v>
      </c>
      <c r="B29" s="11">
        <v>25</v>
      </c>
      <c r="C29" s="3"/>
      <c r="D29" s="10" t="s">
        <v>55</v>
      </c>
      <c r="E29" s="11">
        <v>98</v>
      </c>
      <c r="F29" s="3"/>
      <c r="G29" s="10" t="s">
        <v>32</v>
      </c>
      <c r="H29" s="27">
        <v>102</v>
      </c>
      <c r="I29" s="28">
        <v>98</v>
      </c>
      <c r="J29" s="28">
        <v>18</v>
      </c>
      <c r="K29" s="5"/>
      <c r="L29" s="11">
        <v>218</v>
      </c>
      <c r="M29" s="6"/>
      <c r="N29" s="7"/>
    </row>
    <row x14ac:dyDescent="0.25" r="30" customHeight="1" ht="18.75">
      <c r="A30" s="10" t="s">
        <v>56</v>
      </c>
      <c r="B30" s="11">
        <v>25</v>
      </c>
      <c r="C30" s="3"/>
      <c r="D30" s="10" t="s">
        <v>57</v>
      </c>
      <c r="E30" s="11">
        <v>38</v>
      </c>
      <c r="F30" s="3"/>
      <c r="G30" s="10" t="s">
        <v>34</v>
      </c>
      <c r="H30" s="27">
        <v>59</v>
      </c>
      <c r="I30" s="28">
        <v>37</v>
      </c>
      <c r="J30" s="28">
        <v>15</v>
      </c>
      <c r="K30" s="5"/>
      <c r="L30" s="11">
        <v>111</v>
      </c>
      <c r="M30" s="6"/>
      <c r="N30" s="7"/>
    </row>
    <row x14ac:dyDescent="0.25" r="31" customHeight="1" ht="18.75">
      <c r="A31" s="10" t="s">
        <v>58</v>
      </c>
      <c r="B31" s="11">
        <v>25</v>
      </c>
      <c r="C31" s="3"/>
      <c r="D31" s="10" t="s">
        <v>59</v>
      </c>
      <c r="E31" s="11">
        <v>102</v>
      </c>
      <c r="F31" s="3"/>
      <c r="G31" s="10" t="s">
        <v>36</v>
      </c>
      <c r="H31" s="27">
        <v>56</v>
      </c>
      <c r="I31" s="28">
        <v>53</v>
      </c>
      <c r="J31" s="28">
        <v>15</v>
      </c>
      <c r="K31" s="5"/>
      <c r="L31" s="11">
        <v>124</v>
      </c>
      <c r="M31" s="6"/>
      <c r="N31" s="7"/>
    </row>
    <row x14ac:dyDescent="0.25" r="32" customHeight="1" ht="18.75">
      <c r="A32" s="10" t="s">
        <v>60</v>
      </c>
      <c r="B32" s="11">
        <v>25</v>
      </c>
      <c r="C32" s="3"/>
      <c r="D32" s="10" t="s">
        <v>61</v>
      </c>
      <c r="E32" s="11">
        <v>96</v>
      </c>
      <c r="F32" s="3"/>
      <c r="G32" s="10" t="s">
        <v>13</v>
      </c>
      <c r="H32" s="20"/>
      <c r="I32" s="5"/>
      <c r="J32" s="5"/>
      <c r="K32" s="5"/>
      <c r="L32" s="12"/>
      <c r="M32" s="6"/>
      <c r="N32" s="7"/>
    </row>
    <row x14ac:dyDescent="0.25" r="33" customHeight="1" ht="18.75">
      <c r="A33" s="10" t="s">
        <v>62</v>
      </c>
      <c r="B33" s="11">
        <v>25</v>
      </c>
      <c r="C33" s="3"/>
      <c r="D33" s="10" t="s">
        <v>63</v>
      </c>
      <c r="E33" s="11">
        <v>40</v>
      </c>
      <c r="F33" s="3"/>
      <c r="G33" s="13" t="s">
        <v>16</v>
      </c>
      <c r="H33" s="29">
        <v>422</v>
      </c>
      <c r="I33" s="30">
        <v>383</v>
      </c>
      <c r="J33" s="30">
        <v>106</v>
      </c>
      <c r="K33" s="31"/>
      <c r="L33" s="14">
        <v>911</v>
      </c>
      <c r="M33" s="6"/>
      <c r="N33" s="7"/>
    </row>
    <row x14ac:dyDescent="0.25" r="34" customHeight="1" ht="18.75">
      <c r="A34" s="10" t="s">
        <v>64</v>
      </c>
      <c r="B34" s="11">
        <v>25</v>
      </c>
      <c r="C34" s="3"/>
      <c r="D34" s="10" t="s">
        <v>65</v>
      </c>
      <c r="E34" s="11">
        <v>47</v>
      </c>
      <c r="F34" s="3"/>
      <c r="G34" s="3"/>
      <c r="H34" s="5"/>
      <c r="I34" s="5"/>
      <c r="J34" s="5"/>
      <c r="K34" s="5"/>
      <c r="L34" s="6"/>
      <c r="M34" s="6"/>
      <c r="N34" s="7"/>
    </row>
    <row x14ac:dyDescent="0.25" r="35" customHeight="1" ht="18.75">
      <c r="A35" s="10" t="s">
        <v>66</v>
      </c>
      <c r="B35" s="11">
        <v>25</v>
      </c>
      <c r="C35" s="3"/>
      <c r="D35" s="10" t="s">
        <v>67</v>
      </c>
      <c r="E35" s="11">
        <v>112</v>
      </c>
      <c r="F35" s="3"/>
      <c r="G35" s="3"/>
      <c r="H35" s="5"/>
      <c r="I35" s="5"/>
      <c r="J35" s="5"/>
      <c r="K35" s="5"/>
      <c r="L35" s="6"/>
      <c r="M35" s="6"/>
      <c r="N35" s="7"/>
    </row>
    <row x14ac:dyDescent="0.25" r="36" customHeight="1" ht="18.75">
      <c r="A36" s="10" t="s">
        <v>68</v>
      </c>
      <c r="B36" s="11">
        <v>25</v>
      </c>
      <c r="C36" s="3"/>
      <c r="D36" s="10" t="s">
        <v>69</v>
      </c>
      <c r="E36" s="11">
        <v>50</v>
      </c>
      <c r="F36" s="3"/>
      <c r="G36" s="3"/>
      <c r="H36" s="5"/>
      <c r="I36" s="5"/>
      <c r="J36" s="5"/>
      <c r="K36" s="5"/>
      <c r="L36" s="6"/>
      <c r="M36" s="6"/>
      <c r="N36" s="7"/>
    </row>
    <row x14ac:dyDescent="0.25" r="37" customHeight="1" ht="18.75">
      <c r="A37" s="10" t="s">
        <v>70</v>
      </c>
      <c r="B37" s="11">
        <v>25</v>
      </c>
      <c r="C37" s="3"/>
      <c r="D37" s="10" t="s">
        <v>13</v>
      </c>
      <c r="E37" s="15"/>
      <c r="F37" s="3"/>
      <c r="G37" s="3"/>
      <c r="H37" s="5"/>
      <c r="I37" s="5"/>
      <c r="J37" s="5"/>
      <c r="K37" s="5"/>
      <c r="L37" s="2" t="s">
        <v>20</v>
      </c>
      <c r="M37" s="6"/>
      <c r="N37" s="7"/>
    </row>
    <row x14ac:dyDescent="0.25" r="38" customHeight="1" ht="18.75">
      <c r="A38" s="10" t="s">
        <v>71</v>
      </c>
      <c r="B38" s="11">
        <v>25</v>
      </c>
      <c r="C38" s="3"/>
      <c r="D38" s="13" t="s">
        <v>16</v>
      </c>
      <c r="E38" s="14">
        <v>911</v>
      </c>
      <c r="F38" s="3"/>
      <c r="G38" s="3"/>
      <c r="H38" s="5"/>
      <c r="I38" s="5"/>
      <c r="J38" s="5"/>
      <c r="K38" s="5"/>
      <c r="L38" s="9">
        <v>113217.365</v>
      </c>
      <c r="M38" s="6"/>
      <c r="N38" s="7"/>
    </row>
    <row x14ac:dyDescent="0.25" r="39" customHeight="1" ht="18.75">
      <c r="A39" s="10" t="s">
        <v>72</v>
      </c>
      <c r="B39" s="11">
        <v>25</v>
      </c>
      <c r="C39" s="3"/>
      <c r="D39" s="3"/>
      <c r="E39" s="5"/>
      <c r="F39" s="3"/>
      <c r="G39" s="3"/>
      <c r="H39" s="5"/>
      <c r="I39" s="5"/>
      <c r="J39" s="5"/>
      <c r="K39" s="5"/>
      <c r="L39" s="6"/>
      <c r="M39" s="6"/>
      <c r="N39" s="7"/>
    </row>
    <row x14ac:dyDescent="0.25" r="40" customHeight="1" ht="18.75">
      <c r="A40" s="10" t="s">
        <v>73</v>
      </c>
      <c r="B40" s="11">
        <v>25</v>
      </c>
      <c r="C40" s="3"/>
      <c r="D40" s="3"/>
      <c r="E40" s="5"/>
      <c r="F40" s="3"/>
      <c r="G40" s="3"/>
      <c r="H40" s="5"/>
      <c r="I40" s="5"/>
      <c r="J40" s="5"/>
      <c r="K40" s="5"/>
      <c r="L40" s="6"/>
      <c r="M40" s="2" t="s">
        <v>20</v>
      </c>
      <c r="N40" s="7"/>
    </row>
    <row x14ac:dyDescent="0.25" r="41" customHeight="1" ht="18.75">
      <c r="A41" s="10" t="s">
        <v>74</v>
      </c>
      <c r="B41" s="11">
        <v>25</v>
      </c>
      <c r="C41" s="3"/>
      <c r="D41" s="1" t="s">
        <v>75</v>
      </c>
      <c r="E41" s="4" t="s">
        <v>76</v>
      </c>
      <c r="F41" s="3"/>
      <c r="G41" s="3"/>
      <c r="H41" s="5"/>
      <c r="I41" s="5"/>
      <c r="J41" s="5"/>
      <c r="K41" s="5"/>
      <c r="L41" s="6"/>
      <c r="M41" s="9">
        <v>113217.365</v>
      </c>
      <c r="N41" s="32">
        <v>113217.365</v>
      </c>
    </row>
    <row x14ac:dyDescent="0.25" r="42" customHeight="1" ht="18.75" hidden="1">
      <c r="A42" s="10" t="s">
        <v>77</v>
      </c>
      <c r="B42" s="11">
        <v>25</v>
      </c>
      <c r="C42" s="3"/>
      <c r="D42" s="1" t="s">
        <v>78</v>
      </c>
      <c r="E42" s="8">
        <v>21</v>
      </c>
      <c r="F42" s="3"/>
      <c r="G42" s="3"/>
      <c r="H42" s="5"/>
      <c r="I42" s="5"/>
      <c r="J42" s="5"/>
      <c r="K42" s="5"/>
      <c r="L42" s="6"/>
      <c r="M42" s="6"/>
      <c r="N42" s="7"/>
    </row>
    <row x14ac:dyDescent="0.25" r="43" customHeight="1" ht="18.75" hidden="1">
      <c r="A43" s="10" t="s">
        <v>79</v>
      </c>
      <c r="B43" s="11">
        <v>25</v>
      </c>
      <c r="C43" s="3"/>
      <c r="D43" s="10" t="s">
        <v>80</v>
      </c>
      <c r="E43" s="11">
        <v>51</v>
      </c>
      <c r="F43" s="3"/>
      <c r="G43" s="3"/>
      <c r="H43" s="5"/>
      <c r="I43" s="5"/>
      <c r="J43" s="5"/>
      <c r="K43" s="5"/>
      <c r="L43" s="6"/>
      <c r="M43" s="6"/>
      <c r="N43" s="7"/>
    </row>
    <row x14ac:dyDescent="0.25" r="44" customHeight="1" ht="18.75" hidden="1">
      <c r="A44" s="10" t="s">
        <v>81</v>
      </c>
      <c r="B44" s="11">
        <v>25</v>
      </c>
      <c r="C44" s="3"/>
      <c r="D44" s="10" t="s">
        <v>82</v>
      </c>
      <c r="E44" s="11">
        <v>53</v>
      </c>
      <c r="F44" s="3"/>
      <c r="G44" s="3"/>
      <c r="H44" s="5"/>
      <c r="I44" s="5"/>
      <c r="J44" s="5"/>
      <c r="K44" s="5"/>
      <c r="L44" s="6"/>
      <c r="M44" s="6"/>
      <c r="N44" s="7"/>
    </row>
    <row x14ac:dyDescent="0.25" r="45" customHeight="1" ht="18.75" hidden="1">
      <c r="A45" s="10" t="s">
        <v>83</v>
      </c>
      <c r="B45" s="11">
        <v>25</v>
      </c>
      <c r="C45" s="3"/>
      <c r="D45" s="10" t="s">
        <v>84</v>
      </c>
      <c r="E45" s="11">
        <v>7</v>
      </c>
      <c r="F45" s="3"/>
      <c r="G45" s="3"/>
      <c r="H45" s="5"/>
      <c r="I45" s="5"/>
      <c r="J45" s="5"/>
      <c r="K45" s="5"/>
      <c r="L45" s="6"/>
      <c r="M45" s="6"/>
      <c r="N45" s="7"/>
    </row>
    <row x14ac:dyDescent="0.25" r="46" customHeight="1" ht="18.75" hidden="1">
      <c r="A46" s="10" t="s">
        <v>85</v>
      </c>
      <c r="B46" s="11">
        <v>26</v>
      </c>
      <c r="C46" s="3"/>
      <c r="D46" s="10" t="s">
        <v>86</v>
      </c>
      <c r="E46" s="11">
        <v>19</v>
      </c>
      <c r="F46" s="3"/>
      <c r="G46" s="3"/>
      <c r="H46" s="5"/>
      <c r="I46" s="5"/>
      <c r="J46" s="5"/>
      <c r="K46" s="5"/>
      <c r="L46" s="6"/>
      <c r="M46" s="6"/>
      <c r="N46" s="7"/>
    </row>
    <row x14ac:dyDescent="0.25" r="47" customHeight="1" ht="18.75" hidden="1">
      <c r="A47" s="10" t="s">
        <v>87</v>
      </c>
      <c r="B47" s="11">
        <v>26</v>
      </c>
      <c r="C47" s="3"/>
      <c r="D47" s="10" t="s">
        <v>88</v>
      </c>
      <c r="E47" s="11">
        <v>15</v>
      </c>
      <c r="F47" s="3"/>
      <c r="G47" s="3"/>
      <c r="H47" s="5"/>
      <c r="I47" s="5"/>
      <c r="J47" s="5"/>
      <c r="K47" s="5"/>
      <c r="L47" s="6"/>
      <c r="M47" s="6"/>
      <c r="N47" s="7"/>
    </row>
    <row x14ac:dyDescent="0.25" r="48" customHeight="1" ht="18.75" hidden="1">
      <c r="A48" s="10" t="s">
        <v>89</v>
      </c>
      <c r="B48" s="11">
        <v>26</v>
      </c>
      <c r="C48" s="3"/>
      <c r="D48" s="10" t="s">
        <v>90</v>
      </c>
      <c r="E48" s="11">
        <v>21</v>
      </c>
      <c r="F48" s="3"/>
      <c r="G48" s="3"/>
      <c r="H48" s="5"/>
      <c r="I48" s="5"/>
      <c r="J48" s="5"/>
      <c r="K48" s="5"/>
      <c r="L48" s="6"/>
      <c r="M48" s="6"/>
      <c r="N48" s="7"/>
    </row>
    <row x14ac:dyDescent="0.25" r="49" customHeight="1" ht="18.75" hidden="1">
      <c r="A49" s="10" t="s">
        <v>91</v>
      </c>
      <c r="B49" s="11">
        <v>26</v>
      </c>
      <c r="C49" s="3"/>
      <c r="D49" s="10" t="s">
        <v>92</v>
      </c>
      <c r="E49" s="11">
        <v>15</v>
      </c>
      <c r="F49" s="3"/>
      <c r="G49" s="3"/>
      <c r="H49" s="5"/>
      <c r="I49" s="5"/>
      <c r="J49" s="5"/>
      <c r="K49" s="5"/>
      <c r="L49" s="6"/>
      <c r="M49" s="6"/>
      <c r="N49" s="7"/>
    </row>
    <row x14ac:dyDescent="0.25" r="50" customHeight="1" ht="18.75" hidden="1">
      <c r="A50" s="10" t="s">
        <v>93</v>
      </c>
      <c r="B50" s="11">
        <v>26</v>
      </c>
      <c r="C50" s="3"/>
      <c r="D50" s="10" t="s">
        <v>94</v>
      </c>
      <c r="E50" s="11">
        <v>19</v>
      </c>
      <c r="F50" s="3"/>
      <c r="G50" s="3"/>
      <c r="H50" s="5"/>
      <c r="I50" s="5"/>
      <c r="J50" s="5"/>
      <c r="K50" s="5"/>
      <c r="L50" s="6"/>
      <c r="M50" s="6"/>
      <c r="N50" s="7"/>
    </row>
    <row x14ac:dyDescent="0.25" r="51" customHeight="1" ht="18.75" hidden="1">
      <c r="A51" s="10" t="s">
        <v>95</v>
      </c>
      <c r="B51" s="11">
        <v>26</v>
      </c>
      <c r="C51" s="3"/>
      <c r="D51" s="10" t="s">
        <v>96</v>
      </c>
      <c r="E51" s="11">
        <v>121</v>
      </c>
      <c r="F51" s="3"/>
      <c r="G51" s="3"/>
      <c r="H51" s="5"/>
      <c r="I51" s="5"/>
      <c r="J51" s="5"/>
      <c r="K51" s="5"/>
      <c r="L51" s="6"/>
      <c r="M51" s="6"/>
      <c r="N51" s="7"/>
    </row>
    <row x14ac:dyDescent="0.25" r="52" customHeight="1" ht="18.75">
      <c r="A52" s="10" t="s">
        <v>97</v>
      </c>
      <c r="B52" s="11">
        <v>26</v>
      </c>
      <c r="C52" s="3"/>
      <c r="D52" s="10" t="s">
        <v>98</v>
      </c>
      <c r="E52" s="11">
        <v>20</v>
      </c>
      <c r="F52" s="3"/>
      <c r="G52" s="3"/>
      <c r="H52" s="5"/>
      <c r="I52" s="5"/>
      <c r="J52" s="5"/>
      <c r="K52" s="5"/>
      <c r="L52" s="6"/>
      <c r="M52" s="6"/>
      <c r="N52" s="7"/>
    </row>
    <row x14ac:dyDescent="0.25" r="53" customHeight="1" ht="18.75" hidden="1">
      <c r="A53" s="10" t="s">
        <v>99</v>
      </c>
      <c r="B53" s="11">
        <v>26</v>
      </c>
      <c r="C53" s="3"/>
      <c r="D53" s="10" t="s">
        <v>100</v>
      </c>
      <c r="E53" s="11">
        <v>18</v>
      </c>
      <c r="F53" s="3"/>
      <c r="G53" s="3"/>
      <c r="H53" s="5"/>
      <c r="I53" s="5"/>
      <c r="J53" s="5"/>
      <c r="K53" s="5"/>
      <c r="L53" s="6"/>
      <c r="M53" s="6"/>
      <c r="N53" s="7"/>
    </row>
    <row x14ac:dyDescent="0.25" r="54" customHeight="1" ht="18.75" hidden="1">
      <c r="A54" s="10" t="s">
        <v>101</v>
      </c>
      <c r="B54" s="11">
        <v>26</v>
      </c>
      <c r="C54" s="3"/>
      <c r="D54" s="10" t="s">
        <v>102</v>
      </c>
      <c r="E54" s="11">
        <v>21</v>
      </c>
      <c r="F54" s="3"/>
      <c r="G54" s="3"/>
      <c r="H54" s="5"/>
      <c r="I54" s="5"/>
      <c r="J54" s="5"/>
      <c r="K54" s="5"/>
      <c r="L54" s="6"/>
      <c r="M54" s="6"/>
      <c r="N54" s="7"/>
    </row>
    <row x14ac:dyDescent="0.25" r="55" customHeight="1" ht="18.75" hidden="1">
      <c r="A55" s="10" t="s">
        <v>103</v>
      </c>
      <c r="B55" s="11">
        <v>26</v>
      </c>
      <c r="C55" s="3"/>
      <c r="D55" s="10" t="s">
        <v>104</v>
      </c>
      <c r="E55" s="11">
        <v>16</v>
      </c>
      <c r="F55" s="3"/>
      <c r="G55" s="3"/>
      <c r="H55" s="5"/>
      <c r="I55" s="5"/>
      <c r="J55" s="5"/>
      <c r="K55" s="5"/>
      <c r="L55" s="6"/>
      <c r="M55" s="6"/>
      <c r="N55" s="7"/>
    </row>
    <row x14ac:dyDescent="0.25" r="56" customHeight="1" ht="18.75" hidden="1">
      <c r="A56" s="10" t="s">
        <v>105</v>
      </c>
      <c r="B56" s="11">
        <v>26</v>
      </c>
      <c r="C56" s="3"/>
      <c r="D56" s="10" t="s">
        <v>106</v>
      </c>
      <c r="E56" s="11">
        <v>11</v>
      </c>
      <c r="F56" s="3"/>
      <c r="G56" s="3"/>
      <c r="H56" s="5"/>
      <c r="I56" s="5"/>
      <c r="J56" s="5"/>
      <c r="K56" s="5"/>
      <c r="L56" s="6"/>
      <c r="M56" s="6"/>
      <c r="N56" s="7"/>
    </row>
    <row x14ac:dyDescent="0.25" r="57" customHeight="1" ht="18.75" hidden="1">
      <c r="A57" s="10" t="s">
        <v>107</v>
      </c>
      <c r="B57" s="11">
        <v>26</v>
      </c>
      <c r="C57" s="3"/>
      <c r="D57" s="10" t="s">
        <v>108</v>
      </c>
      <c r="E57" s="11">
        <v>12</v>
      </c>
      <c r="F57" s="3"/>
      <c r="G57" s="3"/>
      <c r="H57" s="5"/>
      <c r="I57" s="5"/>
      <c r="J57" s="5"/>
      <c r="K57" s="5"/>
      <c r="L57" s="6"/>
      <c r="M57" s="6"/>
      <c r="N57" s="7"/>
    </row>
    <row x14ac:dyDescent="0.25" r="58" customHeight="1" ht="18.75" hidden="1">
      <c r="A58" s="10" t="s">
        <v>109</v>
      </c>
      <c r="B58" s="11">
        <v>26</v>
      </c>
      <c r="C58" s="3"/>
      <c r="D58" s="10" t="s">
        <v>110</v>
      </c>
      <c r="E58" s="11">
        <v>98</v>
      </c>
      <c r="F58" s="3"/>
      <c r="G58" s="3"/>
      <c r="H58" s="5"/>
      <c r="I58" s="5"/>
      <c r="J58" s="5"/>
      <c r="K58" s="5"/>
      <c r="L58" s="6"/>
      <c r="M58" s="6"/>
      <c r="N58" s="7"/>
    </row>
    <row x14ac:dyDescent="0.25" r="59" customHeight="1" ht="18.75" hidden="1">
      <c r="A59" s="10" t="s">
        <v>111</v>
      </c>
      <c r="B59" s="11">
        <v>26</v>
      </c>
      <c r="C59" s="3"/>
      <c r="D59" s="10" t="s">
        <v>112</v>
      </c>
      <c r="E59" s="11">
        <v>10</v>
      </c>
      <c r="F59" s="3"/>
      <c r="G59" s="3"/>
      <c r="H59" s="5"/>
      <c r="I59" s="5"/>
      <c r="J59" s="5"/>
      <c r="K59" s="5"/>
      <c r="L59" s="6"/>
      <c r="M59" s="6"/>
      <c r="N59" s="7"/>
    </row>
    <row x14ac:dyDescent="0.25" r="60" customHeight="1" ht="18.75" hidden="1">
      <c r="A60" s="10" t="s">
        <v>113</v>
      </c>
      <c r="B60" s="11">
        <v>26</v>
      </c>
      <c r="C60" s="3"/>
      <c r="D60" s="10" t="s">
        <v>114</v>
      </c>
      <c r="E60" s="11">
        <v>18</v>
      </c>
      <c r="F60" s="3"/>
      <c r="G60" s="3"/>
      <c r="H60" s="5"/>
      <c r="I60" s="5"/>
      <c r="J60" s="5"/>
      <c r="K60" s="5"/>
      <c r="L60" s="6"/>
      <c r="M60" s="6"/>
      <c r="N60" s="7"/>
    </row>
    <row x14ac:dyDescent="0.25" r="61" customHeight="1" ht="18.75" hidden="1">
      <c r="A61" s="10" t="s">
        <v>115</v>
      </c>
      <c r="B61" s="11">
        <v>26</v>
      </c>
      <c r="C61" s="3"/>
      <c r="D61" s="10" t="s">
        <v>116</v>
      </c>
      <c r="E61" s="11">
        <v>7</v>
      </c>
      <c r="F61" s="3"/>
      <c r="G61" s="3"/>
      <c r="H61" s="5"/>
      <c r="I61" s="5"/>
      <c r="J61" s="5"/>
      <c r="K61" s="5"/>
      <c r="L61" s="6"/>
      <c r="M61" s="6"/>
      <c r="N61" s="7"/>
    </row>
    <row x14ac:dyDescent="0.25" r="62" customHeight="1" ht="18.75" hidden="1">
      <c r="A62" s="10" t="s">
        <v>117</v>
      </c>
      <c r="B62" s="11">
        <v>26</v>
      </c>
      <c r="C62" s="3"/>
      <c r="D62" s="10" t="s">
        <v>118</v>
      </c>
      <c r="E62" s="11">
        <v>12</v>
      </c>
      <c r="F62" s="3"/>
      <c r="G62" s="3"/>
      <c r="H62" s="5"/>
      <c r="I62" s="5"/>
      <c r="J62" s="5"/>
      <c r="K62" s="5"/>
      <c r="L62" s="6"/>
      <c r="M62" s="6"/>
      <c r="N62" s="7"/>
    </row>
    <row x14ac:dyDescent="0.25" r="63" customHeight="1" ht="18.75" hidden="1">
      <c r="A63" s="10" t="s">
        <v>119</v>
      </c>
      <c r="B63" s="11">
        <v>27</v>
      </c>
      <c r="C63" s="3"/>
      <c r="D63" s="10" t="s">
        <v>120</v>
      </c>
      <c r="E63" s="11">
        <v>20</v>
      </c>
      <c r="F63" s="3"/>
      <c r="G63" s="3"/>
      <c r="H63" s="5"/>
      <c r="I63" s="5"/>
      <c r="J63" s="5"/>
      <c r="K63" s="5"/>
      <c r="L63" s="6"/>
      <c r="M63" s="6"/>
      <c r="N63" s="7"/>
    </row>
    <row x14ac:dyDescent="0.25" r="64" customHeight="1" ht="18.75" hidden="1">
      <c r="A64" s="10" t="s">
        <v>121</v>
      </c>
      <c r="B64" s="11">
        <v>27</v>
      </c>
      <c r="C64" s="3"/>
      <c r="D64" s="10" t="s">
        <v>122</v>
      </c>
      <c r="E64" s="11">
        <v>10</v>
      </c>
      <c r="F64" s="3"/>
      <c r="G64" s="3"/>
      <c r="H64" s="5"/>
      <c r="I64" s="5"/>
      <c r="J64" s="5"/>
      <c r="K64" s="5"/>
      <c r="L64" s="6"/>
      <c r="M64" s="6"/>
      <c r="N64" s="7"/>
    </row>
    <row x14ac:dyDescent="0.25" r="65" customHeight="1" ht="18.75" hidden="1">
      <c r="A65" s="10" t="s">
        <v>123</v>
      </c>
      <c r="B65" s="11">
        <v>27</v>
      </c>
      <c r="C65" s="3"/>
      <c r="D65" s="10" t="s">
        <v>124</v>
      </c>
      <c r="E65" s="11">
        <v>15</v>
      </c>
      <c r="F65" s="3"/>
      <c r="G65" s="3"/>
      <c r="H65" s="5"/>
      <c r="I65" s="5"/>
      <c r="J65" s="5"/>
      <c r="K65" s="5"/>
      <c r="L65" s="6"/>
      <c r="M65" s="6"/>
      <c r="N65" s="7"/>
    </row>
    <row x14ac:dyDescent="0.25" r="66" customHeight="1" ht="18.75" hidden="1">
      <c r="A66" s="10" t="s">
        <v>125</v>
      </c>
      <c r="B66" s="11">
        <v>27</v>
      </c>
      <c r="C66" s="3"/>
      <c r="D66" s="10" t="s">
        <v>126</v>
      </c>
      <c r="E66" s="11">
        <v>9</v>
      </c>
      <c r="F66" s="3"/>
      <c r="G66" s="3"/>
      <c r="H66" s="5"/>
      <c r="I66" s="5"/>
      <c r="J66" s="5"/>
      <c r="K66" s="5"/>
      <c r="L66" s="6"/>
      <c r="M66" s="6"/>
      <c r="N66" s="7"/>
    </row>
    <row x14ac:dyDescent="0.25" r="67" customHeight="1" ht="18.75" hidden="1">
      <c r="A67" s="10" t="s">
        <v>127</v>
      </c>
      <c r="B67" s="11">
        <v>27</v>
      </c>
      <c r="C67" s="3"/>
      <c r="D67" s="10" t="s">
        <v>128</v>
      </c>
      <c r="E67" s="11">
        <v>70</v>
      </c>
      <c r="F67" s="3"/>
      <c r="G67" s="3"/>
      <c r="H67" s="5"/>
      <c r="I67" s="5"/>
      <c r="J67" s="5"/>
      <c r="K67" s="5"/>
      <c r="L67" s="6"/>
      <c r="M67" s="6"/>
      <c r="N67" s="7"/>
    </row>
    <row x14ac:dyDescent="0.25" r="68" customHeight="1" ht="18.75" hidden="1">
      <c r="A68" s="10" t="s">
        <v>129</v>
      </c>
      <c r="B68" s="11">
        <v>27</v>
      </c>
      <c r="C68" s="3"/>
      <c r="D68" s="10" t="s">
        <v>130</v>
      </c>
      <c r="E68" s="11">
        <v>17</v>
      </c>
      <c r="F68" s="3"/>
      <c r="G68" s="3"/>
      <c r="H68" s="5"/>
      <c r="I68" s="5"/>
      <c r="J68" s="5"/>
      <c r="K68" s="5"/>
      <c r="L68" s="6"/>
      <c r="M68" s="6"/>
      <c r="N68" s="7"/>
    </row>
    <row x14ac:dyDescent="0.25" r="69" customHeight="1" ht="18.75" hidden="1">
      <c r="A69" s="10" t="s">
        <v>131</v>
      </c>
      <c r="B69" s="11">
        <v>27</v>
      </c>
      <c r="C69" s="3"/>
      <c r="D69" s="10" t="s">
        <v>132</v>
      </c>
      <c r="E69" s="11">
        <v>110</v>
      </c>
      <c r="F69" s="3"/>
      <c r="G69" s="3"/>
      <c r="H69" s="5"/>
      <c r="I69" s="5"/>
      <c r="J69" s="5"/>
      <c r="K69" s="5"/>
      <c r="L69" s="6"/>
      <c r="M69" s="6"/>
      <c r="N69" s="7"/>
    </row>
    <row x14ac:dyDescent="0.25" r="70" customHeight="1" ht="18.75" hidden="1">
      <c r="A70" s="10" t="s">
        <v>133</v>
      </c>
      <c r="B70" s="11">
        <v>27</v>
      </c>
      <c r="C70" s="3"/>
      <c r="D70" s="10" t="s">
        <v>134</v>
      </c>
      <c r="E70" s="11">
        <v>15</v>
      </c>
      <c r="F70" s="3"/>
      <c r="G70" s="3"/>
      <c r="H70" s="5"/>
      <c r="I70" s="5"/>
      <c r="J70" s="5"/>
      <c r="K70" s="5"/>
      <c r="L70" s="6"/>
      <c r="M70" s="6"/>
      <c r="N70" s="7"/>
    </row>
    <row x14ac:dyDescent="0.25" r="71" customHeight="1" ht="18.75" hidden="1">
      <c r="A71" s="10" t="s">
        <v>135</v>
      </c>
      <c r="B71" s="11">
        <v>27</v>
      </c>
      <c r="C71" s="3"/>
      <c r="D71" s="10" t="s">
        <v>136</v>
      </c>
      <c r="E71" s="11">
        <v>15</v>
      </c>
      <c r="F71" s="3"/>
      <c r="G71" s="3"/>
      <c r="H71" s="5"/>
      <c r="I71" s="5"/>
      <c r="J71" s="5"/>
      <c r="K71" s="5"/>
      <c r="L71" s="6"/>
      <c r="M71" s="6"/>
      <c r="N71" s="7"/>
    </row>
    <row x14ac:dyDescent="0.25" r="72" customHeight="1" ht="18.75" hidden="1">
      <c r="A72" s="10" t="s">
        <v>137</v>
      </c>
      <c r="B72" s="11">
        <v>27</v>
      </c>
      <c r="C72" s="3"/>
      <c r="D72" s="10" t="s">
        <v>138</v>
      </c>
      <c r="E72" s="11">
        <v>17</v>
      </c>
      <c r="F72" s="3"/>
      <c r="G72" s="3"/>
      <c r="H72" s="5"/>
      <c r="I72" s="5"/>
      <c r="J72" s="5"/>
      <c r="K72" s="5"/>
      <c r="L72" s="6"/>
      <c r="M72" s="6"/>
      <c r="N72" s="7"/>
    </row>
    <row x14ac:dyDescent="0.25" r="73" customHeight="1" ht="18.75" hidden="1">
      <c r="A73" s="10" t="s">
        <v>139</v>
      </c>
      <c r="B73" s="11">
        <v>27</v>
      </c>
      <c r="C73" s="3"/>
      <c r="D73" s="10" t="s">
        <v>140</v>
      </c>
      <c r="E73" s="11">
        <v>12</v>
      </c>
      <c r="F73" s="3"/>
      <c r="G73" s="3"/>
      <c r="H73" s="5"/>
      <c r="I73" s="5"/>
      <c r="J73" s="5"/>
      <c r="K73" s="5"/>
      <c r="L73" s="6"/>
      <c r="M73" s="6"/>
      <c r="N73" s="7"/>
    </row>
    <row x14ac:dyDescent="0.25" r="74" customHeight="1" ht="18.75" hidden="1">
      <c r="A74" s="10" t="s">
        <v>141</v>
      </c>
      <c r="B74" s="11">
        <v>27</v>
      </c>
      <c r="C74" s="3"/>
      <c r="D74" s="10" t="s">
        <v>142</v>
      </c>
      <c r="E74" s="11">
        <v>105</v>
      </c>
      <c r="F74" s="3"/>
      <c r="G74" s="3"/>
      <c r="H74" s="5"/>
      <c r="I74" s="5"/>
      <c r="J74" s="5"/>
      <c r="K74" s="5"/>
      <c r="L74" s="6"/>
      <c r="M74" s="6"/>
      <c r="N74" s="7"/>
    </row>
    <row x14ac:dyDescent="0.25" r="75" customHeight="1" ht="18.75" hidden="1">
      <c r="A75" s="10" t="s">
        <v>143</v>
      </c>
      <c r="B75" s="11">
        <v>27</v>
      </c>
      <c r="C75" s="3"/>
      <c r="D75" s="10" t="s">
        <v>13</v>
      </c>
      <c r="E75" s="15"/>
      <c r="F75" s="3"/>
      <c r="G75" s="3"/>
      <c r="H75" s="5"/>
      <c r="I75" s="5"/>
      <c r="J75" s="5"/>
      <c r="K75" s="5"/>
      <c r="L75" s="6"/>
      <c r="M75" s="6"/>
      <c r="N75" s="7"/>
    </row>
    <row x14ac:dyDescent="0.25" r="76" customHeight="1" ht="18.75" hidden="1">
      <c r="A76" s="10" t="s">
        <v>144</v>
      </c>
      <c r="B76" s="11">
        <v>27</v>
      </c>
      <c r="C76" s="3"/>
      <c r="D76" s="13" t="s">
        <v>16</v>
      </c>
      <c r="E76" s="14">
        <v>1000</v>
      </c>
      <c r="F76" s="3"/>
      <c r="G76" s="3"/>
      <c r="H76" s="5"/>
      <c r="I76" s="5"/>
      <c r="J76" s="5"/>
      <c r="K76" s="5"/>
      <c r="L76" s="6"/>
      <c r="M76" s="6"/>
      <c r="N76" s="7"/>
    </row>
    <row x14ac:dyDescent="0.25" r="77" customHeight="1" ht="18.75">
      <c r="A77" s="10" t="s">
        <v>145</v>
      </c>
      <c r="B77" s="11">
        <v>27</v>
      </c>
      <c r="C77" s="3"/>
      <c r="D77" s="3"/>
      <c r="E77" s="5"/>
      <c r="F77" s="3"/>
      <c r="G77" s="3"/>
      <c r="H77" s="5"/>
      <c r="I77" s="5"/>
      <c r="J77" s="5"/>
      <c r="K77" s="5"/>
      <c r="L77" s="6"/>
      <c r="M77" s="6"/>
      <c r="N77" s="7"/>
    </row>
    <row x14ac:dyDescent="0.25" r="78" customHeight="1" ht="18.75">
      <c r="A78" s="10" t="s">
        <v>146</v>
      </c>
      <c r="B78" s="11">
        <v>27</v>
      </c>
      <c r="C78" s="3"/>
      <c r="D78" s="3"/>
      <c r="E78" s="5"/>
      <c r="F78" s="3"/>
      <c r="G78" s="3"/>
      <c r="H78" s="5"/>
      <c r="I78" s="5"/>
      <c r="J78" s="5"/>
      <c r="K78" s="5"/>
      <c r="L78" s="6"/>
      <c r="M78" s="6"/>
      <c r="N78" s="7"/>
    </row>
    <row x14ac:dyDescent="0.25" r="79" customHeight="1" ht="18.75">
      <c r="A79" s="10" t="s">
        <v>147</v>
      </c>
      <c r="B79" s="11">
        <v>27</v>
      </c>
      <c r="C79" s="3"/>
      <c r="D79" s="3"/>
      <c r="E79" s="5"/>
      <c r="F79" s="3"/>
      <c r="G79" s="3"/>
      <c r="H79" s="5"/>
      <c r="I79" s="5"/>
      <c r="J79" s="5"/>
      <c r="K79" s="5"/>
      <c r="L79" s="6"/>
      <c r="M79" s="6"/>
      <c r="N79" s="7"/>
    </row>
    <row x14ac:dyDescent="0.25" r="80" customHeight="1" ht="18.75">
      <c r="A80" s="10" t="s">
        <v>148</v>
      </c>
      <c r="B80" s="11">
        <v>27</v>
      </c>
      <c r="C80" s="3"/>
      <c r="D80" s="3"/>
      <c r="E80" s="5"/>
      <c r="F80" s="3"/>
      <c r="G80" s="3"/>
      <c r="H80" s="5"/>
      <c r="I80" s="5"/>
      <c r="J80" s="5"/>
      <c r="K80" s="5"/>
      <c r="L80" s="6"/>
      <c r="M80" s="6"/>
      <c r="N80" s="7"/>
    </row>
    <row x14ac:dyDescent="0.25" r="81" customHeight="1" ht="18.75">
      <c r="A81" s="10" t="s">
        <v>149</v>
      </c>
      <c r="B81" s="11">
        <v>27</v>
      </c>
      <c r="C81" s="3"/>
      <c r="D81" s="3"/>
      <c r="E81" s="5"/>
      <c r="F81" s="3"/>
      <c r="G81" s="3"/>
      <c r="H81" s="5"/>
      <c r="I81" s="5"/>
      <c r="J81" s="5"/>
      <c r="K81" s="5"/>
      <c r="L81" s="6"/>
      <c r="M81" s="6"/>
      <c r="N81" s="7"/>
    </row>
    <row x14ac:dyDescent="0.25" r="82" customHeight="1" ht="18.75">
      <c r="A82" s="10" t="s">
        <v>150</v>
      </c>
      <c r="B82" s="11">
        <v>27</v>
      </c>
      <c r="C82" s="3"/>
      <c r="D82" s="3"/>
      <c r="E82" s="5"/>
      <c r="F82" s="3"/>
      <c r="G82" s="3"/>
      <c r="H82" s="5"/>
      <c r="I82" s="5"/>
      <c r="J82" s="5"/>
      <c r="K82" s="5"/>
      <c r="L82" s="6"/>
      <c r="M82" s="6"/>
      <c r="N82" s="7"/>
    </row>
    <row x14ac:dyDescent="0.25" r="83" customHeight="1" ht="18.75">
      <c r="A83" s="10" t="s">
        <v>151</v>
      </c>
      <c r="B83" s="11">
        <v>27</v>
      </c>
      <c r="C83" s="3"/>
      <c r="D83" s="3"/>
      <c r="E83" s="5"/>
      <c r="F83" s="3"/>
      <c r="G83" s="3"/>
      <c r="H83" s="5"/>
      <c r="I83" s="5"/>
      <c r="J83" s="5"/>
      <c r="K83" s="5"/>
      <c r="L83" s="6"/>
      <c r="M83" s="6"/>
      <c r="N83" s="7"/>
    </row>
    <row x14ac:dyDescent="0.25" r="84" customHeight="1" ht="18.75">
      <c r="A84" s="10" t="s">
        <v>152</v>
      </c>
      <c r="B84" s="11">
        <v>27</v>
      </c>
      <c r="C84" s="3"/>
      <c r="D84" s="3"/>
      <c r="E84" s="5"/>
      <c r="F84" s="3"/>
      <c r="G84" s="3"/>
      <c r="H84" s="5"/>
      <c r="I84" s="5"/>
      <c r="J84" s="5"/>
      <c r="K84" s="5"/>
      <c r="L84" s="6"/>
      <c r="M84" s="6"/>
      <c r="N84" s="7"/>
    </row>
    <row x14ac:dyDescent="0.25" r="85" customHeight="1" ht="18.75">
      <c r="A85" s="10" t="s">
        <v>153</v>
      </c>
      <c r="B85" s="11">
        <v>27</v>
      </c>
      <c r="C85" s="3"/>
      <c r="D85" s="3"/>
      <c r="E85" s="5"/>
      <c r="F85" s="3"/>
      <c r="G85" s="3"/>
      <c r="H85" s="5"/>
      <c r="I85" s="5"/>
      <c r="J85" s="5"/>
      <c r="K85" s="5"/>
      <c r="L85" s="6"/>
      <c r="M85" s="6"/>
      <c r="N85" s="7"/>
    </row>
    <row x14ac:dyDescent="0.25" r="86" customHeight="1" ht="18.75">
      <c r="A86" s="10" t="s">
        <v>154</v>
      </c>
      <c r="B86" s="11">
        <v>27</v>
      </c>
      <c r="C86" s="3"/>
      <c r="D86" s="3"/>
      <c r="E86" s="5"/>
      <c r="F86" s="3"/>
      <c r="G86" s="3"/>
      <c r="H86" s="5"/>
      <c r="I86" s="5"/>
      <c r="J86" s="5"/>
      <c r="K86" s="5"/>
      <c r="L86" s="6"/>
      <c r="M86" s="6"/>
      <c r="N86" s="7"/>
    </row>
    <row x14ac:dyDescent="0.25" r="87" customHeight="1" ht="18.75">
      <c r="A87" s="10" t="s">
        <v>155</v>
      </c>
      <c r="B87" s="11">
        <v>27</v>
      </c>
      <c r="C87" s="3"/>
      <c r="D87" s="3"/>
      <c r="E87" s="5"/>
      <c r="F87" s="3"/>
      <c r="G87" s="3"/>
      <c r="H87" s="5"/>
      <c r="I87" s="5"/>
      <c r="J87" s="5"/>
      <c r="K87" s="5"/>
      <c r="L87" s="6"/>
      <c r="M87" s="6"/>
      <c r="N87" s="7"/>
    </row>
    <row x14ac:dyDescent="0.25" r="88" customHeight="1" ht="18.75">
      <c r="A88" s="10" t="s">
        <v>156</v>
      </c>
      <c r="B88" s="11">
        <v>27</v>
      </c>
      <c r="C88" s="3"/>
      <c r="D88" s="3"/>
      <c r="E88" s="5"/>
      <c r="F88" s="3"/>
      <c r="G88" s="3"/>
      <c r="H88" s="5"/>
      <c r="I88" s="5"/>
      <c r="J88" s="5"/>
      <c r="K88" s="5"/>
      <c r="L88" s="6"/>
      <c r="M88" s="6"/>
      <c r="N88" s="7"/>
    </row>
    <row x14ac:dyDescent="0.25" r="89" customHeight="1" ht="18.75">
      <c r="A89" s="10" t="s">
        <v>157</v>
      </c>
      <c r="B89" s="11">
        <v>28</v>
      </c>
      <c r="C89" s="3"/>
      <c r="D89" s="3"/>
      <c r="E89" s="5"/>
      <c r="F89" s="3"/>
      <c r="G89" s="3"/>
      <c r="H89" s="5"/>
      <c r="I89" s="5"/>
      <c r="J89" s="5"/>
      <c r="K89" s="5"/>
      <c r="L89" s="6"/>
      <c r="M89" s="6"/>
      <c r="N89" s="7"/>
    </row>
    <row x14ac:dyDescent="0.25" r="90" customHeight="1" ht="18.75">
      <c r="A90" s="10" t="s">
        <v>158</v>
      </c>
      <c r="B90" s="11">
        <v>28</v>
      </c>
      <c r="C90" s="3"/>
      <c r="D90" s="3"/>
      <c r="E90" s="5"/>
      <c r="F90" s="3"/>
      <c r="G90" s="3"/>
      <c r="H90" s="5"/>
      <c r="I90" s="5"/>
      <c r="J90" s="5"/>
      <c r="K90" s="5"/>
      <c r="L90" s="6"/>
      <c r="M90" s="6"/>
      <c r="N90" s="7"/>
    </row>
    <row x14ac:dyDescent="0.25" r="91" customHeight="1" ht="18.75">
      <c r="A91" s="10" t="s">
        <v>159</v>
      </c>
      <c r="B91" s="11">
        <v>28</v>
      </c>
      <c r="C91" s="3"/>
      <c r="D91" s="3"/>
      <c r="E91" s="5"/>
      <c r="F91" s="3"/>
      <c r="G91" s="3"/>
      <c r="H91" s="5"/>
      <c r="I91" s="5"/>
      <c r="J91" s="5"/>
      <c r="K91" s="5"/>
      <c r="L91" s="6"/>
      <c r="M91" s="6"/>
      <c r="N91" s="7"/>
    </row>
    <row x14ac:dyDescent="0.25" r="92" customHeight="1" ht="18.75">
      <c r="A92" s="10" t="s">
        <v>160</v>
      </c>
      <c r="B92" s="11">
        <v>28</v>
      </c>
      <c r="C92" s="3"/>
      <c r="D92" s="3"/>
      <c r="E92" s="5"/>
      <c r="F92" s="3"/>
      <c r="G92" s="3"/>
      <c r="H92" s="5"/>
      <c r="I92" s="5"/>
      <c r="J92" s="5"/>
      <c r="K92" s="5"/>
      <c r="L92" s="6"/>
      <c r="M92" s="6"/>
      <c r="N92" s="7"/>
    </row>
    <row x14ac:dyDescent="0.25" r="93" customHeight="1" ht="18.75">
      <c r="A93" s="10" t="s">
        <v>161</v>
      </c>
      <c r="B93" s="11">
        <v>28</v>
      </c>
      <c r="C93" s="3"/>
      <c r="D93" s="3"/>
      <c r="E93" s="5"/>
      <c r="F93" s="3"/>
      <c r="G93" s="3"/>
      <c r="H93" s="5"/>
      <c r="I93" s="5"/>
      <c r="J93" s="5"/>
      <c r="K93" s="5"/>
      <c r="L93" s="6"/>
      <c r="M93" s="6"/>
      <c r="N93" s="7"/>
    </row>
    <row x14ac:dyDescent="0.25" r="94" customHeight="1" ht="18.75">
      <c r="A94" s="10" t="s">
        <v>162</v>
      </c>
      <c r="B94" s="11">
        <v>28</v>
      </c>
      <c r="C94" s="3"/>
      <c r="D94" s="3"/>
      <c r="E94" s="5"/>
      <c r="F94" s="3"/>
      <c r="G94" s="3"/>
      <c r="H94" s="5"/>
      <c r="I94" s="5"/>
      <c r="J94" s="5"/>
      <c r="K94" s="5"/>
      <c r="L94" s="6"/>
      <c r="M94" s="6"/>
      <c r="N94" s="7"/>
    </row>
    <row x14ac:dyDescent="0.25" r="95" customHeight="1" ht="18.75">
      <c r="A95" s="10" t="s">
        <v>163</v>
      </c>
      <c r="B95" s="11">
        <v>28</v>
      </c>
      <c r="C95" s="3"/>
      <c r="D95" s="3"/>
      <c r="E95" s="5"/>
      <c r="F95" s="3"/>
      <c r="G95" s="3"/>
      <c r="H95" s="5"/>
      <c r="I95" s="5"/>
      <c r="J95" s="5"/>
      <c r="K95" s="5"/>
      <c r="L95" s="6"/>
      <c r="M95" s="6"/>
      <c r="N95" s="7"/>
    </row>
    <row x14ac:dyDescent="0.25" r="96" customHeight="1" ht="18.75">
      <c r="A96" s="10" t="s">
        <v>164</v>
      </c>
      <c r="B96" s="11">
        <v>28</v>
      </c>
      <c r="C96" s="3"/>
      <c r="D96" s="3"/>
      <c r="E96" s="5"/>
      <c r="F96" s="3"/>
      <c r="G96" s="3"/>
      <c r="H96" s="5"/>
      <c r="I96" s="5"/>
      <c r="J96" s="5"/>
      <c r="K96" s="5"/>
      <c r="L96" s="6"/>
      <c r="M96" s="6"/>
      <c r="N96" s="7"/>
    </row>
    <row x14ac:dyDescent="0.25" r="97" customHeight="1" ht="18.75">
      <c r="A97" s="10" t="s">
        <v>165</v>
      </c>
      <c r="B97" s="11">
        <v>28</v>
      </c>
      <c r="C97" s="3"/>
      <c r="D97" s="3"/>
      <c r="E97" s="5"/>
      <c r="F97" s="3"/>
      <c r="G97" s="3"/>
      <c r="H97" s="5"/>
      <c r="I97" s="5"/>
      <c r="J97" s="5"/>
      <c r="K97" s="5"/>
      <c r="L97" s="6"/>
      <c r="M97" s="6"/>
      <c r="N97" s="7"/>
    </row>
    <row x14ac:dyDescent="0.25" r="98" customHeight="1" ht="18.75">
      <c r="A98" s="10" t="s">
        <v>166</v>
      </c>
      <c r="B98" s="11">
        <v>28</v>
      </c>
      <c r="C98" s="3"/>
      <c r="D98" s="3"/>
      <c r="E98" s="5"/>
      <c r="F98" s="3"/>
      <c r="G98" s="3"/>
      <c r="H98" s="5"/>
      <c r="I98" s="5"/>
      <c r="J98" s="5"/>
      <c r="K98" s="5"/>
      <c r="L98" s="6"/>
      <c r="M98" s="6"/>
      <c r="N98" s="7"/>
    </row>
    <row x14ac:dyDescent="0.25" r="99" customHeight="1" ht="18.75">
      <c r="A99" s="10" t="s">
        <v>167</v>
      </c>
      <c r="B99" s="11">
        <v>28</v>
      </c>
      <c r="C99" s="3"/>
      <c r="D99" s="3"/>
      <c r="E99" s="5"/>
      <c r="F99" s="3"/>
      <c r="G99" s="3"/>
      <c r="H99" s="5"/>
      <c r="I99" s="5"/>
      <c r="J99" s="5"/>
      <c r="K99" s="5"/>
      <c r="L99" s="6"/>
      <c r="M99" s="6"/>
      <c r="N99" s="7"/>
    </row>
    <row x14ac:dyDescent="0.25" r="100" customHeight="1" ht="18.75">
      <c r="A100" s="10" t="s">
        <v>168</v>
      </c>
      <c r="B100" s="11">
        <v>28</v>
      </c>
      <c r="C100" s="3"/>
      <c r="D100" s="3"/>
      <c r="E100" s="5"/>
      <c r="F100" s="3"/>
      <c r="G100" s="3"/>
      <c r="H100" s="5"/>
      <c r="I100" s="5"/>
      <c r="J100" s="5"/>
      <c r="K100" s="5"/>
      <c r="L100" s="6"/>
      <c r="M100" s="6"/>
      <c r="N100" s="7"/>
    </row>
    <row x14ac:dyDescent="0.25" r="101" customHeight="1" ht="18.75">
      <c r="A101" s="10" t="s">
        <v>169</v>
      </c>
      <c r="B101" s="11">
        <v>28</v>
      </c>
      <c r="C101" s="3"/>
      <c r="D101" s="3"/>
      <c r="E101" s="5"/>
      <c r="F101" s="3"/>
      <c r="G101" s="3"/>
      <c r="H101" s="5"/>
      <c r="I101" s="5"/>
      <c r="J101" s="5"/>
      <c r="K101" s="5"/>
      <c r="L101" s="6"/>
      <c r="M101" s="6"/>
      <c r="N101" s="7"/>
    </row>
    <row x14ac:dyDescent="0.25" r="102" customHeight="1" ht="18.75">
      <c r="A102" s="10" t="s">
        <v>170</v>
      </c>
      <c r="B102" s="11">
        <v>28</v>
      </c>
      <c r="C102" s="3"/>
      <c r="D102" s="3"/>
      <c r="E102" s="5"/>
      <c r="F102" s="3"/>
      <c r="G102" s="3"/>
      <c r="H102" s="5"/>
      <c r="I102" s="5"/>
      <c r="J102" s="5"/>
      <c r="K102" s="5"/>
      <c r="L102" s="6"/>
      <c r="M102" s="6"/>
      <c r="N102" s="7"/>
    </row>
    <row x14ac:dyDescent="0.25" r="103" customHeight="1" ht="18.75">
      <c r="A103" s="10" t="s">
        <v>171</v>
      </c>
      <c r="B103" s="11">
        <v>28</v>
      </c>
      <c r="C103" s="3"/>
      <c r="D103" s="3"/>
      <c r="E103" s="5"/>
      <c r="F103" s="3"/>
      <c r="G103" s="3"/>
      <c r="H103" s="5"/>
      <c r="I103" s="5"/>
      <c r="J103" s="5"/>
      <c r="K103" s="5"/>
      <c r="L103" s="6"/>
      <c r="M103" s="6"/>
      <c r="N103" s="7"/>
    </row>
    <row x14ac:dyDescent="0.25" r="104" customHeight="1" ht="18.75">
      <c r="A104" s="10" t="s">
        <v>172</v>
      </c>
      <c r="B104" s="11">
        <v>28</v>
      </c>
      <c r="C104" s="3"/>
      <c r="D104" s="3"/>
      <c r="E104" s="5"/>
      <c r="F104" s="3"/>
      <c r="G104" s="3"/>
      <c r="H104" s="5"/>
      <c r="I104" s="5"/>
      <c r="J104" s="5"/>
      <c r="K104" s="5"/>
      <c r="L104" s="6"/>
      <c r="M104" s="6"/>
      <c r="N104" s="7"/>
    </row>
    <row x14ac:dyDescent="0.25" r="105" customHeight="1" ht="18.75">
      <c r="A105" s="10" t="s">
        <v>173</v>
      </c>
      <c r="B105" s="11">
        <v>28</v>
      </c>
      <c r="C105" s="3"/>
      <c r="D105" s="3"/>
      <c r="E105" s="5"/>
      <c r="F105" s="3"/>
      <c r="G105" s="3"/>
      <c r="H105" s="5"/>
      <c r="I105" s="5"/>
      <c r="J105" s="5"/>
      <c r="K105" s="5"/>
      <c r="L105" s="6"/>
      <c r="M105" s="6"/>
      <c r="N105" s="7"/>
    </row>
    <row x14ac:dyDescent="0.25" r="106" customHeight="1" ht="18.75">
      <c r="A106" s="10" t="s">
        <v>174</v>
      </c>
      <c r="B106" s="11">
        <v>28</v>
      </c>
      <c r="C106" s="3"/>
      <c r="D106" s="3"/>
      <c r="E106" s="5"/>
      <c r="F106" s="3"/>
      <c r="G106" s="3"/>
      <c r="H106" s="5"/>
      <c r="I106" s="5"/>
      <c r="J106" s="5"/>
      <c r="K106" s="5"/>
      <c r="L106" s="6"/>
      <c r="M106" s="6"/>
      <c r="N106" s="7"/>
    </row>
    <row x14ac:dyDescent="0.25" r="107" customHeight="1" ht="18.75">
      <c r="A107" s="10" t="s">
        <v>175</v>
      </c>
      <c r="B107" s="11">
        <v>28</v>
      </c>
      <c r="C107" s="3"/>
      <c r="D107" s="3"/>
      <c r="E107" s="5"/>
      <c r="F107" s="3"/>
      <c r="G107" s="3"/>
      <c r="H107" s="5"/>
      <c r="I107" s="5"/>
      <c r="J107" s="5"/>
      <c r="K107" s="5"/>
      <c r="L107" s="6"/>
      <c r="M107" s="6"/>
      <c r="N107" s="7"/>
    </row>
    <row x14ac:dyDescent="0.25" r="108" customHeight="1" ht="18.75">
      <c r="A108" s="10" t="s">
        <v>176</v>
      </c>
      <c r="B108" s="11">
        <v>28</v>
      </c>
      <c r="C108" s="3"/>
      <c r="D108" s="3"/>
      <c r="E108" s="5"/>
      <c r="F108" s="3"/>
      <c r="G108" s="3"/>
      <c r="H108" s="5"/>
      <c r="I108" s="5"/>
      <c r="J108" s="5"/>
      <c r="K108" s="5"/>
      <c r="L108" s="6"/>
      <c r="M108" s="6"/>
      <c r="N108" s="7"/>
    </row>
    <row x14ac:dyDescent="0.25" r="109" customHeight="1" ht="18.75">
      <c r="A109" s="10" t="s">
        <v>177</v>
      </c>
      <c r="B109" s="11">
        <v>28</v>
      </c>
      <c r="C109" s="3"/>
      <c r="D109" s="3"/>
      <c r="E109" s="5"/>
      <c r="F109" s="3"/>
      <c r="G109" s="3"/>
      <c r="H109" s="5"/>
      <c r="I109" s="5"/>
      <c r="J109" s="5"/>
      <c r="K109" s="5"/>
      <c r="L109" s="6"/>
      <c r="M109" s="6"/>
      <c r="N109" s="7"/>
    </row>
    <row x14ac:dyDescent="0.25" r="110" customHeight="1" ht="18.75">
      <c r="A110" s="10" t="s">
        <v>178</v>
      </c>
      <c r="B110" s="11">
        <v>28</v>
      </c>
      <c r="C110" s="3"/>
      <c r="D110" s="3"/>
      <c r="E110" s="5"/>
      <c r="F110" s="3"/>
      <c r="G110" s="3"/>
      <c r="H110" s="5"/>
      <c r="I110" s="5"/>
      <c r="J110" s="5"/>
      <c r="K110" s="5"/>
      <c r="L110" s="6"/>
      <c r="M110" s="6"/>
      <c r="N110" s="7"/>
    </row>
    <row x14ac:dyDescent="0.25" r="111" customHeight="1" ht="18.75">
      <c r="A111" s="10" t="s">
        <v>179</v>
      </c>
      <c r="B111" s="11">
        <v>28</v>
      </c>
      <c r="C111" s="3"/>
      <c r="D111" s="3"/>
      <c r="E111" s="5"/>
      <c r="F111" s="3"/>
      <c r="G111" s="3"/>
      <c r="H111" s="5"/>
      <c r="I111" s="5"/>
      <c r="J111" s="5"/>
      <c r="K111" s="5"/>
      <c r="L111" s="6"/>
      <c r="M111" s="6"/>
      <c r="N111" s="7"/>
    </row>
    <row x14ac:dyDescent="0.25" r="112" customHeight="1" ht="18.75">
      <c r="A112" s="10" t="s">
        <v>180</v>
      </c>
      <c r="B112" s="11">
        <v>28</v>
      </c>
      <c r="C112" s="3"/>
      <c r="D112" s="3"/>
      <c r="E112" s="5"/>
      <c r="F112" s="3"/>
      <c r="G112" s="3"/>
      <c r="H112" s="5"/>
      <c r="I112" s="5"/>
      <c r="J112" s="5"/>
      <c r="K112" s="5"/>
      <c r="L112" s="6"/>
      <c r="M112" s="6"/>
      <c r="N112" s="7"/>
    </row>
    <row x14ac:dyDescent="0.25" r="113" customHeight="1" ht="18.75">
      <c r="A113" s="10" t="s">
        <v>181</v>
      </c>
      <c r="B113" s="11">
        <v>28</v>
      </c>
      <c r="C113" s="3"/>
      <c r="D113" s="3"/>
      <c r="E113" s="5"/>
      <c r="F113" s="3"/>
      <c r="G113" s="3"/>
      <c r="H113" s="5"/>
      <c r="I113" s="5"/>
      <c r="J113" s="5"/>
      <c r="K113" s="5"/>
      <c r="L113" s="6"/>
      <c r="M113" s="6"/>
      <c r="N113" s="7"/>
    </row>
    <row x14ac:dyDescent="0.25" r="114" customHeight="1" ht="18.75">
      <c r="A114" s="10" t="s">
        <v>182</v>
      </c>
      <c r="B114" s="11">
        <v>28</v>
      </c>
      <c r="C114" s="3"/>
      <c r="D114" s="3"/>
      <c r="E114" s="5"/>
      <c r="F114" s="3"/>
      <c r="G114" s="3"/>
      <c r="H114" s="5"/>
      <c r="I114" s="5"/>
      <c r="J114" s="5"/>
      <c r="K114" s="5"/>
      <c r="L114" s="6"/>
      <c r="M114" s="6"/>
      <c r="N114" s="7"/>
    </row>
    <row x14ac:dyDescent="0.25" r="115" customHeight="1" ht="18.75">
      <c r="A115" s="10" t="s">
        <v>183</v>
      </c>
      <c r="B115" s="11">
        <v>28</v>
      </c>
      <c r="C115" s="3"/>
      <c r="D115" s="3"/>
      <c r="E115" s="5"/>
      <c r="F115" s="3"/>
      <c r="G115" s="3"/>
      <c r="H115" s="5"/>
      <c r="I115" s="5"/>
      <c r="J115" s="5"/>
      <c r="K115" s="5"/>
      <c r="L115" s="6"/>
      <c r="M115" s="6"/>
      <c r="N115" s="7"/>
    </row>
    <row x14ac:dyDescent="0.25" r="116" customHeight="1" ht="18.75">
      <c r="A116" s="10" t="s">
        <v>184</v>
      </c>
      <c r="B116" s="11">
        <v>28</v>
      </c>
      <c r="C116" s="3"/>
      <c r="D116" s="3"/>
      <c r="E116" s="5"/>
      <c r="F116" s="3"/>
      <c r="G116" s="3"/>
      <c r="H116" s="5"/>
      <c r="I116" s="5"/>
      <c r="J116" s="5"/>
      <c r="K116" s="5"/>
      <c r="L116" s="6"/>
      <c r="M116" s="6"/>
      <c r="N116" s="7"/>
    </row>
    <row x14ac:dyDescent="0.25" r="117" customHeight="1" ht="18.75">
      <c r="A117" s="10" t="s">
        <v>185</v>
      </c>
      <c r="B117" s="11">
        <v>28</v>
      </c>
      <c r="C117" s="3"/>
      <c r="D117" s="3"/>
      <c r="E117" s="5"/>
      <c r="F117" s="3"/>
      <c r="G117" s="3"/>
      <c r="H117" s="5"/>
      <c r="I117" s="5"/>
      <c r="J117" s="5"/>
      <c r="K117" s="5"/>
      <c r="L117" s="6"/>
      <c r="M117" s="6"/>
      <c r="N117" s="7"/>
    </row>
    <row x14ac:dyDescent="0.25" r="118" customHeight="1" ht="18.75">
      <c r="A118" s="10" t="s">
        <v>186</v>
      </c>
      <c r="B118" s="11">
        <v>29</v>
      </c>
      <c r="C118" s="3"/>
      <c r="D118" s="3"/>
      <c r="E118" s="5"/>
      <c r="F118" s="3"/>
      <c r="G118" s="3"/>
      <c r="H118" s="5"/>
      <c r="I118" s="5"/>
      <c r="J118" s="5"/>
      <c r="K118" s="5"/>
      <c r="L118" s="6"/>
      <c r="M118" s="6"/>
      <c r="N118" s="7"/>
    </row>
    <row x14ac:dyDescent="0.25" r="119" customHeight="1" ht="18.75">
      <c r="A119" s="10" t="s">
        <v>187</v>
      </c>
      <c r="B119" s="11">
        <v>29</v>
      </c>
      <c r="C119" s="3"/>
      <c r="D119" s="3"/>
      <c r="E119" s="5"/>
      <c r="F119" s="3"/>
      <c r="G119" s="3"/>
      <c r="H119" s="5"/>
      <c r="I119" s="5"/>
      <c r="J119" s="5"/>
      <c r="K119" s="5"/>
      <c r="L119" s="6"/>
      <c r="M119" s="6"/>
      <c r="N119" s="7"/>
    </row>
    <row x14ac:dyDescent="0.25" r="120" customHeight="1" ht="18.75">
      <c r="A120" s="10" t="s">
        <v>188</v>
      </c>
      <c r="B120" s="11">
        <v>29</v>
      </c>
      <c r="C120" s="3"/>
      <c r="D120" s="3"/>
      <c r="E120" s="5"/>
      <c r="F120" s="3"/>
      <c r="G120" s="3"/>
      <c r="H120" s="5"/>
      <c r="I120" s="5"/>
      <c r="J120" s="5"/>
      <c r="K120" s="5"/>
      <c r="L120" s="6"/>
      <c r="M120" s="6"/>
      <c r="N120" s="7"/>
    </row>
    <row x14ac:dyDescent="0.25" r="121" customHeight="1" ht="18.75">
      <c r="A121" s="10" t="s">
        <v>189</v>
      </c>
      <c r="B121" s="11">
        <v>29</v>
      </c>
      <c r="C121" s="3"/>
      <c r="D121" s="3"/>
      <c r="E121" s="5"/>
      <c r="F121" s="3"/>
      <c r="G121" s="3"/>
      <c r="H121" s="5"/>
      <c r="I121" s="5"/>
      <c r="J121" s="5"/>
      <c r="K121" s="5"/>
      <c r="L121" s="6"/>
      <c r="M121" s="6"/>
      <c r="N121" s="7"/>
    </row>
    <row x14ac:dyDescent="0.25" r="122" customHeight="1" ht="18.75">
      <c r="A122" s="10" t="s">
        <v>190</v>
      </c>
      <c r="B122" s="11">
        <v>29</v>
      </c>
      <c r="C122" s="3"/>
      <c r="D122" s="3"/>
      <c r="E122" s="5"/>
      <c r="F122" s="3"/>
      <c r="G122" s="3"/>
      <c r="H122" s="5"/>
      <c r="I122" s="5"/>
      <c r="J122" s="5"/>
      <c r="K122" s="5"/>
      <c r="L122" s="6"/>
      <c r="M122" s="6"/>
      <c r="N122" s="7"/>
    </row>
    <row x14ac:dyDescent="0.25" r="123" customHeight="1" ht="18.75">
      <c r="A123" s="10" t="s">
        <v>191</v>
      </c>
      <c r="B123" s="11">
        <v>29</v>
      </c>
      <c r="C123" s="3"/>
      <c r="D123" s="3"/>
      <c r="E123" s="5"/>
      <c r="F123" s="3"/>
      <c r="G123" s="3"/>
      <c r="H123" s="5"/>
      <c r="I123" s="5"/>
      <c r="J123" s="5"/>
      <c r="K123" s="5"/>
      <c r="L123" s="6"/>
      <c r="M123" s="6"/>
      <c r="N123" s="7"/>
    </row>
    <row x14ac:dyDescent="0.25" r="124" customHeight="1" ht="18.75">
      <c r="A124" s="10" t="s">
        <v>192</v>
      </c>
      <c r="B124" s="11">
        <v>29</v>
      </c>
      <c r="C124" s="3"/>
      <c r="D124" s="3"/>
      <c r="E124" s="5"/>
      <c r="F124" s="3"/>
      <c r="G124" s="3"/>
      <c r="H124" s="5"/>
      <c r="I124" s="5"/>
      <c r="J124" s="5"/>
      <c r="K124" s="5"/>
      <c r="L124" s="6"/>
      <c r="M124" s="6"/>
      <c r="N124" s="7"/>
    </row>
    <row x14ac:dyDescent="0.25" r="125" customHeight="1" ht="18.75">
      <c r="A125" s="10" t="s">
        <v>193</v>
      </c>
      <c r="B125" s="11">
        <v>29</v>
      </c>
      <c r="C125" s="3"/>
      <c r="D125" s="3"/>
      <c r="E125" s="5"/>
      <c r="F125" s="3"/>
      <c r="G125" s="3"/>
      <c r="H125" s="5"/>
      <c r="I125" s="5"/>
      <c r="J125" s="5"/>
      <c r="K125" s="5"/>
      <c r="L125" s="6"/>
      <c r="M125" s="6"/>
      <c r="N125" s="7"/>
    </row>
    <row x14ac:dyDescent="0.25" r="126" customHeight="1" ht="18.75">
      <c r="A126" s="10" t="s">
        <v>194</v>
      </c>
      <c r="B126" s="11">
        <v>29</v>
      </c>
      <c r="C126" s="3"/>
      <c r="D126" s="3"/>
      <c r="E126" s="5"/>
      <c r="F126" s="3"/>
      <c r="G126" s="3"/>
      <c r="H126" s="5"/>
      <c r="I126" s="5"/>
      <c r="J126" s="5"/>
      <c r="K126" s="5"/>
      <c r="L126" s="6"/>
      <c r="M126" s="6"/>
      <c r="N126" s="7"/>
    </row>
    <row x14ac:dyDescent="0.25" r="127" customHeight="1" ht="18.75">
      <c r="A127" s="10" t="s">
        <v>195</v>
      </c>
      <c r="B127" s="11">
        <v>29</v>
      </c>
      <c r="C127" s="3"/>
      <c r="D127" s="3"/>
      <c r="E127" s="5"/>
      <c r="F127" s="3"/>
      <c r="G127" s="3"/>
      <c r="H127" s="5"/>
      <c r="I127" s="5"/>
      <c r="J127" s="5"/>
      <c r="K127" s="5"/>
      <c r="L127" s="6"/>
      <c r="M127" s="6"/>
      <c r="N127" s="7"/>
    </row>
    <row x14ac:dyDescent="0.25" r="128" customHeight="1" ht="18.75">
      <c r="A128" s="10" t="s">
        <v>196</v>
      </c>
      <c r="B128" s="11">
        <v>29</v>
      </c>
      <c r="C128" s="3"/>
      <c r="D128" s="3"/>
      <c r="E128" s="5"/>
      <c r="F128" s="3"/>
      <c r="G128" s="3"/>
      <c r="H128" s="5"/>
      <c r="I128" s="5"/>
      <c r="J128" s="5"/>
      <c r="K128" s="5"/>
      <c r="L128" s="6"/>
      <c r="M128" s="6"/>
      <c r="N128" s="7"/>
    </row>
    <row x14ac:dyDescent="0.25" r="129" customHeight="1" ht="18.75">
      <c r="A129" s="10" t="s">
        <v>197</v>
      </c>
      <c r="B129" s="11">
        <v>29</v>
      </c>
      <c r="C129" s="3"/>
      <c r="D129" s="3"/>
      <c r="E129" s="5"/>
      <c r="F129" s="3"/>
      <c r="G129" s="3"/>
      <c r="H129" s="5"/>
      <c r="I129" s="5"/>
      <c r="J129" s="5"/>
      <c r="K129" s="5"/>
      <c r="L129" s="6"/>
      <c r="M129" s="6"/>
      <c r="N129" s="7"/>
    </row>
    <row x14ac:dyDescent="0.25" r="130" customHeight="1" ht="18.75">
      <c r="A130" s="10" t="s">
        <v>198</v>
      </c>
      <c r="B130" s="11">
        <v>29</v>
      </c>
      <c r="C130" s="3"/>
      <c r="D130" s="3"/>
      <c r="E130" s="5"/>
      <c r="F130" s="3"/>
      <c r="G130" s="3"/>
      <c r="H130" s="5"/>
      <c r="I130" s="5"/>
      <c r="J130" s="5"/>
      <c r="K130" s="5"/>
      <c r="L130" s="6"/>
      <c r="M130" s="6"/>
      <c r="N130" s="7"/>
    </row>
    <row x14ac:dyDescent="0.25" r="131" customHeight="1" ht="18.75">
      <c r="A131" s="10" t="s">
        <v>199</v>
      </c>
      <c r="B131" s="11">
        <v>29</v>
      </c>
      <c r="C131" s="3"/>
      <c r="D131" s="3"/>
      <c r="E131" s="5"/>
      <c r="F131" s="3"/>
      <c r="G131" s="3"/>
      <c r="H131" s="5"/>
      <c r="I131" s="5"/>
      <c r="J131" s="5"/>
      <c r="K131" s="5"/>
      <c r="L131" s="6"/>
      <c r="M131" s="6"/>
      <c r="N131" s="7"/>
    </row>
    <row x14ac:dyDescent="0.25" r="132" customHeight="1" ht="18.75">
      <c r="A132" s="10" t="s">
        <v>200</v>
      </c>
      <c r="B132" s="11">
        <v>29</v>
      </c>
      <c r="C132" s="3"/>
      <c r="D132" s="3"/>
      <c r="E132" s="5"/>
      <c r="F132" s="3"/>
      <c r="G132" s="3"/>
      <c r="H132" s="5"/>
      <c r="I132" s="5"/>
      <c r="J132" s="5"/>
      <c r="K132" s="5"/>
      <c r="L132" s="6"/>
      <c r="M132" s="6"/>
      <c r="N132" s="7"/>
    </row>
    <row x14ac:dyDescent="0.25" r="133" customHeight="1" ht="18.75">
      <c r="A133" s="10" t="s">
        <v>201</v>
      </c>
      <c r="B133" s="11">
        <v>29</v>
      </c>
      <c r="C133" s="3"/>
      <c r="D133" s="3"/>
      <c r="E133" s="5"/>
      <c r="F133" s="3"/>
      <c r="G133" s="3"/>
      <c r="H133" s="5"/>
      <c r="I133" s="5"/>
      <c r="J133" s="5"/>
      <c r="K133" s="5"/>
      <c r="L133" s="6"/>
      <c r="M133" s="6"/>
      <c r="N133" s="7"/>
    </row>
    <row x14ac:dyDescent="0.25" r="134" customHeight="1" ht="18.75">
      <c r="A134" s="10" t="s">
        <v>202</v>
      </c>
      <c r="B134" s="11">
        <v>29</v>
      </c>
      <c r="C134" s="3"/>
      <c r="D134" s="3"/>
      <c r="E134" s="5"/>
      <c r="F134" s="3"/>
      <c r="G134" s="3"/>
      <c r="H134" s="5"/>
      <c r="I134" s="5"/>
      <c r="J134" s="5"/>
      <c r="K134" s="5"/>
      <c r="L134" s="6"/>
      <c r="M134" s="6"/>
      <c r="N134" s="7"/>
    </row>
    <row x14ac:dyDescent="0.25" r="135" customHeight="1" ht="18.75">
      <c r="A135" s="10" t="s">
        <v>203</v>
      </c>
      <c r="B135" s="11">
        <v>29</v>
      </c>
      <c r="C135" s="3"/>
      <c r="D135" s="3"/>
      <c r="E135" s="5"/>
      <c r="F135" s="3"/>
      <c r="G135" s="3"/>
      <c r="H135" s="5"/>
      <c r="I135" s="5"/>
      <c r="J135" s="5"/>
      <c r="K135" s="5"/>
      <c r="L135" s="6"/>
      <c r="M135" s="6"/>
      <c r="N135" s="7"/>
    </row>
    <row x14ac:dyDescent="0.25" r="136" customHeight="1" ht="18.75">
      <c r="A136" s="10" t="s">
        <v>204</v>
      </c>
      <c r="B136" s="11">
        <v>29</v>
      </c>
      <c r="C136" s="3"/>
      <c r="D136" s="3"/>
      <c r="E136" s="5"/>
      <c r="F136" s="3"/>
      <c r="G136" s="3"/>
      <c r="H136" s="5"/>
      <c r="I136" s="5"/>
      <c r="J136" s="5"/>
      <c r="K136" s="5"/>
      <c r="L136" s="6"/>
      <c r="M136" s="6"/>
      <c r="N136" s="7"/>
    </row>
    <row x14ac:dyDescent="0.25" r="137" customHeight="1" ht="18.75">
      <c r="A137" s="10" t="s">
        <v>205</v>
      </c>
      <c r="B137" s="11">
        <v>29</v>
      </c>
      <c r="C137" s="3"/>
      <c r="D137" s="3"/>
      <c r="E137" s="5"/>
      <c r="F137" s="3"/>
      <c r="G137" s="3"/>
      <c r="H137" s="5"/>
      <c r="I137" s="5"/>
      <c r="J137" s="5"/>
      <c r="K137" s="5"/>
      <c r="L137" s="6"/>
      <c r="M137" s="6"/>
      <c r="N137" s="7"/>
    </row>
    <row x14ac:dyDescent="0.25" r="138" customHeight="1" ht="18.75">
      <c r="A138" s="10" t="s">
        <v>206</v>
      </c>
      <c r="B138" s="11">
        <v>29</v>
      </c>
      <c r="C138" s="3"/>
      <c r="D138" s="3"/>
      <c r="E138" s="5"/>
      <c r="F138" s="3"/>
      <c r="G138" s="3"/>
      <c r="H138" s="5"/>
      <c r="I138" s="5"/>
      <c r="J138" s="5"/>
      <c r="K138" s="5"/>
      <c r="L138" s="6"/>
      <c r="M138" s="6"/>
      <c r="N138" s="7"/>
    </row>
    <row x14ac:dyDescent="0.25" r="139" customHeight="1" ht="18.75">
      <c r="A139" s="10" t="s">
        <v>207</v>
      </c>
      <c r="B139" s="11">
        <v>29</v>
      </c>
      <c r="C139" s="3"/>
      <c r="D139" s="3"/>
      <c r="E139" s="5"/>
      <c r="F139" s="3"/>
      <c r="G139" s="3"/>
      <c r="H139" s="5"/>
      <c r="I139" s="5"/>
      <c r="J139" s="5"/>
      <c r="K139" s="5"/>
      <c r="L139" s="6"/>
      <c r="M139" s="6"/>
      <c r="N139" s="7"/>
    </row>
    <row x14ac:dyDescent="0.25" r="140" customHeight="1" ht="18.75">
      <c r="A140" s="10" t="s">
        <v>208</v>
      </c>
      <c r="B140" s="11">
        <v>29</v>
      </c>
      <c r="C140" s="3"/>
      <c r="D140" s="3"/>
      <c r="E140" s="5"/>
      <c r="F140" s="3"/>
      <c r="G140" s="3"/>
      <c r="H140" s="5"/>
      <c r="I140" s="5"/>
      <c r="J140" s="5"/>
      <c r="K140" s="5"/>
      <c r="L140" s="6"/>
      <c r="M140" s="6"/>
      <c r="N140" s="7"/>
    </row>
    <row x14ac:dyDescent="0.25" r="141" customHeight="1" ht="18.75">
      <c r="A141" s="10" t="s">
        <v>209</v>
      </c>
      <c r="B141" s="11">
        <v>29</v>
      </c>
      <c r="C141" s="3"/>
      <c r="D141" s="3"/>
      <c r="E141" s="5"/>
      <c r="F141" s="3"/>
      <c r="G141" s="3"/>
      <c r="H141" s="5"/>
      <c r="I141" s="5"/>
      <c r="J141" s="5"/>
      <c r="K141" s="5"/>
      <c r="L141" s="6"/>
      <c r="M141" s="6"/>
      <c r="N141" s="7"/>
    </row>
    <row x14ac:dyDescent="0.25" r="142" customHeight="1" ht="18.75">
      <c r="A142" s="10" t="s">
        <v>210</v>
      </c>
      <c r="B142" s="11">
        <v>29</v>
      </c>
      <c r="C142" s="3"/>
      <c r="D142" s="3"/>
      <c r="E142" s="5"/>
      <c r="F142" s="3"/>
      <c r="G142" s="3"/>
      <c r="H142" s="5"/>
      <c r="I142" s="5"/>
      <c r="J142" s="5"/>
      <c r="K142" s="5"/>
      <c r="L142" s="6"/>
      <c r="M142" s="6"/>
      <c r="N142" s="7"/>
    </row>
    <row x14ac:dyDescent="0.25" r="143" customHeight="1" ht="18.75">
      <c r="A143" s="10" t="s">
        <v>211</v>
      </c>
      <c r="B143" s="11">
        <v>29</v>
      </c>
      <c r="C143" s="3"/>
      <c r="D143" s="3"/>
      <c r="E143" s="5"/>
      <c r="F143" s="3"/>
      <c r="G143" s="3"/>
      <c r="H143" s="5"/>
      <c r="I143" s="5"/>
      <c r="J143" s="5"/>
      <c r="K143" s="5"/>
      <c r="L143" s="6"/>
      <c r="M143" s="6"/>
      <c r="N143" s="7"/>
    </row>
    <row x14ac:dyDescent="0.25" r="144" customHeight="1" ht="18.75">
      <c r="A144" s="10" t="s">
        <v>212</v>
      </c>
      <c r="B144" s="11">
        <v>30</v>
      </c>
      <c r="C144" s="3"/>
      <c r="D144" s="3"/>
      <c r="E144" s="5"/>
      <c r="F144" s="3"/>
      <c r="G144" s="3"/>
      <c r="H144" s="5"/>
      <c r="I144" s="5"/>
      <c r="J144" s="5"/>
      <c r="K144" s="5"/>
      <c r="L144" s="6"/>
      <c r="M144" s="6"/>
      <c r="N144" s="7"/>
    </row>
    <row x14ac:dyDescent="0.25" r="145" customHeight="1" ht="18.75">
      <c r="A145" s="10" t="s">
        <v>213</v>
      </c>
      <c r="B145" s="11">
        <v>30</v>
      </c>
      <c r="C145" s="3"/>
      <c r="D145" s="3"/>
      <c r="E145" s="5"/>
      <c r="F145" s="3"/>
      <c r="G145" s="3"/>
      <c r="H145" s="5"/>
      <c r="I145" s="5"/>
      <c r="J145" s="5"/>
      <c r="K145" s="5"/>
      <c r="L145" s="6"/>
      <c r="M145" s="6"/>
      <c r="N145" s="7"/>
    </row>
    <row x14ac:dyDescent="0.25" r="146" customHeight="1" ht="18.75">
      <c r="A146" s="10" t="s">
        <v>214</v>
      </c>
      <c r="B146" s="11">
        <v>30</v>
      </c>
      <c r="C146" s="3"/>
      <c r="D146" s="3"/>
      <c r="E146" s="5"/>
      <c r="F146" s="3"/>
      <c r="G146" s="3"/>
      <c r="H146" s="5"/>
      <c r="I146" s="5"/>
      <c r="J146" s="5"/>
      <c r="K146" s="5"/>
      <c r="L146" s="6"/>
      <c r="M146" s="6"/>
      <c r="N146" s="7"/>
    </row>
    <row x14ac:dyDescent="0.25" r="147" customHeight="1" ht="18.75">
      <c r="A147" s="10" t="s">
        <v>215</v>
      </c>
      <c r="B147" s="11">
        <v>30</v>
      </c>
      <c r="C147" s="3"/>
      <c r="D147" s="3"/>
      <c r="E147" s="5"/>
      <c r="F147" s="3"/>
      <c r="G147" s="3"/>
      <c r="H147" s="5"/>
      <c r="I147" s="5"/>
      <c r="J147" s="5"/>
      <c r="K147" s="5"/>
      <c r="L147" s="6"/>
      <c r="M147" s="6"/>
      <c r="N147" s="7"/>
    </row>
    <row x14ac:dyDescent="0.25" r="148" customHeight="1" ht="18.75">
      <c r="A148" s="10" t="s">
        <v>216</v>
      </c>
      <c r="B148" s="11">
        <v>30</v>
      </c>
      <c r="C148" s="3"/>
      <c r="D148" s="3"/>
      <c r="E148" s="5"/>
      <c r="F148" s="3"/>
      <c r="G148" s="3"/>
      <c r="H148" s="5"/>
      <c r="I148" s="5"/>
      <c r="J148" s="5"/>
      <c r="K148" s="5"/>
      <c r="L148" s="6"/>
      <c r="M148" s="6"/>
      <c r="N148" s="7"/>
    </row>
    <row x14ac:dyDescent="0.25" r="149" customHeight="1" ht="18.75">
      <c r="A149" s="10" t="s">
        <v>217</v>
      </c>
      <c r="B149" s="11">
        <v>30</v>
      </c>
      <c r="C149" s="3"/>
      <c r="D149" s="3"/>
      <c r="E149" s="5"/>
      <c r="F149" s="3"/>
      <c r="G149" s="3"/>
      <c r="H149" s="5"/>
      <c r="I149" s="5"/>
      <c r="J149" s="5"/>
      <c r="K149" s="5"/>
      <c r="L149" s="6"/>
      <c r="M149" s="6"/>
      <c r="N149" s="7"/>
    </row>
    <row x14ac:dyDescent="0.25" r="150" customHeight="1" ht="18.75">
      <c r="A150" s="10" t="s">
        <v>218</v>
      </c>
      <c r="B150" s="11">
        <v>30</v>
      </c>
      <c r="C150" s="3"/>
      <c r="D150" s="3"/>
      <c r="E150" s="5"/>
      <c r="F150" s="3"/>
      <c r="G150" s="3"/>
      <c r="H150" s="5"/>
      <c r="I150" s="5"/>
      <c r="J150" s="5"/>
      <c r="K150" s="5"/>
      <c r="L150" s="6"/>
      <c r="M150" s="6"/>
      <c r="N150" s="7"/>
    </row>
    <row x14ac:dyDescent="0.25" r="151" customHeight="1" ht="18.75">
      <c r="A151" s="10" t="s">
        <v>219</v>
      </c>
      <c r="B151" s="11">
        <v>30</v>
      </c>
      <c r="C151" s="3"/>
      <c r="D151" s="3"/>
      <c r="E151" s="5"/>
      <c r="F151" s="3"/>
      <c r="G151" s="3"/>
      <c r="H151" s="5"/>
      <c r="I151" s="5"/>
      <c r="J151" s="5"/>
      <c r="K151" s="5"/>
      <c r="L151" s="6"/>
      <c r="M151" s="6"/>
      <c r="N151" s="7"/>
    </row>
    <row x14ac:dyDescent="0.25" r="152" customHeight="1" ht="18.75">
      <c r="A152" s="10" t="s">
        <v>220</v>
      </c>
      <c r="B152" s="11">
        <v>30</v>
      </c>
      <c r="C152" s="3"/>
      <c r="D152" s="3"/>
      <c r="E152" s="5"/>
      <c r="F152" s="3"/>
      <c r="G152" s="3"/>
      <c r="H152" s="5"/>
      <c r="I152" s="5"/>
      <c r="J152" s="5"/>
      <c r="K152" s="5"/>
      <c r="L152" s="6"/>
      <c r="M152" s="6"/>
      <c r="N152" s="7"/>
    </row>
    <row x14ac:dyDescent="0.25" r="153" customHeight="1" ht="18.75">
      <c r="A153" s="10" t="s">
        <v>221</v>
      </c>
      <c r="B153" s="11">
        <v>30</v>
      </c>
      <c r="C153" s="3"/>
      <c r="D153" s="3"/>
      <c r="E153" s="5"/>
      <c r="F153" s="3"/>
      <c r="G153" s="3"/>
      <c r="H153" s="5"/>
      <c r="I153" s="5"/>
      <c r="J153" s="5"/>
      <c r="K153" s="5"/>
      <c r="L153" s="6"/>
      <c r="M153" s="6"/>
      <c r="N153" s="7"/>
    </row>
    <row x14ac:dyDescent="0.25" r="154" customHeight="1" ht="18.75">
      <c r="A154" s="10" t="s">
        <v>222</v>
      </c>
      <c r="B154" s="11">
        <v>30</v>
      </c>
      <c r="C154" s="3"/>
      <c r="D154" s="3"/>
      <c r="E154" s="5"/>
      <c r="F154" s="3"/>
      <c r="G154" s="3"/>
      <c r="H154" s="5"/>
      <c r="I154" s="5"/>
      <c r="J154" s="5"/>
      <c r="K154" s="5"/>
      <c r="L154" s="6"/>
      <c r="M154" s="6"/>
      <c r="N154" s="7"/>
    </row>
    <row x14ac:dyDescent="0.25" r="155" customHeight="1" ht="18.75">
      <c r="A155" s="10" t="s">
        <v>223</v>
      </c>
      <c r="B155" s="11">
        <v>30</v>
      </c>
      <c r="C155" s="3"/>
      <c r="D155" s="3"/>
      <c r="E155" s="5"/>
      <c r="F155" s="3"/>
      <c r="G155" s="3"/>
      <c r="H155" s="5"/>
      <c r="I155" s="5"/>
      <c r="J155" s="5"/>
      <c r="K155" s="5"/>
      <c r="L155" s="6"/>
      <c r="M155" s="6"/>
      <c r="N155" s="7"/>
    </row>
    <row x14ac:dyDescent="0.25" r="156" customHeight="1" ht="18.75">
      <c r="A156" s="10" t="s">
        <v>224</v>
      </c>
      <c r="B156" s="11">
        <v>30</v>
      </c>
      <c r="C156" s="3"/>
      <c r="D156" s="3"/>
      <c r="E156" s="5"/>
      <c r="F156" s="3"/>
      <c r="G156" s="3"/>
      <c r="H156" s="5"/>
      <c r="I156" s="5"/>
      <c r="J156" s="5"/>
      <c r="K156" s="5"/>
      <c r="L156" s="6"/>
      <c r="M156" s="6"/>
      <c r="N156" s="7"/>
    </row>
    <row x14ac:dyDescent="0.25" r="157" customHeight="1" ht="18.75">
      <c r="A157" s="10" t="s">
        <v>225</v>
      </c>
      <c r="B157" s="11">
        <v>30</v>
      </c>
      <c r="C157" s="3"/>
      <c r="D157" s="3"/>
      <c r="E157" s="5"/>
      <c r="F157" s="3"/>
      <c r="G157" s="3"/>
      <c r="H157" s="5"/>
      <c r="I157" s="5"/>
      <c r="J157" s="5"/>
      <c r="K157" s="5"/>
      <c r="L157" s="6"/>
      <c r="M157" s="6"/>
      <c r="N157" s="7"/>
    </row>
    <row x14ac:dyDescent="0.25" r="158" customHeight="1" ht="18.75">
      <c r="A158" s="10" t="s">
        <v>226</v>
      </c>
      <c r="B158" s="11">
        <v>30</v>
      </c>
      <c r="C158" s="3"/>
      <c r="D158" s="3"/>
      <c r="E158" s="5"/>
      <c r="F158" s="3"/>
      <c r="G158" s="3"/>
      <c r="H158" s="5"/>
      <c r="I158" s="5"/>
      <c r="J158" s="5"/>
      <c r="K158" s="5"/>
      <c r="L158" s="6"/>
      <c r="M158" s="6"/>
      <c r="N158" s="7"/>
    </row>
    <row x14ac:dyDescent="0.25" r="159" customHeight="1" ht="18.75">
      <c r="A159" s="10" t="s">
        <v>227</v>
      </c>
      <c r="B159" s="11">
        <v>30</v>
      </c>
      <c r="C159" s="3"/>
      <c r="D159" s="3"/>
      <c r="E159" s="5"/>
      <c r="F159" s="3"/>
      <c r="G159" s="3"/>
      <c r="H159" s="5"/>
      <c r="I159" s="5"/>
      <c r="J159" s="5"/>
      <c r="K159" s="5"/>
      <c r="L159" s="6"/>
      <c r="M159" s="6"/>
      <c r="N159" s="7"/>
    </row>
    <row x14ac:dyDescent="0.25" r="160" customHeight="1" ht="18.75">
      <c r="A160" s="10" t="s">
        <v>228</v>
      </c>
      <c r="B160" s="11">
        <v>30</v>
      </c>
      <c r="C160" s="3"/>
      <c r="D160" s="3"/>
      <c r="E160" s="5"/>
      <c r="F160" s="3"/>
      <c r="G160" s="3"/>
      <c r="H160" s="5"/>
      <c r="I160" s="5"/>
      <c r="J160" s="5"/>
      <c r="K160" s="5"/>
      <c r="L160" s="6"/>
      <c r="M160" s="6"/>
      <c r="N160" s="7"/>
    </row>
    <row x14ac:dyDescent="0.25" r="161" customHeight="1" ht="18.75">
      <c r="A161" s="10" t="s">
        <v>229</v>
      </c>
      <c r="B161" s="11">
        <v>30</v>
      </c>
      <c r="C161" s="3"/>
      <c r="D161" s="3"/>
      <c r="E161" s="5"/>
      <c r="F161" s="3"/>
      <c r="G161" s="3"/>
      <c r="H161" s="5"/>
      <c r="I161" s="5"/>
      <c r="J161" s="5"/>
      <c r="K161" s="5"/>
      <c r="L161" s="6"/>
      <c r="M161" s="6"/>
      <c r="N161" s="7"/>
    </row>
    <row x14ac:dyDescent="0.25" r="162" customHeight="1" ht="18.75">
      <c r="A162" s="10" t="s">
        <v>230</v>
      </c>
      <c r="B162" s="11">
        <v>30</v>
      </c>
      <c r="C162" s="3"/>
      <c r="D162" s="3"/>
      <c r="E162" s="5"/>
      <c r="F162" s="3"/>
      <c r="G162" s="3"/>
      <c r="H162" s="5"/>
      <c r="I162" s="5"/>
      <c r="J162" s="5"/>
      <c r="K162" s="5"/>
      <c r="L162" s="6"/>
      <c r="M162" s="6"/>
      <c r="N162" s="7"/>
    </row>
    <row x14ac:dyDescent="0.25" r="163" customHeight="1" ht="18.75">
      <c r="A163" s="10" t="s">
        <v>231</v>
      </c>
      <c r="B163" s="11">
        <v>30</v>
      </c>
      <c r="C163" s="3"/>
      <c r="D163" s="3"/>
      <c r="E163" s="5"/>
      <c r="F163" s="3"/>
      <c r="G163" s="3"/>
      <c r="H163" s="5"/>
      <c r="I163" s="5"/>
      <c r="J163" s="5"/>
      <c r="K163" s="5"/>
      <c r="L163" s="6"/>
      <c r="M163" s="6"/>
      <c r="N163" s="7"/>
    </row>
    <row x14ac:dyDescent="0.25" r="164" customHeight="1" ht="18.75">
      <c r="A164" s="10" t="s">
        <v>232</v>
      </c>
      <c r="B164" s="11">
        <v>30</v>
      </c>
      <c r="C164" s="3"/>
      <c r="D164" s="3"/>
      <c r="E164" s="5"/>
      <c r="F164" s="3"/>
      <c r="G164" s="3"/>
      <c r="H164" s="5"/>
      <c r="I164" s="5"/>
      <c r="J164" s="5"/>
      <c r="K164" s="5"/>
      <c r="L164" s="6"/>
      <c r="M164" s="6"/>
      <c r="N164" s="7"/>
    </row>
    <row x14ac:dyDescent="0.25" r="165" customHeight="1" ht="18.75">
      <c r="A165" s="10" t="s">
        <v>233</v>
      </c>
      <c r="B165" s="11">
        <v>30</v>
      </c>
      <c r="C165" s="3"/>
      <c r="D165" s="3"/>
      <c r="E165" s="5"/>
      <c r="F165" s="3"/>
      <c r="G165" s="3"/>
      <c r="H165" s="5"/>
      <c r="I165" s="5"/>
      <c r="J165" s="5"/>
      <c r="K165" s="5"/>
      <c r="L165" s="6"/>
      <c r="M165" s="6"/>
      <c r="N165" s="7"/>
    </row>
    <row x14ac:dyDescent="0.25" r="166" customHeight="1" ht="18.75">
      <c r="A166" s="10" t="s">
        <v>234</v>
      </c>
      <c r="B166" s="11">
        <v>30</v>
      </c>
      <c r="C166" s="3"/>
      <c r="D166" s="3"/>
      <c r="E166" s="5"/>
      <c r="F166" s="3"/>
      <c r="G166" s="3"/>
      <c r="H166" s="5"/>
      <c r="I166" s="5"/>
      <c r="J166" s="5"/>
      <c r="K166" s="5"/>
      <c r="L166" s="6"/>
      <c r="M166" s="6"/>
      <c r="N166" s="7"/>
    </row>
    <row x14ac:dyDescent="0.25" r="167" customHeight="1" ht="18.75">
      <c r="A167" s="10" t="s">
        <v>235</v>
      </c>
      <c r="B167" s="11">
        <v>30</v>
      </c>
      <c r="C167" s="3"/>
      <c r="D167" s="3"/>
      <c r="E167" s="5"/>
      <c r="F167" s="3"/>
      <c r="G167" s="3"/>
      <c r="H167" s="5"/>
      <c r="I167" s="5"/>
      <c r="J167" s="5"/>
      <c r="K167" s="5"/>
      <c r="L167" s="6"/>
      <c r="M167" s="6"/>
      <c r="N167" s="7"/>
    </row>
    <row x14ac:dyDescent="0.25" r="168" customHeight="1" ht="18.75">
      <c r="A168" s="10" t="s">
        <v>236</v>
      </c>
      <c r="B168" s="11">
        <v>30</v>
      </c>
      <c r="C168" s="3"/>
      <c r="D168" s="3"/>
      <c r="E168" s="5"/>
      <c r="F168" s="3"/>
      <c r="G168" s="3"/>
      <c r="H168" s="5"/>
      <c r="I168" s="5"/>
      <c r="J168" s="5"/>
      <c r="K168" s="5"/>
      <c r="L168" s="6"/>
      <c r="M168" s="6"/>
      <c r="N168" s="7"/>
    </row>
    <row x14ac:dyDescent="0.25" r="169" customHeight="1" ht="18.75">
      <c r="A169" s="10" t="s">
        <v>237</v>
      </c>
      <c r="B169" s="11">
        <v>30</v>
      </c>
      <c r="C169" s="3"/>
      <c r="D169" s="3"/>
      <c r="E169" s="5"/>
      <c r="F169" s="3"/>
      <c r="G169" s="3"/>
      <c r="H169" s="5"/>
      <c r="I169" s="5"/>
      <c r="J169" s="5"/>
      <c r="K169" s="5"/>
      <c r="L169" s="6"/>
      <c r="M169" s="6"/>
      <c r="N169" s="7"/>
    </row>
    <row x14ac:dyDescent="0.25" r="170" customHeight="1" ht="18.75">
      <c r="A170" s="10" t="s">
        <v>238</v>
      </c>
      <c r="B170" s="11">
        <v>30</v>
      </c>
      <c r="C170" s="3"/>
      <c r="D170" s="3"/>
      <c r="E170" s="5"/>
      <c r="F170" s="3"/>
      <c r="G170" s="3"/>
      <c r="H170" s="5"/>
      <c r="I170" s="5"/>
      <c r="J170" s="5"/>
      <c r="K170" s="5"/>
      <c r="L170" s="6"/>
      <c r="M170" s="6"/>
      <c r="N170" s="7"/>
    </row>
    <row x14ac:dyDescent="0.25" r="171" customHeight="1" ht="18.75">
      <c r="A171" s="10" t="s">
        <v>239</v>
      </c>
      <c r="B171" s="11">
        <v>30</v>
      </c>
      <c r="C171" s="3"/>
      <c r="D171" s="3"/>
      <c r="E171" s="5"/>
      <c r="F171" s="3"/>
      <c r="G171" s="3"/>
      <c r="H171" s="5"/>
      <c r="I171" s="5"/>
      <c r="J171" s="5"/>
      <c r="K171" s="5"/>
      <c r="L171" s="6"/>
      <c r="M171" s="6"/>
      <c r="N171" s="7"/>
    </row>
    <row x14ac:dyDescent="0.25" r="172" customHeight="1" ht="18.75">
      <c r="A172" s="10" t="s">
        <v>240</v>
      </c>
      <c r="B172" s="11">
        <v>30</v>
      </c>
      <c r="C172" s="3"/>
      <c r="D172" s="3"/>
      <c r="E172" s="5"/>
      <c r="F172" s="3"/>
      <c r="G172" s="3"/>
      <c r="H172" s="5"/>
      <c r="I172" s="5"/>
      <c r="J172" s="5"/>
      <c r="K172" s="5"/>
      <c r="L172" s="6"/>
      <c r="M172" s="6"/>
      <c r="N172" s="7"/>
    </row>
    <row x14ac:dyDescent="0.25" r="173" customHeight="1" ht="18.75">
      <c r="A173" s="10" t="s">
        <v>241</v>
      </c>
      <c r="B173" s="11">
        <v>31</v>
      </c>
      <c r="C173" s="3"/>
      <c r="D173" s="3"/>
      <c r="E173" s="5"/>
      <c r="F173" s="3"/>
      <c r="G173" s="3"/>
      <c r="H173" s="5"/>
      <c r="I173" s="5"/>
      <c r="J173" s="5"/>
      <c r="K173" s="5"/>
      <c r="L173" s="6"/>
      <c r="M173" s="6"/>
      <c r="N173" s="7"/>
    </row>
    <row x14ac:dyDescent="0.25" r="174" customHeight="1" ht="18.75">
      <c r="A174" s="10" t="s">
        <v>242</v>
      </c>
      <c r="B174" s="11">
        <v>31</v>
      </c>
      <c r="C174" s="3"/>
      <c r="D174" s="3"/>
      <c r="E174" s="5"/>
      <c r="F174" s="3"/>
      <c r="G174" s="3"/>
      <c r="H174" s="5"/>
      <c r="I174" s="5"/>
      <c r="J174" s="5"/>
      <c r="K174" s="5"/>
      <c r="L174" s="6"/>
      <c r="M174" s="6"/>
      <c r="N174" s="7"/>
    </row>
    <row x14ac:dyDescent="0.25" r="175" customHeight="1" ht="18.75">
      <c r="A175" s="10" t="s">
        <v>243</v>
      </c>
      <c r="B175" s="11">
        <v>31</v>
      </c>
      <c r="C175" s="3"/>
      <c r="D175" s="3"/>
      <c r="E175" s="5"/>
      <c r="F175" s="3"/>
      <c r="G175" s="3"/>
      <c r="H175" s="5"/>
      <c r="I175" s="5"/>
      <c r="J175" s="5"/>
      <c r="K175" s="5"/>
      <c r="L175" s="6"/>
      <c r="M175" s="6"/>
      <c r="N175" s="7"/>
    </row>
    <row x14ac:dyDescent="0.25" r="176" customHeight="1" ht="18.75">
      <c r="A176" s="10" t="s">
        <v>244</v>
      </c>
      <c r="B176" s="11">
        <v>31</v>
      </c>
      <c r="C176" s="3"/>
      <c r="D176" s="3"/>
      <c r="E176" s="5"/>
      <c r="F176" s="3"/>
      <c r="G176" s="3"/>
      <c r="H176" s="5"/>
      <c r="I176" s="5"/>
      <c r="J176" s="5"/>
      <c r="K176" s="5"/>
      <c r="L176" s="6"/>
      <c r="M176" s="6"/>
      <c r="N176" s="7"/>
    </row>
    <row x14ac:dyDescent="0.25" r="177" customHeight="1" ht="18.75">
      <c r="A177" s="10" t="s">
        <v>245</v>
      </c>
      <c r="B177" s="11">
        <v>31</v>
      </c>
      <c r="C177" s="3"/>
      <c r="D177" s="3"/>
      <c r="E177" s="5"/>
      <c r="F177" s="3"/>
      <c r="G177" s="3"/>
      <c r="H177" s="5"/>
      <c r="I177" s="5"/>
      <c r="J177" s="5"/>
      <c r="K177" s="5"/>
      <c r="L177" s="6"/>
      <c r="M177" s="6"/>
      <c r="N177" s="7"/>
    </row>
    <row x14ac:dyDescent="0.25" r="178" customHeight="1" ht="18.75">
      <c r="A178" s="10" t="s">
        <v>246</v>
      </c>
      <c r="B178" s="11">
        <v>31</v>
      </c>
      <c r="C178" s="3"/>
      <c r="D178" s="3"/>
      <c r="E178" s="5"/>
      <c r="F178" s="3"/>
      <c r="G178" s="3"/>
      <c r="H178" s="5"/>
      <c r="I178" s="5"/>
      <c r="J178" s="5"/>
      <c r="K178" s="5"/>
      <c r="L178" s="6"/>
      <c r="M178" s="6"/>
      <c r="N178" s="7"/>
    </row>
    <row x14ac:dyDescent="0.25" r="179" customHeight="1" ht="18.75">
      <c r="A179" s="10" t="s">
        <v>247</v>
      </c>
      <c r="B179" s="11">
        <v>31</v>
      </c>
      <c r="C179" s="3"/>
      <c r="D179" s="3"/>
      <c r="E179" s="5"/>
      <c r="F179" s="3"/>
      <c r="G179" s="3"/>
      <c r="H179" s="5"/>
      <c r="I179" s="5"/>
      <c r="J179" s="5"/>
      <c r="K179" s="5"/>
      <c r="L179" s="6"/>
      <c r="M179" s="6"/>
      <c r="N179" s="7"/>
    </row>
    <row x14ac:dyDescent="0.25" r="180" customHeight="1" ht="18.75">
      <c r="A180" s="10" t="s">
        <v>248</v>
      </c>
      <c r="B180" s="11">
        <v>31</v>
      </c>
      <c r="C180" s="3"/>
      <c r="D180" s="3"/>
      <c r="E180" s="5"/>
      <c r="F180" s="3"/>
      <c r="G180" s="3"/>
      <c r="H180" s="5"/>
      <c r="I180" s="5"/>
      <c r="J180" s="5"/>
      <c r="K180" s="5"/>
      <c r="L180" s="6"/>
      <c r="M180" s="6"/>
      <c r="N180" s="7"/>
    </row>
    <row x14ac:dyDescent="0.25" r="181" customHeight="1" ht="18.75">
      <c r="A181" s="10" t="s">
        <v>249</v>
      </c>
      <c r="B181" s="11">
        <v>31</v>
      </c>
      <c r="C181" s="3"/>
      <c r="D181" s="3"/>
      <c r="E181" s="5"/>
      <c r="F181" s="3"/>
      <c r="G181" s="3"/>
      <c r="H181" s="5"/>
      <c r="I181" s="5"/>
      <c r="J181" s="5"/>
      <c r="K181" s="5"/>
      <c r="L181" s="6"/>
      <c r="M181" s="6"/>
      <c r="N181" s="7"/>
    </row>
    <row x14ac:dyDescent="0.25" r="182" customHeight="1" ht="18.75">
      <c r="A182" s="10" t="s">
        <v>250</v>
      </c>
      <c r="B182" s="11">
        <v>31</v>
      </c>
      <c r="C182" s="3"/>
      <c r="D182" s="3"/>
      <c r="E182" s="5"/>
      <c r="F182" s="3"/>
      <c r="G182" s="3"/>
      <c r="H182" s="5"/>
      <c r="I182" s="5"/>
      <c r="J182" s="5"/>
      <c r="K182" s="5"/>
      <c r="L182" s="6"/>
      <c r="M182" s="6"/>
      <c r="N182" s="7"/>
    </row>
    <row x14ac:dyDescent="0.25" r="183" customHeight="1" ht="18.75">
      <c r="A183" s="10" t="s">
        <v>251</v>
      </c>
      <c r="B183" s="11">
        <v>31</v>
      </c>
      <c r="C183" s="3"/>
      <c r="D183" s="3"/>
      <c r="E183" s="5"/>
      <c r="F183" s="3"/>
      <c r="G183" s="3"/>
      <c r="H183" s="5"/>
      <c r="I183" s="5"/>
      <c r="J183" s="5"/>
      <c r="K183" s="5"/>
      <c r="L183" s="6"/>
      <c r="M183" s="6"/>
      <c r="N183" s="7"/>
    </row>
    <row x14ac:dyDescent="0.25" r="184" customHeight="1" ht="18.75">
      <c r="A184" s="10" t="s">
        <v>252</v>
      </c>
      <c r="B184" s="11">
        <v>31</v>
      </c>
      <c r="C184" s="3"/>
      <c r="D184" s="3"/>
      <c r="E184" s="5"/>
      <c r="F184" s="3"/>
      <c r="G184" s="3"/>
      <c r="H184" s="5"/>
      <c r="I184" s="5"/>
      <c r="J184" s="5"/>
      <c r="K184" s="5"/>
      <c r="L184" s="6"/>
      <c r="M184" s="6"/>
      <c r="N184" s="7"/>
    </row>
    <row x14ac:dyDescent="0.25" r="185" customHeight="1" ht="18.75">
      <c r="A185" s="10" t="s">
        <v>253</v>
      </c>
      <c r="B185" s="11">
        <v>31</v>
      </c>
      <c r="C185" s="3"/>
      <c r="D185" s="3"/>
      <c r="E185" s="5"/>
      <c r="F185" s="3"/>
      <c r="G185" s="3"/>
      <c r="H185" s="5"/>
      <c r="I185" s="5"/>
      <c r="J185" s="5"/>
      <c r="K185" s="5"/>
      <c r="L185" s="6"/>
      <c r="M185" s="6"/>
      <c r="N185" s="7"/>
    </row>
    <row x14ac:dyDescent="0.25" r="186" customHeight="1" ht="18.75">
      <c r="A186" s="10" t="s">
        <v>254</v>
      </c>
      <c r="B186" s="11">
        <v>31</v>
      </c>
      <c r="C186" s="3"/>
      <c r="D186" s="3"/>
      <c r="E186" s="5"/>
      <c r="F186" s="3"/>
      <c r="G186" s="3"/>
      <c r="H186" s="5"/>
      <c r="I186" s="5"/>
      <c r="J186" s="5"/>
      <c r="K186" s="5"/>
      <c r="L186" s="6"/>
      <c r="M186" s="6"/>
      <c r="N186" s="7"/>
    </row>
    <row x14ac:dyDescent="0.25" r="187" customHeight="1" ht="18.75">
      <c r="A187" s="10" t="s">
        <v>255</v>
      </c>
      <c r="B187" s="11">
        <v>31</v>
      </c>
      <c r="C187" s="3"/>
      <c r="D187" s="3"/>
      <c r="E187" s="5"/>
      <c r="F187" s="3"/>
      <c r="G187" s="3"/>
      <c r="H187" s="5"/>
      <c r="I187" s="5"/>
      <c r="J187" s="5"/>
      <c r="K187" s="5"/>
      <c r="L187" s="6"/>
      <c r="M187" s="6"/>
      <c r="N187" s="7"/>
    </row>
    <row x14ac:dyDescent="0.25" r="188" customHeight="1" ht="18.75">
      <c r="A188" s="10" t="s">
        <v>256</v>
      </c>
      <c r="B188" s="11">
        <v>31</v>
      </c>
      <c r="C188" s="3"/>
      <c r="D188" s="3"/>
      <c r="E188" s="5"/>
      <c r="F188" s="3"/>
      <c r="G188" s="3"/>
      <c r="H188" s="5"/>
      <c r="I188" s="5"/>
      <c r="J188" s="5"/>
      <c r="K188" s="5"/>
      <c r="L188" s="6"/>
      <c r="M188" s="6"/>
      <c r="N188" s="7"/>
    </row>
    <row x14ac:dyDescent="0.25" r="189" customHeight="1" ht="18.75">
      <c r="A189" s="10" t="s">
        <v>257</v>
      </c>
      <c r="B189" s="11">
        <v>31</v>
      </c>
      <c r="C189" s="3"/>
      <c r="D189" s="3"/>
      <c r="E189" s="5"/>
      <c r="F189" s="3"/>
      <c r="G189" s="3"/>
      <c r="H189" s="5"/>
      <c r="I189" s="5"/>
      <c r="J189" s="5"/>
      <c r="K189" s="5"/>
      <c r="L189" s="6"/>
      <c r="M189" s="6"/>
      <c r="N189" s="7"/>
    </row>
    <row x14ac:dyDescent="0.25" r="190" customHeight="1" ht="18.75">
      <c r="A190" s="10" t="s">
        <v>258</v>
      </c>
      <c r="B190" s="11">
        <v>31</v>
      </c>
      <c r="C190" s="3"/>
      <c r="D190" s="3"/>
      <c r="E190" s="5"/>
      <c r="F190" s="3"/>
      <c r="G190" s="3"/>
      <c r="H190" s="5"/>
      <c r="I190" s="5"/>
      <c r="J190" s="5"/>
      <c r="K190" s="5"/>
      <c r="L190" s="6"/>
      <c r="M190" s="6"/>
      <c r="N190" s="7"/>
    </row>
    <row x14ac:dyDescent="0.25" r="191" customHeight="1" ht="18.75">
      <c r="A191" s="10" t="s">
        <v>259</v>
      </c>
      <c r="B191" s="11">
        <v>31</v>
      </c>
      <c r="C191" s="3"/>
      <c r="D191" s="3"/>
      <c r="E191" s="5"/>
      <c r="F191" s="3"/>
      <c r="G191" s="3"/>
      <c r="H191" s="5"/>
      <c r="I191" s="5"/>
      <c r="J191" s="5"/>
      <c r="K191" s="5"/>
      <c r="L191" s="6"/>
      <c r="M191" s="6"/>
      <c r="N191" s="7"/>
    </row>
    <row x14ac:dyDescent="0.25" r="192" customHeight="1" ht="18.75">
      <c r="A192" s="10" t="s">
        <v>260</v>
      </c>
      <c r="B192" s="11">
        <v>31</v>
      </c>
      <c r="C192" s="3"/>
      <c r="D192" s="3"/>
      <c r="E192" s="5"/>
      <c r="F192" s="3"/>
      <c r="G192" s="3"/>
      <c r="H192" s="5"/>
      <c r="I192" s="5"/>
      <c r="J192" s="5"/>
      <c r="K192" s="5"/>
      <c r="L192" s="6"/>
      <c r="M192" s="6"/>
      <c r="N192" s="7"/>
    </row>
    <row x14ac:dyDescent="0.25" r="193" customHeight="1" ht="18.75">
      <c r="A193" s="10" t="s">
        <v>261</v>
      </c>
      <c r="B193" s="11">
        <v>31</v>
      </c>
      <c r="C193" s="3"/>
      <c r="D193" s="3"/>
      <c r="E193" s="5"/>
      <c r="F193" s="3"/>
      <c r="G193" s="3"/>
      <c r="H193" s="5"/>
      <c r="I193" s="5"/>
      <c r="J193" s="5"/>
      <c r="K193" s="5"/>
      <c r="L193" s="6"/>
      <c r="M193" s="6"/>
      <c r="N193" s="7"/>
    </row>
    <row x14ac:dyDescent="0.25" r="194" customHeight="1" ht="18.75">
      <c r="A194" s="10" t="s">
        <v>262</v>
      </c>
      <c r="B194" s="11">
        <v>31</v>
      </c>
      <c r="C194" s="3"/>
      <c r="D194" s="3"/>
      <c r="E194" s="5"/>
      <c r="F194" s="3"/>
      <c r="G194" s="3"/>
      <c r="H194" s="5"/>
      <c r="I194" s="5"/>
      <c r="J194" s="5"/>
      <c r="K194" s="5"/>
      <c r="L194" s="6"/>
      <c r="M194" s="6"/>
      <c r="N194" s="7"/>
    </row>
    <row x14ac:dyDescent="0.25" r="195" customHeight="1" ht="18.75">
      <c r="A195" s="10" t="s">
        <v>263</v>
      </c>
      <c r="B195" s="11">
        <v>31</v>
      </c>
      <c r="C195" s="3"/>
      <c r="D195" s="3"/>
      <c r="E195" s="5"/>
      <c r="F195" s="3"/>
      <c r="G195" s="3"/>
      <c r="H195" s="5"/>
      <c r="I195" s="5"/>
      <c r="J195" s="5"/>
      <c r="K195" s="5"/>
      <c r="L195" s="6"/>
      <c r="M195" s="6"/>
      <c r="N195" s="7"/>
    </row>
    <row x14ac:dyDescent="0.25" r="196" customHeight="1" ht="18.75">
      <c r="A196" s="10" t="s">
        <v>264</v>
      </c>
      <c r="B196" s="11">
        <v>31</v>
      </c>
      <c r="C196" s="3"/>
      <c r="D196" s="3"/>
      <c r="E196" s="5"/>
      <c r="F196" s="3"/>
      <c r="G196" s="3"/>
      <c r="H196" s="5"/>
      <c r="I196" s="5"/>
      <c r="J196" s="5"/>
      <c r="K196" s="5"/>
      <c r="L196" s="6"/>
      <c r="M196" s="6"/>
      <c r="N196" s="7"/>
    </row>
    <row x14ac:dyDescent="0.25" r="197" customHeight="1" ht="18.75">
      <c r="A197" s="10" t="s">
        <v>265</v>
      </c>
      <c r="B197" s="11">
        <v>31</v>
      </c>
      <c r="C197" s="3"/>
      <c r="D197" s="3"/>
      <c r="E197" s="5"/>
      <c r="F197" s="3"/>
      <c r="G197" s="3"/>
      <c r="H197" s="5"/>
      <c r="I197" s="5"/>
      <c r="J197" s="5"/>
      <c r="K197" s="5"/>
      <c r="L197" s="6"/>
      <c r="M197" s="6"/>
      <c r="N197" s="7"/>
    </row>
    <row x14ac:dyDescent="0.25" r="198" customHeight="1" ht="18.75">
      <c r="A198" s="10" t="s">
        <v>266</v>
      </c>
      <c r="B198" s="11">
        <v>32</v>
      </c>
      <c r="C198" s="3"/>
      <c r="D198" s="3"/>
      <c r="E198" s="5"/>
      <c r="F198" s="3"/>
      <c r="G198" s="3"/>
      <c r="H198" s="5"/>
      <c r="I198" s="5"/>
      <c r="J198" s="5"/>
      <c r="K198" s="5"/>
      <c r="L198" s="6"/>
      <c r="M198" s="6"/>
      <c r="N198" s="7"/>
    </row>
    <row x14ac:dyDescent="0.25" r="199" customHeight="1" ht="18.75">
      <c r="A199" s="10" t="s">
        <v>267</v>
      </c>
      <c r="B199" s="11">
        <v>32</v>
      </c>
      <c r="C199" s="3"/>
      <c r="D199" s="3"/>
      <c r="E199" s="5"/>
      <c r="F199" s="3"/>
      <c r="G199" s="3"/>
      <c r="H199" s="5"/>
      <c r="I199" s="5"/>
      <c r="J199" s="5"/>
      <c r="K199" s="5"/>
      <c r="L199" s="6"/>
      <c r="M199" s="6"/>
      <c r="N199" s="7"/>
    </row>
    <row x14ac:dyDescent="0.25" r="200" customHeight="1" ht="18.75">
      <c r="A200" s="10" t="s">
        <v>268</v>
      </c>
      <c r="B200" s="11">
        <v>32</v>
      </c>
      <c r="C200" s="3"/>
      <c r="D200" s="3"/>
      <c r="E200" s="5"/>
      <c r="F200" s="3"/>
      <c r="G200" s="3"/>
      <c r="H200" s="5"/>
      <c r="I200" s="5"/>
      <c r="J200" s="5"/>
      <c r="K200" s="5"/>
      <c r="L200" s="6"/>
      <c r="M200" s="6"/>
      <c r="N200" s="7"/>
    </row>
    <row x14ac:dyDescent="0.25" r="201" customHeight="1" ht="18.75">
      <c r="A201" s="10" t="s">
        <v>269</v>
      </c>
      <c r="B201" s="11">
        <v>32</v>
      </c>
      <c r="C201" s="3"/>
      <c r="D201" s="3"/>
      <c r="E201" s="5"/>
      <c r="F201" s="3"/>
      <c r="G201" s="3"/>
      <c r="H201" s="5"/>
      <c r="I201" s="5"/>
      <c r="J201" s="5"/>
      <c r="K201" s="5"/>
      <c r="L201" s="6"/>
      <c r="M201" s="6"/>
      <c r="N201" s="7"/>
    </row>
    <row x14ac:dyDescent="0.25" r="202" customHeight="1" ht="18.75">
      <c r="A202" s="10" t="s">
        <v>270</v>
      </c>
      <c r="B202" s="11">
        <v>32</v>
      </c>
      <c r="C202" s="3"/>
      <c r="D202" s="3"/>
      <c r="E202" s="5"/>
      <c r="F202" s="3"/>
      <c r="G202" s="3"/>
      <c r="H202" s="5"/>
      <c r="I202" s="5"/>
      <c r="J202" s="5"/>
      <c r="K202" s="5"/>
      <c r="L202" s="6"/>
      <c r="M202" s="6"/>
      <c r="N202" s="7"/>
    </row>
    <row x14ac:dyDescent="0.25" r="203" customHeight="1" ht="18.75">
      <c r="A203" s="10" t="s">
        <v>271</v>
      </c>
      <c r="B203" s="11">
        <v>32</v>
      </c>
      <c r="C203" s="3"/>
      <c r="D203" s="3"/>
      <c r="E203" s="5"/>
      <c r="F203" s="3"/>
      <c r="G203" s="3"/>
      <c r="H203" s="5"/>
      <c r="I203" s="5"/>
      <c r="J203" s="5"/>
      <c r="K203" s="5"/>
      <c r="L203" s="6"/>
      <c r="M203" s="6"/>
      <c r="N203" s="7"/>
    </row>
    <row x14ac:dyDescent="0.25" r="204" customHeight="1" ht="18.75">
      <c r="A204" s="10" t="s">
        <v>272</v>
      </c>
      <c r="B204" s="11">
        <v>32</v>
      </c>
      <c r="C204" s="3"/>
      <c r="D204" s="3"/>
      <c r="E204" s="5"/>
      <c r="F204" s="3"/>
      <c r="G204" s="3"/>
      <c r="H204" s="5"/>
      <c r="I204" s="5"/>
      <c r="J204" s="5"/>
      <c r="K204" s="5"/>
      <c r="L204" s="6"/>
      <c r="M204" s="6"/>
      <c r="N204" s="7"/>
    </row>
    <row x14ac:dyDescent="0.25" r="205" customHeight="1" ht="18.75">
      <c r="A205" s="10" t="s">
        <v>273</v>
      </c>
      <c r="B205" s="11">
        <v>32</v>
      </c>
      <c r="C205" s="3"/>
      <c r="D205" s="3"/>
      <c r="E205" s="5"/>
      <c r="F205" s="3"/>
      <c r="G205" s="3"/>
      <c r="H205" s="5"/>
      <c r="I205" s="5"/>
      <c r="J205" s="5"/>
      <c r="K205" s="5"/>
      <c r="L205" s="6"/>
      <c r="M205" s="6"/>
      <c r="N205" s="7"/>
    </row>
    <row x14ac:dyDescent="0.25" r="206" customHeight="1" ht="18.75">
      <c r="A206" s="10" t="s">
        <v>274</v>
      </c>
      <c r="B206" s="11">
        <v>32</v>
      </c>
      <c r="C206" s="3"/>
      <c r="D206" s="3"/>
      <c r="E206" s="5"/>
      <c r="F206" s="3"/>
      <c r="G206" s="3"/>
      <c r="H206" s="5"/>
      <c r="I206" s="5"/>
      <c r="J206" s="5"/>
      <c r="K206" s="5"/>
      <c r="L206" s="6"/>
      <c r="M206" s="6"/>
      <c r="N206" s="7"/>
    </row>
    <row x14ac:dyDescent="0.25" r="207" customHeight="1" ht="18.75">
      <c r="A207" s="10" t="s">
        <v>275</v>
      </c>
      <c r="B207" s="11">
        <v>32</v>
      </c>
      <c r="C207" s="3"/>
      <c r="D207" s="3"/>
      <c r="E207" s="5"/>
      <c r="F207" s="3"/>
      <c r="G207" s="3"/>
      <c r="H207" s="5"/>
      <c r="I207" s="5"/>
      <c r="J207" s="5"/>
      <c r="K207" s="5"/>
      <c r="L207" s="6"/>
      <c r="M207" s="6"/>
      <c r="N207" s="7"/>
    </row>
    <row x14ac:dyDescent="0.25" r="208" customHeight="1" ht="18.75">
      <c r="A208" s="10" t="s">
        <v>276</v>
      </c>
      <c r="B208" s="11">
        <v>32</v>
      </c>
      <c r="C208" s="3"/>
      <c r="D208" s="3"/>
      <c r="E208" s="5"/>
      <c r="F208" s="3"/>
      <c r="G208" s="3"/>
      <c r="H208" s="5"/>
      <c r="I208" s="5"/>
      <c r="J208" s="5"/>
      <c r="K208" s="5"/>
      <c r="L208" s="6"/>
      <c r="M208" s="6"/>
      <c r="N208" s="7"/>
    </row>
    <row x14ac:dyDescent="0.25" r="209" customHeight="1" ht="18.75">
      <c r="A209" s="10" t="s">
        <v>277</v>
      </c>
      <c r="B209" s="11">
        <v>32</v>
      </c>
      <c r="C209" s="3"/>
      <c r="D209" s="3"/>
      <c r="E209" s="5"/>
      <c r="F209" s="3"/>
      <c r="G209" s="3"/>
      <c r="H209" s="5"/>
      <c r="I209" s="5"/>
      <c r="J209" s="5"/>
      <c r="K209" s="5"/>
      <c r="L209" s="6"/>
      <c r="M209" s="6"/>
      <c r="N209" s="7"/>
    </row>
    <row x14ac:dyDescent="0.25" r="210" customHeight="1" ht="18.75">
      <c r="A210" s="10" t="s">
        <v>278</v>
      </c>
      <c r="B210" s="11">
        <v>32</v>
      </c>
      <c r="C210" s="3"/>
      <c r="D210" s="3"/>
      <c r="E210" s="5"/>
      <c r="F210" s="3"/>
      <c r="G210" s="3"/>
      <c r="H210" s="5"/>
      <c r="I210" s="5"/>
      <c r="J210" s="5"/>
      <c r="K210" s="5"/>
      <c r="L210" s="6"/>
      <c r="M210" s="6"/>
      <c r="N210" s="7"/>
    </row>
    <row x14ac:dyDescent="0.25" r="211" customHeight="1" ht="18.75">
      <c r="A211" s="10" t="s">
        <v>279</v>
      </c>
      <c r="B211" s="11">
        <v>32</v>
      </c>
      <c r="C211" s="3"/>
      <c r="D211" s="3"/>
      <c r="E211" s="5"/>
      <c r="F211" s="3"/>
      <c r="G211" s="3"/>
      <c r="H211" s="5"/>
      <c r="I211" s="5"/>
      <c r="J211" s="5"/>
      <c r="K211" s="5"/>
      <c r="L211" s="6"/>
      <c r="M211" s="6"/>
      <c r="N211" s="7"/>
    </row>
    <row x14ac:dyDescent="0.25" r="212" customHeight="1" ht="18.75">
      <c r="A212" s="10" t="s">
        <v>280</v>
      </c>
      <c r="B212" s="11">
        <v>32</v>
      </c>
      <c r="C212" s="3"/>
      <c r="D212" s="3"/>
      <c r="E212" s="5"/>
      <c r="F212" s="3"/>
      <c r="G212" s="3"/>
      <c r="H212" s="5"/>
      <c r="I212" s="5"/>
      <c r="J212" s="5"/>
      <c r="K212" s="5"/>
      <c r="L212" s="6"/>
      <c r="M212" s="6"/>
      <c r="N212" s="7"/>
    </row>
    <row x14ac:dyDescent="0.25" r="213" customHeight="1" ht="18.75">
      <c r="A213" s="10" t="s">
        <v>281</v>
      </c>
      <c r="B213" s="11">
        <v>32</v>
      </c>
      <c r="C213" s="3"/>
      <c r="D213" s="3"/>
      <c r="E213" s="5"/>
      <c r="F213" s="3"/>
      <c r="G213" s="3"/>
      <c r="H213" s="5"/>
      <c r="I213" s="5"/>
      <c r="J213" s="5"/>
      <c r="K213" s="5"/>
      <c r="L213" s="6"/>
      <c r="M213" s="6"/>
      <c r="N213" s="7"/>
    </row>
    <row x14ac:dyDescent="0.25" r="214" customHeight="1" ht="18.75">
      <c r="A214" s="10" t="s">
        <v>282</v>
      </c>
      <c r="B214" s="11">
        <v>32</v>
      </c>
      <c r="C214" s="3"/>
      <c r="D214" s="3"/>
      <c r="E214" s="5"/>
      <c r="F214" s="3"/>
      <c r="G214" s="3"/>
      <c r="H214" s="5"/>
      <c r="I214" s="5"/>
      <c r="J214" s="5"/>
      <c r="K214" s="5"/>
      <c r="L214" s="6"/>
      <c r="M214" s="6"/>
      <c r="N214" s="7"/>
    </row>
    <row x14ac:dyDescent="0.25" r="215" customHeight="1" ht="18.75">
      <c r="A215" s="10" t="s">
        <v>283</v>
      </c>
      <c r="B215" s="11">
        <v>32</v>
      </c>
      <c r="C215" s="3"/>
      <c r="D215" s="3"/>
      <c r="E215" s="5"/>
      <c r="F215" s="3"/>
      <c r="G215" s="3"/>
      <c r="H215" s="5"/>
      <c r="I215" s="5"/>
      <c r="J215" s="5"/>
      <c r="K215" s="5"/>
      <c r="L215" s="6"/>
      <c r="M215" s="6"/>
      <c r="N215" s="7"/>
    </row>
    <row x14ac:dyDescent="0.25" r="216" customHeight="1" ht="18.75">
      <c r="A216" s="10" t="s">
        <v>284</v>
      </c>
      <c r="B216" s="11">
        <v>32</v>
      </c>
      <c r="C216" s="3"/>
      <c r="D216" s="3"/>
      <c r="E216" s="5"/>
      <c r="F216" s="3"/>
      <c r="G216" s="3"/>
      <c r="H216" s="5"/>
      <c r="I216" s="5"/>
      <c r="J216" s="5"/>
      <c r="K216" s="5"/>
      <c r="L216" s="6"/>
      <c r="M216" s="6"/>
      <c r="N216" s="7"/>
    </row>
    <row x14ac:dyDescent="0.25" r="217" customHeight="1" ht="18.75">
      <c r="A217" s="10" t="s">
        <v>285</v>
      </c>
      <c r="B217" s="11">
        <v>32</v>
      </c>
      <c r="C217" s="3"/>
      <c r="D217" s="3"/>
      <c r="E217" s="5"/>
      <c r="F217" s="3"/>
      <c r="G217" s="3"/>
      <c r="H217" s="5"/>
      <c r="I217" s="5"/>
      <c r="J217" s="5"/>
      <c r="K217" s="5"/>
      <c r="L217" s="6"/>
      <c r="M217" s="6"/>
      <c r="N217" s="7"/>
    </row>
    <row x14ac:dyDescent="0.25" r="218" customHeight="1" ht="18.75">
      <c r="A218" s="10" t="s">
        <v>286</v>
      </c>
      <c r="B218" s="11">
        <v>33</v>
      </c>
      <c r="C218" s="3"/>
      <c r="D218" s="3"/>
      <c r="E218" s="5"/>
      <c r="F218" s="3"/>
      <c r="G218" s="3"/>
      <c r="H218" s="5"/>
      <c r="I218" s="5"/>
      <c r="J218" s="5"/>
      <c r="K218" s="5"/>
      <c r="L218" s="6"/>
      <c r="M218" s="6"/>
      <c r="N218" s="7"/>
    </row>
    <row x14ac:dyDescent="0.25" r="219" customHeight="1" ht="18.75">
      <c r="A219" s="10" t="s">
        <v>287</v>
      </c>
      <c r="B219" s="11">
        <v>33</v>
      </c>
      <c r="C219" s="3"/>
      <c r="D219" s="3"/>
      <c r="E219" s="5"/>
      <c r="F219" s="3"/>
      <c r="G219" s="3"/>
      <c r="H219" s="5"/>
      <c r="I219" s="5"/>
      <c r="J219" s="5"/>
      <c r="K219" s="5"/>
      <c r="L219" s="6"/>
      <c r="M219" s="6"/>
      <c r="N219" s="7"/>
    </row>
    <row x14ac:dyDescent="0.25" r="220" customHeight="1" ht="18.75">
      <c r="A220" s="10" t="s">
        <v>288</v>
      </c>
      <c r="B220" s="11">
        <v>33</v>
      </c>
      <c r="C220" s="3"/>
      <c r="D220" s="3"/>
      <c r="E220" s="5"/>
      <c r="F220" s="3"/>
      <c r="G220" s="3"/>
      <c r="H220" s="5"/>
      <c r="I220" s="5"/>
      <c r="J220" s="5"/>
      <c r="K220" s="5"/>
      <c r="L220" s="6"/>
      <c r="M220" s="6"/>
      <c r="N220" s="7"/>
    </row>
    <row x14ac:dyDescent="0.25" r="221" customHeight="1" ht="18.75">
      <c r="A221" s="10" t="s">
        <v>289</v>
      </c>
      <c r="B221" s="11">
        <v>33</v>
      </c>
      <c r="C221" s="3"/>
      <c r="D221" s="3"/>
      <c r="E221" s="5"/>
      <c r="F221" s="3"/>
      <c r="G221" s="3"/>
      <c r="H221" s="5"/>
      <c r="I221" s="5"/>
      <c r="J221" s="5"/>
      <c r="K221" s="5"/>
      <c r="L221" s="6"/>
      <c r="M221" s="6"/>
      <c r="N221" s="7"/>
    </row>
    <row x14ac:dyDescent="0.25" r="222" customHeight="1" ht="18.75">
      <c r="A222" s="10" t="s">
        <v>290</v>
      </c>
      <c r="B222" s="11">
        <v>33</v>
      </c>
      <c r="C222" s="3"/>
      <c r="D222" s="3"/>
      <c r="E222" s="5"/>
      <c r="F222" s="3"/>
      <c r="G222" s="3"/>
      <c r="H222" s="5"/>
      <c r="I222" s="5"/>
      <c r="J222" s="5"/>
      <c r="K222" s="5"/>
      <c r="L222" s="6"/>
      <c r="M222" s="6"/>
      <c r="N222" s="7"/>
    </row>
    <row x14ac:dyDescent="0.25" r="223" customHeight="1" ht="18.75">
      <c r="A223" s="10" t="s">
        <v>291</v>
      </c>
      <c r="B223" s="11">
        <v>33</v>
      </c>
      <c r="C223" s="3"/>
      <c r="D223" s="3"/>
      <c r="E223" s="5"/>
      <c r="F223" s="3"/>
      <c r="G223" s="3"/>
      <c r="H223" s="5"/>
      <c r="I223" s="5"/>
      <c r="J223" s="5"/>
      <c r="K223" s="5"/>
      <c r="L223" s="6"/>
      <c r="M223" s="6"/>
      <c r="N223" s="7"/>
    </row>
    <row x14ac:dyDescent="0.25" r="224" customHeight="1" ht="18.75">
      <c r="A224" s="10" t="s">
        <v>292</v>
      </c>
      <c r="B224" s="11">
        <v>33</v>
      </c>
      <c r="C224" s="3"/>
      <c r="D224" s="3"/>
      <c r="E224" s="5"/>
      <c r="F224" s="3"/>
      <c r="G224" s="3"/>
      <c r="H224" s="5"/>
      <c r="I224" s="5"/>
      <c r="J224" s="5"/>
      <c r="K224" s="5"/>
      <c r="L224" s="6"/>
      <c r="M224" s="6"/>
      <c r="N224" s="7"/>
    </row>
    <row x14ac:dyDescent="0.25" r="225" customHeight="1" ht="18.75">
      <c r="A225" s="10" t="s">
        <v>293</v>
      </c>
      <c r="B225" s="11">
        <v>33</v>
      </c>
      <c r="C225" s="3"/>
      <c r="D225" s="3"/>
      <c r="E225" s="5"/>
      <c r="F225" s="3"/>
      <c r="G225" s="3"/>
      <c r="H225" s="5"/>
      <c r="I225" s="5"/>
      <c r="J225" s="5"/>
      <c r="K225" s="5"/>
      <c r="L225" s="6"/>
      <c r="M225" s="6"/>
      <c r="N225" s="7"/>
    </row>
    <row x14ac:dyDescent="0.25" r="226" customHeight="1" ht="18.75">
      <c r="A226" s="10" t="s">
        <v>294</v>
      </c>
      <c r="B226" s="11">
        <v>33</v>
      </c>
      <c r="C226" s="3"/>
      <c r="D226" s="3"/>
      <c r="E226" s="5"/>
      <c r="F226" s="3"/>
      <c r="G226" s="3"/>
      <c r="H226" s="5"/>
      <c r="I226" s="5"/>
      <c r="J226" s="5"/>
      <c r="K226" s="5"/>
      <c r="L226" s="6"/>
      <c r="M226" s="6"/>
      <c r="N226" s="7"/>
    </row>
    <row x14ac:dyDescent="0.25" r="227" customHeight="1" ht="18.75">
      <c r="A227" s="10" t="s">
        <v>295</v>
      </c>
      <c r="B227" s="11">
        <v>33</v>
      </c>
      <c r="C227" s="3"/>
      <c r="D227" s="3"/>
      <c r="E227" s="5"/>
      <c r="F227" s="3"/>
      <c r="G227" s="3"/>
      <c r="H227" s="5"/>
      <c r="I227" s="5"/>
      <c r="J227" s="5"/>
      <c r="K227" s="5"/>
      <c r="L227" s="6"/>
      <c r="M227" s="6"/>
      <c r="N227" s="7"/>
    </row>
    <row x14ac:dyDescent="0.25" r="228" customHeight="1" ht="18.75">
      <c r="A228" s="10" t="s">
        <v>296</v>
      </c>
      <c r="B228" s="11">
        <v>33</v>
      </c>
      <c r="C228" s="3"/>
      <c r="D228" s="3"/>
      <c r="E228" s="5"/>
      <c r="F228" s="3"/>
      <c r="G228" s="3"/>
      <c r="H228" s="5"/>
      <c r="I228" s="5"/>
      <c r="J228" s="5"/>
      <c r="K228" s="5"/>
      <c r="L228" s="6"/>
      <c r="M228" s="6"/>
      <c r="N228" s="7"/>
    </row>
    <row x14ac:dyDescent="0.25" r="229" customHeight="1" ht="18.75">
      <c r="A229" s="10" t="s">
        <v>297</v>
      </c>
      <c r="B229" s="11">
        <v>33</v>
      </c>
      <c r="C229" s="3"/>
      <c r="D229" s="3"/>
      <c r="E229" s="5"/>
      <c r="F229" s="3"/>
      <c r="G229" s="3"/>
      <c r="H229" s="5"/>
      <c r="I229" s="5"/>
      <c r="J229" s="5"/>
      <c r="K229" s="5"/>
      <c r="L229" s="6"/>
      <c r="M229" s="6"/>
      <c r="N229" s="7"/>
    </row>
    <row x14ac:dyDescent="0.25" r="230" customHeight="1" ht="18.75">
      <c r="A230" s="10" t="s">
        <v>298</v>
      </c>
      <c r="B230" s="11">
        <v>33</v>
      </c>
      <c r="C230" s="3"/>
      <c r="D230" s="3"/>
      <c r="E230" s="5"/>
      <c r="F230" s="3"/>
      <c r="G230" s="3"/>
      <c r="H230" s="5"/>
      <c r="I230" s="5"/>
      <c r="J230" s="5"/>
      <c r="K230" s="5"/>
      <c r="L230" s="6"/>
      <c r="M230" s="6"/>
      <c r="N230" s="7"/>
    </row>
    <row x14ac:dyDescent="0.25" r="231" customHeight="1" ht="18.75">
      <c r="A231" s="10" t="s">
        <v>299</v>
      </c>
      <c r="B231" s="11">
        <v>33</v>
      </c>
      <c r="C231" s="3"/>
      <c r="D231" s="3"/>
      <c r="E231" s="5"/>
      <c r="F231" s="3"/>
      <c r="G231" s="3"/>
      <c r="H231" s="5"/>
      <c r="I231" s="5"/>
      <c r="J231" s="5"/>
      <c r="K231" s="5"/>
      <c r="L231" s="6"/>
      <c r="M231" s="6"/>
      <c r="N231" s="7"/>
    </row>
    <row x14ac:dyDescent="0.25" r="232" customHeight="1" ht="18.75">
      <c r="A232" s="10" t="s">
        <v>300</v>
      </c>
      <c r="B232" s="11">
        <v>33</v>
      </c>
      <c r="C232" s="3"/>
      <c r="D232" s="3"/>
      <c r="E232" s="5"/>
      <c r="F232" s="3"/>
      <c r="G232" s="3"/>
      <c r="H232" s="5"/>
      <c r="I232" s="5"/>
      <c r="J232" s="5"/>
      <c r="K232" s="5"/>
      <c r="L232" s="6"/>
      <c r="M232" s="6"/>
      <c r="N232" s="7"/>
    </row>
    <row x14ac:dyDescent="0.25" r="233" customHeight="1" ht="18.75">
      <c r="A233" s="10" t="s">
        <v>301</v>
      </c>
      <c r="B233" s="11">
        <v>33</v>
      </c>
      <c r="C233" s="3"/>
      <c r="D233" s="3"/>
      <c r="E233" s="5"/>
      <c r="F233" s="3"/>
      <c r="G233" s="3"/>
      <c r="H233" s="5"/>
      <c r="I233" s="5"/>
      <c r="J233" s="5"/>
      <c r="K233" s="5"/>
      <c r="L233" s="6"/>
      <c r="M233" s="6"/>
      <c r="N233" s="7"/>
    </row>
    <row x14ac:dyDescent="0.25" r="234" customHeight="1" ht="18.75">
      <c r="A234" s="10" t="s">
        <v>302</v>
      </c>
      <c r="B234" s="11">
        <v>33</v>
      </c>
      <c r="C234" s="3"/>
      <c r="D234" s="3"/>
      <c r="E234" s="5"/>
      <c r="F234" s="3"/>
      <c r="G234" s="3"/>
      <c r="H234" s="5"/>
      <c r="I234" s="5"/>
      <c r="J234" s="5"/>
      <c r="K234" s="5"/>
      <c r="L234" s="6"/>
      <c r="M234" s="6"/>
      <c r="N234" s="7"/>
    </row>
    <row x14ac:dyDescent="0.25" r="235" customHeight="1" ht="18.75">
      <c r="A235" s="10" t="s">
        <v>303</v>
      </c>
      <c r="B235" s="11">
        <v>33</v>
      </c>
      <c r="C235" s="3"/>
      <c r="D235" s="3"/>
      <c r="E235" s="5"/>
      <c r="F235" s="3"/>
      <c r="G235" s="3"/>
      <c r="H235" s="5"/>
      <c r="I235" s="5"/>
      <c r="J235" s="5"/>
      <c r="K235" s="5"/>
      <c r="L235" s="6"/>
      <c r="M235" s="6"/>
      <c r="N235" s="7"/>
    </row>
    <row x14ac:dyDescent="0.25" r="236" customHeight="1" ht="18.75">
      <c r="A236" s="10" t="s">
        <v>304</v>
      </c>
      <c r="B236" s="11">
        <v>33</v>
      </c>
      <c r="C236" s="3"/>
      <c r="D236" s="3"/>
      <c r="E236" s="5"/>
      <c r="F236" s="3"/>
      <c r="G236" s="3"/>
      <c r="H236" s="5"/>
      <c r="I236" s="5"/>
      <c r="J236" s="5"/>
      <c r="K236" s="5"/>
      <c r="L236" s="6"/>
      <c r="M236" s="6"/>
      <c r="N236" s="7"/>
    </row>
    <row x14ac:dyDescent="0.25" r="237" customHeight="1" ht="18.75">
      <c r="A237" s="10" t="s">
        <v>305</v>
      </c>
      <c r="B237" s="11">
        <v>33</v>
      </c>
      <c r="C237" s="3"/>
      <c r="D237" s="3"/>
      <c r="E237" s="5"/>
      <c r="F237" s="3"/>
      <c r="G237" s="3"/>
      <c r="H237" s="5"/>
      <c r="I237" s="5"/>
      <c r="J237" s="5"/>
      <c r="K237" s="5"/>
      <c r="L237" s="6"/>
      <c r="M237" s="6"/>
      <c r="N237" s="7"/>
    </row>
    <row x14ac:dyDescent="0.25" r="238" customHeight="1" ht="18.75">
      <c r="A238" s="10" t="s">
        <v>306</v>
      </c>
      <c r="B238" s="11">
        <v>33</v>
      </c>
      <c r="C238" s="3"/>
      <c r="D238" s="3"/>
      <c r="E238" s="5"/>
      <c r="F238" s="3"/>
      <c r="G238" s="3"/>
      <c r="H238" s="5"/>
      <c r="I238" s="5"/>
      <c r="J238" s="5"/>
      <c r="K238" s="5"/>
      <c r="L238" s="6"/>
      <c r="M238" s="6"/>
      <c r="N238" s="7"/>
    </row>
    <row x14ac:dyDescent="0.25" r="239" customHeight="1" ht="18.75">
      <c r="A239" s="10" t="s">
        <v>307</v>
      </c>
      <c r="B239" s="11">
        <v>33</v>
      </c>
      <c r="C239" s="3"/>
      <c r="D239" s="3"/>
      <c r="E239" s="5"/>
      <c r="F239" s="3"/>
      <c r="G239" s="3"/>
      <c r="H239" s="5"/>
      <c r="I239" s="5"/>
      <c r="J239" s="5"/>
      <c r="K239" s="5"/>
      <c r="L239" s="6"/>
      <c r="M239" s="6"/>
      <c r="N239" s="7"/>
    </row>
    <row x14ac:dyDescent="0.25" r="240" customHeight="1" ht="18.75">
      <c r="A240" s="10" t="s">
        <v>308</v>
      </c>
      <c r="B240" s="11">
        <v>33</v>
      </c>
      <c r="C240" s="3"/>
      <c r="D240" s="3"/>
      <c r="E240" s="5"/>
      <c r="F240" s="3"/>
      <c r="G240" s="3"/>
      <c r="H240" s="5"/>
      <c r="I240" s="5"/>
      <c r="J240" s="5"/>
      <c r="K240" s="5"/>
      <c r="L240" s="6"/>
      <c r="M240" s="6"/>
      <c r="N240" s="7"/>
    </row>
    <row x14ac:dyDescent="0.25" r="241" customHeight="1" ht="18.75">
      <c r="A241" s="10" t="s">
        <v>309</v>
      </c>
      <c r="B241" s="11">
        <v>33</v>
      </c>
      <c r="C241" s="3"/>
      <c r="D241" s="3"/>
      <c r="E241" s="5"/>
      <c r="F241" s="3"/>
      <c r="G241" s="3"/>
      <c r="H241" s="5"/>
      <c r="I241" s="5"/>
      <c r="J241" s="5"/>
      <c r="K241" s="5"/>
      <c r="L241" s="6"/>
      <c r="M241" s="6"/>
      <c r="N241" s="7"/>
    </row>
    <row x14ac:dyDescent="0.25" r="242" customHeight="1" ht="18.75">
      <c r="A242" s="10" t="s">
        <v>310</v>
      </c>
      <c r="B242" s="11">
        <v>33</v>
      </c>
      <c r="C242" s="3"/>
      <c r="D242" s="3"/>
      <c r="E242" s="5"/>
      <c r="F242" s="3"/>
      <c r="G242" s="3"/>
      <c r="H242" s="5"/>
      <c r="I242" s="5"/>
      <c r="J242" s="5"/>
      <c r="K242" s="5"/>
      <c r="L242" s="6"/>
      <c r="M242" s="6"/>
      <c r="N242" s="7"/>
    </row>
    <row x14ac:dyDescent="0.25" r="243" customHeight="1" ht="18.75">
      <c r="A243" s="10" t="s">
        <v>311</v>
      </c>
      <c r="B243" s="11">
        <v>33</v>
      </c>
      <c r="C243" s="3"/>
      <c r="D243" s="3"/>
      <c r="E243" s="5"/>
      <c r="F243" s="3"/>
      <c r="G243" s="3"/>
      <c r="H243" s="5"/>
      <c r="I243" s="5"/>
      <c r="J243" s="5"/>
      <c r="K243" s="5"/>
      <c r="L243" s="6"/>
      <c r="M243" s="6"/>
      <c r="N243" s="7"/>
    </row>
    <row x14ac:dyDescent="0.25" r="244" customHeight="1" ht="18.75">
      <c r="A244" s="10" t="s">
        <v>312</v>
      </c>
      <c r="B244" s="11">
        <v>34</v>
      </c>
      <c r="C244" s="3"/>
      <c r="D244" s="3"/>
      <c r="E244" s="5"/>
      <c r="F244" s="3"/>
      <c r="G244" s="3"/>
      <c r="H244" s="5"/>
      <c r="I244" s="5"/>
      <c r="J244" s="5"/>
      <c r="K244" s="5"/>
      <c r="L244" s="6"/>
      <c r="M244" s="6"/>
      <c r="N244" s="7"/>
    </row>
    <row x14ac:dyDescent="0.25" r="245" customHeight="1" ht="18.75">
      <c r="A245" s="10" t="s">
        <v>313</v>
      </c>
      <c r="B245" s="11">
        <v>34</v>
      </c>
      <c r="C245" s="3"/>
      <c r="D245" s="3"/>
      <c r="E245" s="5"/>
      <c r="F245" s="3"/>
      <c r="G245" s="3"/>
      <c r="H245" s="5"/>
      <c r="I245" s="5"/>
      <c r="J245" s="5"/>
      <c r="K245" s="5"/>
      <c r="L245" s="6"/>
      <c r="M245" s="6"/>
      <c r="N245" s="7"/>
    </row>
    <row x14ac:dyDescent="0.25" r="246" customHeight="1" ht="18.75">
      <c r="A246" s="10" t="s">
        <v>314</v>
      </c>
      <c r="B246" s="11">
        <v>34</v>
      </c>
      <c r="C246" s="3"/>
      <c r="D246" s="3"/>
      <c r="E246" s="5"/>
      <c r="F246" s="3"/>
      <c r="G246" s="3"/>
      <c r="H246" s="5"/>
      <c r="I246" s="5"/>
      <c r="J246" s="5"/>
      <c r="K246" s="5"/>
      <c r="L246" s="6"/>
      <c r="M246" s="6"/>
      <c r="N246" s="7"/>
    </row>
    <row x14ac:dyDescent="0.25" r="247" customHeight="1" ht="18.75">
      <c r="A247" s="10" t="s">
        <v>315</v>
      </c>
      <c r="B247" s="11">
        <v>34</v>
      </c>
      <c r="C247" s="3"/>
      <c r="D247" s="3"/>
      <c r="E247" s="5"/>
      <c r="F247" s="3"/>
      <c r="G247" s="3"/>
      <c r="H247" s="5"/>
      <c r="I247" s="5"/>
      <c r="J247" s="5"/>
      <c r="K247" s="5"/>
      <c r="L247" s="6"/>
      <c r="M247" s="6"/>
      <c r="N247" s="7"/>
    </row>
    <row x14ac:dyDescent="0.25" r="248" customHeight="1" ht="18.75">
      <c r="A248" s="10" t="s">
        <v>316</v>
      </c>
      <c r="B248" s="11">
        <v>34</v>
      </c>
      <c r="C248" s="3"/>
      <c r="D248" s="3"/>
      <c r="E248" s="5"/>
      <c r="F248" s="3"/>
      <c r="G248" s="3"/>
      <c r="H248" s="5"/>
      <c r="I248" s="5"/>
      <c r="J248" s="5"/>
      <c r="K248" s="5"/>
      <c r="L248" s="6"/>
      <c r="M248" s="6"/>
      <c r="N248" s="7"/>
    </row>
    <row x14ac:dyDescent="0.25" r="249" customHeight="1" ht="18.75">
      <c r="A249" s="10" t="s">
        <v>317</v>
      </c>
      <c r="B249" s="11">
        <v>34</v>
      </c>
      <c r="C249" s="3"/>
      <c r="D249" s="3"/>
      <c r="E249" s="5"/>
      <c r="F249" s="3"/>
      <c r="G249" s="3"/>
      <c r="H249" s="5"/>
      <c r="I249" s="5"/>
      <c r="J249" s="5"/>
      <c r="K249" s="5"/>
      <c r="L249" s="6"/>
      <c r="M249" s="6"/>
      <c r="N249" s="7"/>
    </row>
    <row x14ac:dyDescent="0.25" r="250" customHeight="1" ht="18.75">
      <c r="A250" s="10" t="s">
        <v>318</v>
      </c>
      <c r="B250" s="11">
        <v>34</v>
      </c>
      <c r="C250" s="3"/>
      <c r="D250" s="3"/>
      <c r="E250" s="5"/>
      <c r="F250" s="3"/>
      <c r="G250" s="3"/>
      <c r="H250" s="5"/>
      <c r="I250" s="5"/>
      <c r="J250" s="5"/>
      <c r="K250" s="5"/>
      <c r="L250" s="6"/>
      <c r="M250" s="6"/>
      <c r="N250" s="7"/>
    </row>
    <row x14ac:dyDescent="0.25" r="251" customHeight="1" ht="18.75">
      <c r="A251" s="10" t="s">
        <v>319</v>
      </c>
      <c r="B251" s="11">
        <v>34</v>
      </c>
      <c r="C251" s="3"/>
      <c r="D251" s="3"/>
      <c r="E251" s="5"/>
      <c r="F251" s="3"/>
      <c r="G251" s="3"/>
      <c r="H251" s="5"/>
      <c r="I251" s="5"/>
      <c r="J251" s="5"/>
      <c r="K251" s="5"/>
      <c r="L251" s="6"/>
      <c r="M251" s="6"/>
      <c r="N251" s="7"/>
    </row>
    <row x14ac:dyDescent="0.25" r="252" customHeight="1" ht="18.75">
      <c r="A252" s="10" t="s">
        <v>320</v>
      </c>
      <c r="B252" s="11">
        <v>34</v>
      </c>
      <c r="C252" s="3"/>
      <c r="D252" s="3"/>
      <c r="E252" s="5"/>
      <c r="F252" s="3"/>
      <c r="G252" s="3"/>
      <c r="H252" s="5"/>
      <c r="I252" s="5"/>
      <c r="J252" s="5"/>
      <c r="K252" s="5"/>
      <c r="L252" s="6"/>
      <c r="M252" s="6"/>
      <c r="N252" s="7"/>
    </row>
    <row x14ac:dyDescent="0.25" r="253" customHeight="1" ht="18.75">
      <c r="A253" s="10" t="s">
        <v>321</v>
      </c>
      <c r="B253" s="11">
        <v>34</v>
      </c>
      <c r="C253" s="3"/>
      <c r="D253" s="3"/>
      <c r="E253" s="5"/>
      <c r="F253" s="3"/>
      <c r="G253" s="3"/>
      <c r="H253" s="5"/>
      <c r="I253" s="5"/>
      <c r="J253" s="5"/>
      <c r="K253" s="5"/>
      <c r="L253" s="6"/>
      <c r="M253" s="6"/>
      <c r="N253" s="7"/>
    </row>
    <row x14ac:dyDescent="0.25" r="254" customHeight="1" ht="18.75">
      <c r="A254" s="10" t="s">
        <v>322</v>
      </c>
      <c r="B254" s="11">
        <v>34</v>
      </c>
      <c r="C254" s="3"/>
      <c r="D254" s="3"/>
      <c r="E254" s="5"/>
      <c r="F254" s="3"/>
      <c r="G254" s="3"/>
      <c r="H254" s="5"/>
      <c r="I254" s="5"/>
      <c r="J254" s="5"/>
      <c r="K254" s="5"/>
      <c r="L254" s="6"/>
      <c r="M254" s="6"/>
      <c r="N254" s="7"/>
    </row>
    <row x14ac:dyDescent="0.25" r="255" customHeight="1" ht="18.75">
      <c r="A255" s="10" t="s">
        <v>323</v>
      </c>
      <c r="B255" s="11">
        <v>34</v>
      </c>
      <c r="C255" s="3"/>
      <c r="D255" s="3"/>
      <c r="E255" s="5"/>
      <c r="F255" s="3"/>
      <c r="G255" s="3"/>
      <c r="H255" s="5"/>
      <c r="I255" s="5"/>
      <c r="J255" s="5"/>
      <c r="K255" s="5"/>
      <c r="L255" s="6"/>
      <c r="M255" s="6"/>
      <c r="N255" s="7"/>
    </row>
    <row x14ac:dyDescent="0.25" r="256" customHeight="1" ht="18.75">
      <c r="A256" s="10" t="s">
        <v>324</v>
      </c>
      <c r="B256" s="11">
        <v>34</v>
      </c>
      <c r="C256" s="3"/>
      <c r="D256" s="3"/>
      <c r="E256" s="5"/>
      <c r="F256" s="3"/>
      <c r="G256" s="3"/>
      <c r="H256" s="5"/>
      <c r="I256" s="5"/>
      <c r="J256" s="5"/>
      <c r="K256" s="5"/>
      <c r="L256" s="6"/>
      <c r="M256" s="6"/>
      <c r="N256" s="7"/>
    </row>
    <row x14ac:dyDescent="0.25" r="257" customHeight="1" ht="18.75">
      <c r="A257" s="10" t="s">
        <v>325</v>
      </c>
      <c r="B257" s="11">
        <v>34</v>
      </c>
      <c r="C257" s="3"/>
      <c r="D257" s="3"/>
      <c r="E257" s="5"/>
      <c r="F257" s="3"/>
      <c r="G257" s="3"/>
      <c r="H257" s="5"/>
      <c r="I257" s="5"/>
      <c r="J257" s="5"/>
      <c r="K257" s="5"/>
      <c r="L257" s="6"/>
      <c r="M257" s="6"/>
      <c r="N257" s="7"/>
    </row>
    <row x14ac:dyDescent="0.25" r="258" customHeight="1" ht="18.75">
      <c r="A258" s="10" t="s">
        <v>326</v>
      </c>
      <c r="B258" s="11">
        <v>34</v>
      </c>
      <c r="C258" s="3"/>
      <c r="D258" s="3"/>
      <c r="E258" s="5"/>
      <c r="F258" s="3"/>
      <c r="G258" s="3"/>
      <c r="H258" s="5"/>
      <c r="I258" s="5"/>
      <c r="J258" s="5"/>
      <c r="K258" s="5"/>
      <c r="L258" s="6"/>
      <c r="M258" s="6"/>
      <c r="N258" s="7"/>
    </row>
    <row x14ac:dyDescent="0.25" r="259" customHeight="1" ht="18.75">
      <c r="A259" s="10" t="s">
        <v>327</v>
      </c>
      <c r="B259" s="11">
        <v>34</v>
      </c>
      <c r="C259" s="3"/>
      <c r="D259" s="3"/>
      <c r="E259" s="5"/>
      <c r="F259" s="3"/>
      <c r="G259" s="3"/>
      <c r="H259" s="5"/>
      <c r="I259" s="5"/>
      <c r="J259" s="5"/>
      <c r="K259" s="5"/>
      <c r="L259" s="6"/>
      <c r="M259" s="6"/>
      <c r="N259" s="7"/>
    </row>
    <row x14ac:dyDescent="0.25" r="260" customHeight="1" ht="18.75">
      <c r="A260" s="10" t="s">
        <v>328</v>
      </c>
      <c r="B260" s="11">
        <v>34</v>
      </c>
      <c r="C260" s="3"/>
      <c r="D260" s="3"/>
      <c r="E260" s="5"/>
      <c r="F260" s="3"/>
      <c r="G260" s="3"/>
      <c r="H260" s="5"/>
      <c r="I260" s="5"/>
      <c r="J260" s="5"/>
      <c r="K260" s="5"/>
      <c r="L260" s="6"/>
      <c r="M260" s="6"/>
      <c r="N260" s="7"/>
    </row>
    <row x14ac:dyDescent="0.25" r="261" customHeight="1" ht="18.75">
      <c r="A261" s="10" t="s">
        <v>329</v>
      </c>
      <c r="B261" s="11">
        <v>34</v>
      </c>
      <c r="C261" s="3"/>
      <c r="D261" s="3"/>
      <c r="E261" s="5"/>
      <c r="F261" s="3"/>
      <c r="G261" s="3"/>
      <c r="H261" s="5"/>
      <c r="I261" s="5"/>
      <c r="J261" s="5"/>
      <c r="K261" s="5"/>
      <c r="L261" s="6"/>
      <c r="M261" s="6"/>
      <c r="N261" s="7"/>
    </row>
    <row x14ac:dyDescent="0.25" r="262" customHeight="1" ht="18.75">
      <c r="A262" s="10" t="s">
        <v>330</v>
      </c>
      <c r="B262" s="11">
        <v>34</v>
      </c>
      <c r="C262" s="3"/>
      <c r="D262" s="3"/>
      <c r="E262" s="5"/>
      <c r="F262" s="3"/>
      <c r="G262" s="3"/>
      <c r="H262" s="5"/>
      <c r="I262" s="5"/>
      <c r="J262" s="5"/>
      <c r="K262" s="5"/>
      <c r="L262" s="6"/>
      <c r="M262" s="6"/>
      <c r="N262" s="7"/>
    </row>
    <row x14ac:dyDescent="0.25" r="263" customHeight="1" ht="18.75">
      <c r="A263" s="10" t="s">
        <v>331</v>
      </c>
      <c r="B263" s="11">
        <v>34</v>
      </c>
      <c r="C263" s="3"/>
      <c r="D263" s="3"/>
      <c r="E263" s="5"/>
      <c r="F263" s="3"/>
      <c r="G263" s="3"/>
      <c r="H263" s="5"/>
      <c r="I263" s="5"/>
      <c r="J263" s="5"/>
      <c r="K263" s="5"/>
      <c r="L263" s="6"/>
      <c r="M263" s="6"/>
      <c r="N263" s="7"/>
    </row>
    <row x14ac:dyDescent="0.25" r="264" customHeight="1" ht="18.75">
      <c r="A264" s="10" t="s">
        <v>332</v>
      </c>
      <c r="B264" s="11">
        <v>34</v>
      </c>
      <c r="C264" s="3"/>
      <c r="D264" s="3"/>
      <c r="E264" s="5"/>
      <c r="F264" s="3"/>
      <c r="G264" s="3"/>
      <c r="H264" s="5"/>
      <c r="I264" s="5"/>
      <c r="J264" s="5"/>
      <c r="K264" s="5"/>
      <c r="L264" s="6"/>
      <c r="M264" s="6"/>
      <c r="N264" s="7"/>
    </row>
    <row x14ac:dyDescent="0.25" r="265" customHeight="1" ht="18.75">
      <c r="A265" s="10" t="s">
        <v>333</v>
      </c>
      <c r="B265" s="11">
        <v>34</v>
      </c>
      <c r="C265" s="3"/>
      <c r="D265" s="3"/>
      <c r="E265" s="5"/>
      <c r="F265" s="3"/>
      <c r="G265" s="3"/>
      <c r="H265" s="5"/>
      <c r="I265" s="5"/>
      <c r="J265" s="5"/>
      <c r="K265" s="5"/>
      <c r="L265" s="6"/>
      <c r="M265" s="6"/>
      <c r="N265" s="7"/>
    </row>
    <row x14ac:dyDescent="0.25" r="266" customHeight="1" ht="18.75">
      <c r="A266" s="10" t="s">
        <v>334</v>
      </c>
      <c r="B266" s="19">
        <v>34.5</v>
      </c>
      <c r="C266" s="3"/>
      <c r="D266" s="3"/>
      <c r="E266" s="5"/>
      <c r="F266" s="3"/>
      <c r="G266" s="3"/>
      <c r="H266" s="5"/>
      <c r="I266" s="5"/>
      <c r="J266" s="5"/>
      <c r="K266" s="5"/>
      <c r="L266" s="6"/>
      <c r="M266" s="6"/>
      <c r="N266" s="7"/>
    </row>
    <row x14ac:dyDescent="0.25" r="267" customHeight="1" ht="18.75">
      <c r="A267" s="10" t="s">
        <v>335</v>
      </c>
      <c r="B267" s="11">
        <v>35</v>
      </c>
      <c r="C267" s="3"/>
      <c r="D267" s="3"/>
      <c r="E267" s="5"/>
      <c r="F267" s="3"/>
      <c r="G267" s="3"/>
      <c r="H267" s="5"/>
      <c r="I267" s="5"/>
      <c r="J267" s="5"/>
      <c r="K267" s="5"/>
      <c r="L267" s="6"/>
      <c r="M267" s="6"/>
      <c r="N267" s="7"/>
    </row>
    <row x14ac:dyDescent="0.25" r="268" customHeight="1" ht="18.75">
      <c r="A268" s="10" t="s">
        <v>336</v>
      </c>
      <c r="B268" s="11">
        <v>35</v>
      </c>
      <c r="C268" s="3"/>
      <c r="D268" s="3"/>
      <c r="E268" s="5"/>
      <c r="F268" s="3"/>
      <c r="G268" s="3"/>
      <c r="H268" s="5"/>
      <c r="I268" s="5"/>
      <c r="J268" s="5"/>
      <c r="K268" s="5"/>
      <c r="L268" s="6"/>
      <c r="M268" s="6"/>
      <c r="N268" s="7"/>
    </row>
    <row x14ac:dyDescent="0.25" r="269" customHeight="1" ht="18.75">
      <c r="A269" s="10" t="s">
        <v>337</v>
      </c>
      <c r="B269" s="11">
        <v>35</v>
      </c>
      <c r="C269" s="3"/>
      <c r="D269" s="3"/>
      <c r="E269" s="5"/>
      <c r="F269" s="3"/>
      <c r="G269" s="3"/>
      <c r="H269" s="5"/>
      <c r="I269" s="5"/>
      <c r="J269" s="5"/>
      <c r="K269" s="5"/>
      <c r="L269" s="6"/>
      <c r="M269" s="6"/>
      <c r="N269" s="7"/>
    </row>
    <row x14ac:dyDescent="0.25" r="270" customHeight="1" ht="18.75">
      <c r="A270" s="10" t="s">
        <v>338</v>
      </c>
      <c r="B270" s="11">
        <v>35</v>
      </c>
      <c r="C270" s="3"/>
      <c r="D270" s="3"/>
      <c r="E270" s="5"/>
      <c r="F270" s="3"/>
      <c r="G270" s="3"/>
      <c r="H270" s="5"/>
      <c r="I270" s="5"/>
      <c r="J270" s="5"/>
      <c r="K270" s="5"/>
      <c r="L270" s="6"/>
      <c r="M270" s="6"/>
      <c r="N270" s="7"/>
    </row>
    <row x14ac:dyDescent="0.25" r="271" customHeight="1" ht="18.75">
      <c r="A271" s="10" t="s">
        <v>339</v>
      </c>
      <c r="B271" s="11">
        <v>35</v>
      </c>
      <c r="C271" s="3"/>
      <c r="D271" s="3"/>
      <c r="E271" s="5"/>
      <c r="F271" s="3"/>
      <c r="G271" s="3"/>
      <c r="H271" s="5"/>
      <c r="I271" s="5"/>
      <c r="J271" s="5"/>
      <c r="K271" s="5"/>
      <c r="L271" s="6"/>
      <c r="M271" s="6"/>
      <c r="N271" s="7"/>
    </row>
    <row x14ac:dyDescent="0.25" r="272" customHeight="1" ht="18.75">
      <c r="A272" s="10" t="s">
        <v>340</v>
      </c>
      <c r="B272" s="11">
        <v>35</v>
      </c>
      <c r="C272" s="3"/>
      <c r="D272" s="3"/>
      <c r="E272" s="5"/>
      <c r="F272" s="3"/>
      <c r="G272" s="3"/>
      <c r="H272" s="5"/>
      <c r="I272" s="5"/>
      <c r="J272" s="5"/>
      <c r="K272" s="5"/>
      <c r="L272" s="6"/>
      <c r="M272" s="6"/>
      <c r="N272" s="7"/>
    </row>
    <row x14ac:dyDescent="0.25" r="273" customHeight="1" ht="18.75">
      <c r="A273" s="10" t="s">
        <v>341</v>
      </c>
      <c r="B273" s="11">
        <v>35</v>
      </c>
      <c r="C273" s="3"/>
      <c r="D273" s="3"/>
      <c r="E273" s="5"/>
      <c r="F273" s="3"/>
      <c r="G273" s="3"/>
      <c r="H273" s="5"/>
      <c r="I273" s="5"/>
      <c r="J273" s="5"/>
      <c r="K273" s="5"/>
      <c r="L273" s="6"/>
      <c r="M273" s="6"/>
      <c r="N273" s="7"/>
    </row>
    <row x14ac:dyDescent="0.25" r="274" customHeight="1" ht="18.75">
      <c r="A274" s="10" t="s">
        <v>342</v>
      </c>
      <c r="B274" s="11">
        <v>35</v>
      </c>
      <c r="C274" s="3"/>
      <c r="D274" s="3"/>
      <c r="E274" s="5"/>
      <c r="F274" s="3"/>
      <c r="G274" s="3"/>
      <c r="H274" s="5"/>
      <c r="I274" s="5"/>
      <c r="J274" s="5"/>
      <c r="K274" s="5"/>
      <c r="L274" s="6"/>
      <c r="M274" s="6"/>
      <c r="N274" s="7"/>
    </row>
    <row x14ac:dyDescent="0.25" r="275" customHeight="1" ht="18.75">
      <c r="A275" s="10" t="s">
        <v>343</v>
      </c>
      <c r="B275" s="11">
        <v>35</v>
      </c>
      <c r="C275" s="3"/>
      <c r="D275" s="3"/>
      <c r="E275" s="5"/>
      <c r="F275" s="3"/>
      <c r="G275" s="3"/>
      <c r="H275" s="5"/>
      <c r="I275" s="5"/>
      <c r="J275" s="5"/>
      <c r="K275" s="5"/>
      <c r="L275" s="6"/>
      <c r="M275" s="6"/>
      <c r="N275" s="7"/>
    </row>
    <row x14ac:dyDescent="0.25" r="276" customHeight="1" ht="18.75">
      <c r="A276" s="10" t="s">
        <v>344</v>
      </c>
      <c r="B276" s="11">
        <v>35</v>
      </c>
      <c r="C276" s="3"/>
      <c r="D276" s="3"/>
      <c r="E276" s="5"/>
      <c r="F276" s="3"/>
      <c r="G276" s="3"/>
      <c r="H276" s="5"/>
      <c r="I276" s="5"/>
      <c r="J276" s="5"/>
      <c r="K276" s="5"/>
      <c r="L276" s="6"/>
      <c r="M276" s="6"/>
      <c r="N276" s="7"/>
    </row>
    <row x14ac:dyDescent="0.25" r="277" customHeight="1" ht="18.75">
      <c r="A277" s="10" t="s">
        <v>345</v>
      </c>
      <c r="B277" s="11">
        <v>35</v>
      </c>
      <c r="C277" s="3"/>
      <c r="D277" s="3"/>
      <c r="E277" s="5"/>
      <c r="F277" s="3"/>
      <c r="G277" s="3"/>
      <c r="H277" s="5"/>
      <c r="I277" s="5"/>
      <c r="J277" s="5"/>
      <c r="K277" s="5"/>
      <c r="L277" s="6"/>
      <c r="M277" s="6"/>
      <c r="N277" s="7"/>
    </row>
    <row x14ac:dyDescent="0.25" r="278" customHeight="1" ht="18.75">
      <c r="A278" s="10" t="s">
        <v>346</v>
      </c>
      <c r="B278" s="11">
        <v>35</v>
      </c>
      <c r="C278" s="3"/>
      <c r="D278" s="3"/>
      <c r="E278" s="5"/>
      <c r="F278" s="3"/>
      <c r="G278" s="3"/>
      <c r="H278" s="5"/>
      <c r="I278" s="5"/>
      <c r="J278" s="5"/>
      <c r="K278" s="5"/>
      <c r="L278" s="6"/>
      <c r="M278" s="6"/>
      <c r="N278" s="7"/>
    </row>
    <row x14ac:dyDescent="0.25" r="279" customHeight="1" ht="18.75">
      <c r="A279" s="10" t="s">
        <v>347</v>
      </c>
      <c r="B279" s="11">
        <v>35</v>
      </c>
      <c r="C279" s="3"/>
      <c r="D279" s="3"/>
      <c r="E279" s="5"/>
      <c r="F279" s="3"/>
      <c r="G279" s="3"/>
      <c r="H279" s="5"/>
      <c r="I279" s="5"/>
      <c r="J279" s="5"/>
      <c r="K279" s="5"/>
      <c r="L279" s="6"/>
      <c r="M279" s="6"/>
      <c r="N279" s="7"/>
    </row>
    <row x14ac:dyDescent="0.25" r="280" customHeight="1" ht="18.75">
      <c r="A280" s="10" t="s">
        <v>348</v>
      </c>
      <c r="B280" s="11">
        <v>35</v>
      </c>
      <c r="C280" s="3"/>
      <c r="D280" s="3"/>
      <c r="E280" s="5"/>
      <c r="F280" s="3"/>
      <c r="G280" s="3"/>
      <c r="H280" s="5"/>
      <c r="I280" s="5"/>
      <c r="J280" s="5"/>
      <c r="K280" s="5"/>
      <c r="L280" s="6"/>
      <c r="M280" s="6"/>
      <c r="N280" s="7"/>
    </row>
    <row x14ac:dyDescent="0.25" r="281" customHeight="1" ht="18.75">
      <c r="A281" s="10" t="s">
        <v>349</v>
      </c>
      <c r="B281" s="11">
        <v>35</v>
      </c>
      <c r="C281" s="3"/>
      <c r="D281" s="3"/>
      <c r="E281" s="5"/>
      <c r="F281" s="3"/>
      <c r="G281" s="3"/>
      <c r="H281" s="5"/>
      <c r="I281" s="5"/>
      <c r="J281" s="5"/>
      <c r="K281" s="5"/>
      <c r="L281" s="6"/>
      <c r="M281" s="6"/>
      <c r="N281" s="7"/>
    </row>
    <row x14ac:dyDescent="0.25" r="282" customHeight="1" ht="18.75">
      <c r="A282" s="10" t="s">
        <v>350</v>
      </c>
      <c r="B282" s="11">
        <v>35</v>
      </c>
      <c r="C282" s="3"/>
      <c r="D282" s="3"/>
      <c r="E282" s="5"/>
      <c r="F282" s="3"/>
      <c r="G282" s="3"/>
      <c r="H282" s="5"/>
      <c r="I282" s="5"/>
      <c r="J282" s="5"/>
      <c r="K282" s="5"/>
      <c r="L282" s="6"/>
      <c r="M282" s="6"/>
      <c r="N282" s="7"/>
    </row>
    <row x14ac:dyDescent="0.25" r="283" customHeight="1" ht="18.75">
      <c r="A283" s="10" t="s">
        <v>351</v>
      </c>
      <c r="B283" s="11">
        <v>35</v>
      </c>
      <c r="C283" s="3"/>
      <c r="D283" s="3"/>
      <c r="E283" s="5"/>
      <c r="F283" s="3"/>
      <c r="G283" s="3"/>
      <c r="H283" s="5"/>
      <c r="I283" s="5"/>
      <c r="J283" s="5"/>
      <c r="K283" s="5"/>
      <c r="L283" s="6"/>
      <c r="M283" s="6"/>
      <c r="N283" s="7"/>
    </row>
    <row x14ac:dyDescent="0.25" r="284" customHeight="1" ht="18.75">
      <c r="A284" s="10" t="s">
        <v>352</v>
      </c>
      <c r="B284" s="11">
        <v>35</v>
      </c>
      <c r="C284" s="3"/>
      <c r="D284" s="3"/>
      <c r="E284" s="5"/>
      <c r="F284" s="3"/>
      <c r="G284" s="3"/>
      <c r="H284" s="5"/>
      <c r="I284" s="5"/>
      <c r="J284" s="5"/>
      <c r="K284" s="5"/>
      <c r="L284" s="6"/>
      <c r="M284" s="6"/>
      <c r="N284" s="7"/>
    </row>
    <row x14ac:dyDescent="0.25" r="285" customHeight="1" ht="18.75">
      <c r="A285" s="10" t="s">
        <v>353</v>
      </c>
      <c r="B285" s="11">
        <v>36</v>
      </c>
      <c r="C285" s="3"/>
      <c r="D285" s="3"/>
      <c r="E285" s="5"/>
      <c r="F285" s="3"/>
      <c r="G285" s="3"/>
      <c r="H285" s="5"/>
      <c r="I285" s="5"/>
      <c r="J285" s="5"/>
      <c r="K285" s="5"/>
      <c r="L285" s="6"/>
      <c r="M285" s="6"/>
      <c r="N285" s="7"/>
    </row>
    <row x14ac:dyDescent="0.25" r="286" customHeight="1" ht="18.75">
      <c r="A286" s="10" t="s">
        <v>354</v>
      </c>
      <c r="B286" s="11">
        <v>36</v>
      </c>
      <c r="C286" s="3"/>
      <c r="D286" s="3"/>
      <c r="E286" s="5"/>
      <c r="F286" s="3"/>
      <c r="G286" s="3"/>
      <c r="H286" s="5"/>
      <c r="I286" s="5"/>
      <c r="J286" s="5"/>
      <c r="K286" s="5"/>
      <c r="L286" s="6"/>
      <c r="M286" s="6"/>
      <c r="N286" s="7"/>
    </row>
    <row x14ac:dyDescent="0.25" r="287" customHeight="1" ht="18.75">
      <c r="A287" s="10" t="s">
        <v>355</v>
      </c>
      <c r="B287" s="11">
        <v>36</v>
      </c>
      <c r="C287" s="3"/>
      <c r="D287" s="3"/>
      <c r="E287" s="5"/>
      <c r="F287" s="3"/>
      <c r="G287" s="3"/>
      <c r="H287" s="5"/>
      <c r="I287" s="5"/>
      <c r="J287" s="5"/>
      <c r="K287" s="5"/>
      <c r="L287" s="6"/>
      <c r="M287" s="6"/>
      <c r="N287" s="7"/>
    </row>
    <row x14ac:dyDescent="0.25" r="288" customHeight="1" ht="18.75">
      <c r="A288" s="10" t="s">
        <v>356</v>
      </c>
      <c r="B288" s="11">
        <v>36</v>
      </c>
      <c r="C288" s="3"/>
      <c r="D288" s="3"/>
      <c r="E288" s="5"/>
      <c r="F288" s="3"/>
      <c r="G288" s="3"/>
      <c r="H288" s="5"/>
      <c r="I288" s="5"/>
      <c r="J288" s="5"/>
      <c r="K288" s="5"/>
      <c r="L288" s="6"/>
      <c r="M288" s="6"/>
      <c r="N288" s="7"/>
    </row>
    <row x14ac:dyDescent="0.25" r="289" customHeight="1" ht="18.75">
      <c r="A289" s="10" t="s">
        <v>357</v>
      </c>
      <c r="B289" s="11">
        <v>36</v>
      </c>
      <c r="C289" s="3"/>
      <c r="D289" s="3"/>
      <c r="E289" s="5"/>
      <c r="F289" s="3"/>
      <c r="G289" s="3"/>
      <c r="H289" s="5"/>
      <c r="I289" s="5"/>
      <c r="J289" s="5"/>
      <c r="K289" s="5"/>
      <c r="L289" s="6"/>
      <c r="M289" s="6"/>
      <c r="N289" s="7"/>
    </row>
    <row x14ac:dyDescent="0.25" r="290" customHeight="1" ht="18.75">
      <c r="A290" s="10" t="s">
        <v>358</v>
      </c>
      <c r="B290" s="11">
        <v>36</v>
      </c>
      <c r="C290" s="3"/>
      <c r="D290" s="3"/>
      <c r="E290" s="5"/>
      <c r="F290" s="3"/>
      <c r="G290" s="3"/>
      <c r="H290" s="5"/>
      <c r="I290" s="5"/>
      <c r="J290" s="5"/>
      <c r="K290" s="5"/>
      <c r="L290" s="6"/>
      <c r="M290" s="6"/>
      <c r="N290" s="7"/>
    </row>
    <row x14ac:dyDescent="0.25" r="291" customHeight="1" ht="18.75">
      <c r="A291" s="10" t="s">
        <v>359</v>
      </c>
      <c r="B291" s="11">
        <v>36</v>
      </c>
      <c r="C291" s="3"/>
      <c r="D291" s="3"/>
      <c r="E291" s="5"/>
      <c r="F291" s="3"/>
      <c r="G291" s="3"/>
      <c r="H291" s="5"/>
      <c r="I291" s="5"/>
      <c r="J291" s="5"/>
      <c r="K291" s="5"/>
      <c r="L291" s="6"/>
      <c r="M291" s="6"/>
      <c r="N291" s="7"/>
    </row>
    <row x14ac:dyDescent="0.25" r="292" customHeight="1" ht="18.75">
      <c r="A292" s="10" t="s">
        <v>360</v>
      </c>
      <c r="B292" s="11">
        <v>36</v>
      </c>
      <c r="C292" s="3"/>
      <c r="D292" s="3"/>
      <c r="E292" s="5"/>
      <c r="F292" s="3"/>
      <c r="G292" s="3"/>
      <c r="H292" s="5"/>
      <c r="I292" s="5"/>
      <c r="J292" s="5"/>
      <c r="K292" s="5"/>
      <c r="L292" s="6"/>
      <c r="M292" s="6"/>
      <c r="N292" s="7"/>
    </row>
    <row x14ac:dyDescent="0.25" r="293" customHeight="1" ht="18.75">
      <c r="A293" s="10" t="s">
        <v>361</v>
      </c>
      <c r="B293" s="11">
        <v>36</v>
      </c>
      <c r="C293" s="3"/>
      <c r="D293" s="3"/>
      <c r="E293" s="5"/>
      <c r="F293" s="3"/>
      <c r="G293" s="3"/>
      <c r="H293" s="5"/>
      <c r="I293" s="5"/>
      <c r="J293" s="5"/>
      <c r="K293" s="5"/>
      <c r="L293" s="6"/>
      <c r="M293" s="6"/>
      <c r="N293" s="7"/>
    </row>
    <row x14ac:dyDescent="0.25" r="294" customHeight="1" ht="18.75">
      <c r="A294" s="10" t="s">
        <v>362</v>
      </c>
      <c r="B294" s="11">
        <v>36</v>
      </c>
      <c r="C294" s="3"/>
      <c r="D294" s="3"/>
      <c r="E294" s="5"/>
      <c r="F294" s="3"/>
      <c r="G294" s="3"/>
      <c r="H294" s="5"/>
      <c r="I294" s="5"/>
      <c r="J294" s="5"/>
      <c r="K294" s="5"/>
      <c r="L294" s="6"/>
      <c r="M294" s="6"/>
      <c r="N294" s="7"/>
    </row>
    <row x14ac:dyDescent="0.25" r="295" customHeight="1" ht="18.75">
      <c r="A295" s="10" t="s">
        <v>363</v>
      </c>
      <c r="B295" s="11">
        <v>36</v>
      </c>
      <c r="C295" s="3"/>
      <c r="D295" s="3"/>
      <c r="E295" s="5"/>
      <c r="F295" s="3"/>
      <c r="G295" s="3"/>
      <c r="H295" s="5"/>
      <c r="I295" s="5"/>
      <c r="J295" s="5"/>
      <c r="K295" s="5"/>
      <c r="L295" s="6"/>
      <c r="M295" s="6"/>
      <c r="N295" s="7"/>
    </row>
    <row x14ac:dyDescent="0.25" r="296" customHeight="1" ht="18.75">
      <c r="A296" s="10" t="s">
        <v>364</v>
      </c>
      <c r="B296" s="11">
        <v>36</v>
      </c>
      <c r="C296" s="3"/>
      <c r="D296" s="3"/>
      <c r="E296" s="5"/>
      <c r="F296" s="3"/>
      <c r="G296" s="3"/>
      <c r="H296" s="5"/>
      <c r="I296" s="5"/>
      <c r="J296" s="5"/>
      <c r="K296" s="5"/>
      <c r="L296" s="6"/>
      <c r="M296" s="6"/>
      <c r="N296" s="7"/>
    </row>
    <row x14ac:dyDescent="0.25" r="297" customHeight="1" ht="18.75">
      <c r="A297" s="10" t="s">
        <v>365</v>
      </c>
      <c r="B297" s="11">
        <v>36</v>
      </c>
      <c r="C297" s="3"/>
      <c r="D297" s="3"/>
      <c r="E297" s="5"/>
      <c r="F297" s="3"/>
      <c r="G297" s="3"/>
      <c r="H297" s="5"/>
      <c r="I297" s="5"/>
      <c r="J297" s="5"/>
      <c r="K297" s="5"/>
      <c r="L297" s="6"/>
      <c r="M297" s="6"/>
      <c r="N297" s="7"/>
    </row>
    <row x14ac:dyDescent="0.25" r="298" customHeight="1" ht="18.75">
      <c r="A298" s="10" t="s">
        <v>366</v>
      </c>
      <c r="B298" s="11">
        <v>36</v>
      </c>
      <c r="C298" s="3"/>
      <c r="D298" s="3"/>
      <c r="E298" s="5"/>
      <c r="F298" s="3"/>
      <c r="G298" s="3"/>
      <c r="H298" s="5"/>
      <c r="I298" s="5"/>
      <c r="J298" s="5"/>
      <c r="K298" s="5"/>
      <c r="L298" s="6"/>
      <c r="M298" s="6"/>
      <c r="N298" s="7"/>
    </row>
    <row x14ac:dyDescent="0.25" r="299" customHeight="1" ht="18.75">
      <c r="A299" s="10" t="s">
        <v>367</v>
      </c>
      <c r="B299" s="11">
        <v>36</v>
      </c>
      <c r="C299" s="3"/>
      <c r="D299" s="3"/>
      <c r="E299" s="5"/>
      <c r="F299" s="3"/>
      <c r="G299" s="3"/>
      <c r="H299" s="5"/>
      <c r="I299" s="5"/>
      <c r="J299" s="5"/>
      <c r="K299" s="5"/>
      <c r="L299" s="6"/>
      <c r="M299" s="6"/>
      <c r="N299" s="7"/>
    </row>
    <row x14ac:dyDescent="0.25" r="300" customHeight="1" ht="18.75">
      <c r="A300" s="10" t="s">
        <v>368</v>
      </c>
      <c r="B300" s="11">
        <v>36</v>
      </c>
      <c r="C300" s="3"/>
      <c r="D300" s="3"/>
      <c r="E300" s="5"/>
      <c r="F300" s="3"/>
      <c r="G300" s="3"/>
      <c r="H300" s="5"/>
      <c r="I300" s="5"/>
      <c r="J300" s="5"/>
      <c r="K300" s="5"/>
      <c r="L300" s="6"/>
      <c r="M300" s="6"/>
      <c r="N300" s="7"/>
    </row>
    <row x14ac:dyDescent="0.25" r="301" customHeight="1" ht="18.75">
      <c r="A301" s="10" t="s">
        <v>369</v>
      </c>
      <c r="B301" s="11">
        <v>36</v>
      </c>
      <c r="C301" s="3"/>
      <c r="D301" s="3"/>
      <c r="E301" s="5"/>
      <c r="F301" s="3"/>
      <c r="G301" s="3"/>
      <c r="H301" s="5"/>
      <c r="I301" s="5"/>
      <c r="J301" s="5"/>
      <c r="K301" s="5"/>
      <c r="L301" s="6"/>
      <c r="M301" s="6"/>
      <c r="N301" s="7"/>
    </row>
    <row x14ac:dyDescent="0.25" r="302" customHeight="1" ht="18.75">
      <c r="A302" s="10" t="s">
        <v>370</v>
      </c>
      <c r="B302" s="11">
        <v>36</v>
      </c>
      <c r="C302" s="3"/>
      <c r="D302" s="3"/>
      <c r="E302" s="5"/>
      <c r="F302" s="3"/>
      <c r="G302" s="3"/>
      <c r="H302" s="5"/>
      <c r="I302" s="5"/>
      <c r="J302" s="5"/>
      <c r="K302" s="5"/>
      <c r="L302" s="6"/>
      <c r="M302" s="6"/>
      <c r="N302" s="7"/>
    </row>
    <row x14ac:dyDescent="0.25" r="303" customHeight="1" ht="18.75">
      <c r="A303" s="10" t="s">
        <v>371</v>
      </c>
      <c r="B303" s="11">
        <v>36</v>
      </c>
      <c r="C303" s="3"/>
      <c r="D303" s="3"/>
      <c r="E303" s="5"/>
      <c r="F303" s="3"/>
      <c r="G303" s="3"/>
      <c r="H303" s="5"/>
      <c r="I303" s="5"/>
      <c r="J303" s="5"/>
      <c r="K303" s="5"/>
      <c r="L303" s="6"/>
      <c r="M303" s="6"/>
      <c r="N303" s="7"/>
    </row>
    <row x14ac:dyDescent="0.25" r="304" customHeight="1" ht="18.75">
      <c r="A304" s="10" t="s">
        <v>372</v>
      </c>
      <c r="B304" s="11">
        <v>36</v>
      </c>
      <c r="C304" s="3"/>
      <c r="D304" s="3"/>
      <c r="E304" s="5"/>
      <c r="F304" s="3"/>
      <c r="G304" s="3"/>
      <c r="H304" s="5"/>
      <c r="I304" s="5"/>
      <c r="J304" s="5"/>
      <c r="K304" s="5"/>
      <c r="L304" s="6"/>
      <c r="M304" s="6"/>
      <c r="N304" s="7"/>
    </row>
    <row x14ac:dyDescent="0.25" r="305" customHeight="1" ht="18.75">
      <c r="A305" s="10" t="s">
        <v>373</v>
      </c>
      <c r="B305" s="11">
        <v>36</v>
      </c>
      <c r="C305" s="3"/>
      <c r="D305" s="3"/>
      <c r="E305" s="5"/>
      <c r="F305" s="3"/>
      <c r="G305" s="3"/>
      <c r="H305" s="5"/>
      <c r="I305" s="5"/>
      <c r="J305" s="5"/>
      <c r="K305" s="5"/>
      <c r="L305" s="6"/>
      <c r="M305" s="6"/>
      <c r="N305" s="7"/>
    </row>
    <row x14ac:dyDescent="0.25" r="306" customHeight="1" ht="18.75">
      <c r="A306" s="10" t="s">
        <v>374</v>
      </c>
      <c r="B306" s="11">
        <v>36</v>
      </c>
      <c r="C306" s="3"/>
      <c r="D306" s="3"/>
      <c r="E306" s="5"/>
      <c r="F306" s="3"/>
      <c r="G306" s="3"/>
      <c r="H306" s="5"/>
      <c r="I306" s="5"/>
      <c r="J306" s="5"/>
      <c r="K306" s="5"/>
      <c r="L306" s="6"/>
      <c r="M306" s="6"/>
      <c r="N306" s="7"/>
    </row>
    <row x14ac:dyDescent="0.25" r="307" customHeight="1" ht="18.75">
      <c r="A307" s="10" t="s">
        <v>375</v>
      </c>
      <c r="B307" s="11">
        <v>36</v>
      </c>
      <c r="C307" s="3"/>
      <c r="D307" s="3"/>
      <c r="E307" s="5"/>
      <c r="F307" s="3"/>
      <c r="G307" s="3"/>
      <c r="H307" s="5"/>
      <c r="I307" s="5"/>
      <c r="J307" s="5"/>
      <c r="K307" s="5"/>
      <c r="L307" s="6"/>
      <c r="M307" s="6"/>
      <c r="N307" s="7"/>
    </row>
    <row x14ac:dyDescent="0.25" r="308" customHeight="1" ht="18.75">
      <c r="A308" s="10" t="s">
        <v>376</v>
      </c>
      <c r="B308" s="11">
        <v>36</v>
      </c>
      <c r="C308" s="3"/>
      <c r="D308" s="3"/>
      <c r="E308" s="5"/>
      <c r="F308" s="3"/>
      <c r="G308" s="3"/>
      <c r="H308" s="5"/>
      <c r="I308" s="5"/>
      <c r="J308" s="5"/>
      <c r="K308" s="5"/>
      <c r="L308" s="6"/>
      <c r="M308" s="6"/>
      <c r="N308" s="7"/>
    </row>
    <row x14ac:dyDescent="0.25" r="309" customHeight="1" ht="18.75">
      <c r="A309" s="10" t="s">
        <v>377</v>
      </c>
      <c r="B309" s="11">
        <v>36</v>
      </c>
      <c r="C309" s="3"/>
      <c r="D309" s="3"/>
      <c r="E309" s="5"/>
      <c r="F309" s="3"/>
      <c r="G309" s="3"/>
      <c r="H309" s="5"/>
      <c r="I309" s="5"/>
      <c r="J309" s="5"/>
      <c r="K309" s="5"/>
      <c r="L309" s="6"/>
      <c r="M309" s="6"/>
      <c r="N309" s="7"/>
    </row>
    <row x14ac:dyDescent="0.25" r="310" customHeight="1" ht="18.75">
      <c r="A310" s="10" t="s">
        <v>378</v>
      </c>
      <c r="B310" s="11">
        <v>36</v>
      </c>
      <c r="C310" s="3"/>
      <c r="D310" s="3"/>
      <c r="E310" s="5"/>
      <c r="F310" s="3"/>
      <c r="G310" s="3"/>
      <c r="H310" s="5"/>
      <c r="I310" s="5"/>
      <c r="J310" s="5"/>
      <c r="K310" s="5"/>
      <c r="L310" s="6"/>
      <c r="M310" s="6"/>
      <c r="N310" s="7"/>
    </row>
    <row x14ac:dyDescent="0.25" r="311" customHeight="1" ht="18.75">
      <c r="A311" s="10" t="s">
        <v>379</v>
      </c>
      <c r="B311" s="11">
        <v>36</v>
      </c>
      <c r="C311" s="3"/>
      <c r="D311" s="3"/>
      <c r="E311" s="5"/>
      <c r="F311" s="3"/>
      <c r="G311" s="3"/>
      <c r="H311" s="5"/>
      <c r="I311" s="5"/>
      <c r="J311" s="5"/>
      <c r="K311" s="5"/>
      <c r="L311" s="6"/>
      <c r="M311" s="6"/>
      <c r="N311" s="7"/>
    </row>
    <row x14ac:dyDescent="0.25" r="312" customHeight="1" ht="18.75">
      <c r="A312" s="10" t="s">
        <v>380</v>
      </c>
      <c r="B312" s="11">
        <v>36</v>
      </c>
      <c r="C312" s="3"/>
      <c r="D312" s="3"/>
      <c r="E312" s="5"/>
      <c r="F312" s="3"/>
      <c r="G312" s="3"/>
      <c r="H312" s="5"/>
      <c r="I312" s="5"/>
      <c r="J312" s="5"/>
      <c r="K312" s="5"/>
      <c r="L312" s="6"/>
      <c r="M312" s="6"/>
      <c r="N312" s="7"/>
    </row>
    <row x14ac:dyDescent="0.25" r="313" customHeight="1" ht="18.75">
      <c r="A313" s="10" t="s">
        <v>381</v>
      </c>
      <c r="B313" s="11">
        <v>37</v>
      </c>
      <c r="C313" s="3"/>
      <c r="D313" s="3"/>
      <c r="E313" s="5"/>
      <c r="F313" s="3"/>
      <c r="G313" s="3"/>
      <c r="H313" s="5"/>
      <c r="I313" s="5"/>
      <c r="J313" s="5"/>
      <c r="K313" s="5"/>
      <c r="L313" s="6"/>
      <c r="M313" s="6"/>
      <c r="N313" s="7"/>
    </row>
    <row x14ac:dyDescent="0.25" r="314" customHeight="1" ht="18.75">
      <c r="A314" s="10" t="s">
        <v>382</v>
      </c>
      <c r="B314" s="11">
        <v>37</v>
      </c>
      <c r="C314" s="3"/>
      <c r="D314" s="3"/>
      <c r="E314" s="5"/>
      <c r="F314" s="3"/>
      <c r="G314" s="3"/>
      <c r="H314" s="5"/>
      <c r="I314" s="5"/>
      <c r="J314" s="5"/>
      <c r="K314" s="5"/>
      <c r="L314" s="6"/>
      <c r="M314" s="6"/>
      <c r="N314" s="7"/>
    </row>
    <row x14ac:dyDescent="0.25" r="315" customHeight="1" ht="18.75">
      <c r="A315" s="10" t="s">
        <v>383</v>
      </c>
      <c r="B315" s="11">
        <v>37</v>
      </c>
      <c r="C315" s="3"/>
      <c r="D315" s="3"/>
      <c r="E315" s="5"/>
      <c r="F315" s="3"/>
      <c r="G315" s="3"/>
      <c r="H315" s="5"/>
      <c r="I315" s="5"/>
      <c r="J315" s="5"/>
      <c r="K315" s="5"/>
      <c r="L315" s="6"/>
      <c r="M315" s="6"/>
      <c r="N315" s="7"/>
    </row>
    <row x14ac:dyDescent="0.25" r="316" customHeight="1" ht="18.75">
      <c r="A316" s="10" t="s">
        <v>384</v>
      </c>
      <c r="B316" s="11">
        <v>37</v>
      </c>
      <c r="C316" s="3"/>
      <c r="D316" s="3"/>
      <c r="E316" s="5"/>
      <c r="F316" s="3"/>
      <c r="G316" s="3"/>
      <c r="H316" s="5"/>
      <c r="I316" s="5"/>
      <c r="J316" s="5"/>
      <c r="K316" s="5"/>
      <c r="L316" s="6"/>
      <c r="M316" s="6"/>
      <c r="N316" s="7"/>
    </row>
    <row x14ac:dyDescent="0.25" r="317" customHeight="1" ht="18.75">
      <c r="A317" s="10" t="s">
        <v>385</v>
      </c>
      <c r="B317" s="11">
        <v>37</v>
      </c>
      <c r="C317" s="3"/>
      <c r="D317" s="3"/>
      <c r="E317" s="5"/>
      <c r="F317" s="3"/>
      <c r="G317" s="3"/>
      <c r="H317" s="5"/>
      <c r="I317" s="5"/>
      <c r="J317" s="5"/>
      <c r="K317" s="5"/>
      <c r="L317" s="6"/>
      <c r="M317" s="6"/>
      <c r="N317" s="7"/>
    </row>
    <row x14ac:dyDescent="0.25" r="318" customHeight="1" ht="18.75">
      <c r="A318" s="10" t="s">
        <v>386</v>
      </c>
      <c r="B318" s="11">
        <v>37</v>
      </c>
      <c r="C318" s="3"/>
      <c r="D318" s="3"/>
      <c r="E318" s="5"/>
      <c r="F318" s="3"/>
      <c r="G318" s="3"/>
      <c r="H318" s="5"/>
      <c r="I318" s="5"/>
      <c r="J318" s="5"/>
      <c r="K318" s="5"/>
      <c r="L318" s="6"/>
      <c r="M318" s="6"/>
      <c r="N318" s="7"/>
    </row>
    <row x14ac:dyDescent="0.25" r="319" customHeight="1" ht="18.75">
      <c r="A319" s="10" t="s">
        <v>387</v>
      </c>
      <c r="B319" s="11">
        <v>37</v>
      </c>
      <c r="C319" s="3"/>
      <c r="D319" s="3"/>
      <c r="E319" s="5"/>
      <c r="F319" s="3"/>
      <c r="G319" s="3"/>
      <c r="H319" s="5"/>
      <c r="I319" s="5"/>
      <c r="J319" s="5"/>
      <c r="K319" s="5"/>
      <c r="L319" s="6"/>
      <c r="M319" s="6"/>
      <c r="N319" s="7"/>
    </row>
    <row x14ac:dyDescent="0.25" r="320" customHeight="1" ht="18.75">
      <c r="A320" s="10" t="s">
        <v>388</v>
      </c>
      <c r="B320" s="11">
        <v>37</v>
      </c>
      <c r="C320" s="3"/>
      <c r="D320" s="3"/>
      <c r="E320" s="5"/>
      <c r="F320" s="3"/>
      <c r="G320" s="3"/>
      <c r="H320" s="5"/>
      <c r="I320" s="5"/>
      <c r="J320" s="5"/>
      <c r="K320" s="5"/>
      <c r="L320" s="6"/>
      <c r="M320" s="6"/>
      <c r="N320" s="7"/>
    </row>
    <row x14ac:dyDescent="0.25" r="321" customHeight="1" ht="18.75">
      <c r="A321" s="10" t="s">
        <v>389</v>
      </c>
      <c r="B321" s="11">
        <v>37</v>
      </c>
      <c r="C321" s="3"/>
      <c r="D321" s="3"/>
      <c r="E321" s="5"/>
      <c r="F321" s="3"/>
      <c r="G321" s="3"/>
      <c r="H321" s="5"/>
      <c r="I321" s="5"/>
      <c r="J321" s="5"/>
      <c r="K321" s="5"/>
      <c r="L321" s="6"/>
      <c r="M321" s="6"/>
      <c r="N321" s="7"/>
    </row>
    <row x14ac:dyDescent="0.25" r="322" customHeight="1" ht="18.75">
      <c r="A322" s="10" t="s">
        <v>390</v>
      </c>
      <c r="B322" s="11">
        <v>37</v>
      </c>
      <c r="C322" s="3"/>
      <c r="D322" s="3"/>
      <c r="E322" s="5"/>
      <c r="F322" s="3"/>
      <c r="G322" s="3"/>
      <c r="H322" s="5"/>
      <c r="I322" s="5"/>
      <c r="J322" s="5"/>
      <c r="K322" s="5"/>
      <c r="L322" s="6"/>
      <c r="M322" s="6"/>
      <c r="N322" s="7"/>
    </row>
    <row x14ac:dyDescent="0.25" r="323" customHeight="1" ht="18.75">
      <c r="A323" s="10" t="s">
        <v>391</v>
      </c>
      <c r="B323" s="11">
        <v>37</v>
      </c>
      <c r="C323" s="3"/>
      <c r="D323" s="3"/>
      <c r="E323" s="5"/>
      <c r="F323" s="3"/>
      <c r="G323" s="3"/>
      <c r="H323" s="5"/>
      <c r="I323" s="5"/>
      <c r="J323" s="5"/>
      <c r="K323" s="5"/>
      <c r="L323" s="6"/>
      <c r="M323" s="6"/>
      <c r="N323" s="7"/>
    </row>
    <row x14ac:dyDescent="0.25" r="324" customHeight="1" ht="18.75">
      <c r="A324" s="10" t="s">
        <v>392</v>
      </c>
      <c r="B324" s="11">
        <v>37</v>
      </c>
      <c r="C324" s="3"/>
      <c r="D324" s="3"/>
      <c r="E324" s="5"/>
      <c r="F324" s="3"/>
      <c r="G324" s="3"/>
      <c r="H324" s="5"/>
      <c r="I324" s="5"/>
      <c r="J324" s="5"/>
      <c r="K324" s="5"/>
      <c r="L324" s="6"/>
      <c r="M324" s="6"/>
      <c r="N324" s="7"/>
    </row>
    <row x14ac:dyDescent="0.25" r="325" customHeight="1" ht="18.75">
      <c r="A325" s="10" t="s">
        <v>393</v>
      </c>
      <c r="B325" s="11">
        <v>37</v>
      </c>
      <c r="C325" s="3"/>
      <c r="D325" s="3"/>
      <c r="E325" s="5"/>
      <c r="F325" s="3"/>
      <c r="G325" s="3"/>
      <c r="H325" s="5"/>
      <c r="I325" s="5"/>
      <c r="J325" s="5"/>
      <c r="K325" s="5"/>
      <c r="L325" s="6"/>
      <c r="M325" s="6"/>
      <c r="N325" s="7"/>
    </row>
    <row x14ac:dyDescent="0.25" r="326" customHeight="1" ht="18.75">
      <c r="A326" s="10" t="s">
        <v>394</v>
      </c>
      <c r="B326" s="11">
        <v>37</v>
      </c>
      <c r="C326" s="3"/>
      <c r="D326" s="3"/>
      <c r="E326" s="5"/>
      <c r="F326" s="3"/>
      <c r="G326" s="3"/>
      <c r="H326" s="5"/>
      <c r="I326" s="5"/>
      <c r="J326" s="5"/>
      <c r="K326" s="5"/>
      <c r="L326" s="6"/>
      <c r="M326" s="6"/>
      <c r="N326" s="7"/>
    </row>
    <row x14ac:dyDescent="0.25" r="327" customHeight="1" ht="18.75">
      <c r="A327" s="10" t="s">
        <v>395</v>
      </c>
      <c r="B327" s="11">
        <v>37</v>
      </c>
      <c r="C327" s="3"/>
      <c r="D327" s="3"/>
      <c r="E327" s="5"/>
      <c r="F327" s="3"/>
      <c r="G327" s="3"/>
      <c r="H327" s="5"/>
      <c r="I327" s="5"/>
      <c r="J327" s="5"/>
      <c r="K327" s="5"/>
      <c r="L327" s="6"/>
      <c r="M327" s="6"/>
      <c r="N327" s="7"/>
    </row>
    <row x14ac:dyDescent="0.25" r="328" customHeight="1" ht="18.75">
      <c r="A328" s="10" t="s">
        <v>396</v>
      </c>
      <c r="B328" s="11">
        <v>37</v>
      </c>
      <c r="C328" s="3"/>
      <c r="D328" s="3"/>
      <c r="E328" s="5"/>
      <c r="F328" s="3"/>
      <c r="G328" s="3"/>
      <c r="H328" s="5"/>
      <c r="I328" s="5"/>
      <c r="J328" s="5"/>
      <c r="K328" s="5"/>
      <c r="L328" s="6"/>
      <c r="M328" s="6"/>
      <c r="N328" s="7"/>
    </row>
    <row x14ac:dyDescent="0.25" r="329" customHeight="1" ht="18.75">
      <c r="A329" s="10" t="s">
        <v>397</v>
      </c>
      <c r="B329" s="11">
        <v>37</v>
      </c>
      <c r="C329" s="3"/>
      <c r="D329" s="3"/>
      <c r="E329" s="5"/>
      <c r="F329" s="3"/>
      <c r="G329" s="3"/>
      <c r="H329" s="5"/>
      <c r="I329" s="5"/>
      <c r="J329" s="5"/>
      <c r="K329" s="5"/>
      <c r="L329" s="6"/>
      <c r="M329" s="6"/>
      <c r="N329" s="7"/>
    </row>
    <row x14ac:dyDescent="0.25" r="330" customHeight="1" ht="18.75">
      <c r="A330" s="10" t="s">
        <v>398</v>
      </c>
      <c r="B330" s="11">
        <v>37</v>
      </c>
      <c r="C330" s="3"/>
      <c r="D330" s="3"/>
      <c r="E330" s="5"/>
      <c r="F330" s="3"/>
      <c r="G330" s="3"/>
      <c r="H330" s="5"/>
      <c r="I330" s="5"/>
      <c r="J330" s="5"/>
      <c r="K330" s="5"/>
      <c r="L330" s="6"/>
      <c r="M330" s="6"/>
      <c r="N330" s="7"/>
    </row>
    <row x14ac:dyDescent="0.25" r="331" customHeight="1" ht="18.75">
      <c r="A331" s="10" t="s">
        <v>399</v>
      </c>
      <c r="B331" s="11">
        <v>37</v>
      </c>
      <c r="C331" s="3"/>
      <c r="D331" s="3"/>
      <c r="E331" s="5"/>
      <c r="F331" s="3"/>
      <c r="G331" s="3"/>
      <c r="H331" s="5"/>
      <c r="I331" s="5"/>
      <c r="J331" s="5"/>
      <c r="K331" s="5"/>
      <c r="L331" s="6"/>
      <c r="M331" s="6"/>
      <c r="N331" s="7"/>
    </row>
    <row x14ac:dyDescent="0.25" r="332" customHeight="1" ht="18.75">
      <c r="A332" s="10" t="s">
        <v>400</v>
      </c>
      <c r="B332" s="11">
        <v>37</v>
      </c>
      <c r="C332" s="3"/>
      <c r="D332" s="3"/>
      <c r="E332" s="5"/>
      <c r="F332" s="3"/>
      <c r="G332" s="3"/>
      <c r="H332" s="5"/>
      <c r="I332" s="5"/>
      <c r="J332" s="5"/>
      <c r="K332" s="5"/>
      <c r="L332" s="6"/>
      <c r="M332" s="6"/>
      <c r="N332" s="7"/>
    </row>
    <row x14ac:dyDescent="0.25" r="333" customHeight="1" ht="18.75">
      <c r="A333" s="10" t="s">
        <v>401</v>
      </c>
      <c r="B333" s="11">
        <v>37</v>
      </c>
      <c r="C333" s="3"/>
      <c r="D333" s="3"/>
      <c r="E333" s="5"/>
      <c r="F333" s="3"/>
      <c r="G333" s="3"/>
      <c r="H333" s="5"/>
      <c r="I333" s="5"/>
      <c r="J333" s="5"/>
      <c r="K333" s="5"/>
      <c r="L333" s="6"/>
      <c r="M333" s="6"/>
      <c r="N333" s="7"/>
    </row>
    <row x14ac:dyDescent="0.25" r="334" customHeight="1" ht="18.75">
      <c r="A334" s="10" t="s">
        <v>402</v>
      </c>
      <c r="B334" s="11">
        <v>37</v>
      </c>
      <c r="C334" s="3"/>
      <c r="D334" s="3"/>
      <c r="E334" s="5"/>
      <c r="F334" s="3"/>
      <c r="G334" s="3"/>
      <c r="H334" s="5"/>
      <c r="I334" s="5"/>
      <c r="J334" s="5"/>
      <c r="K334" s="5"/>
      <c r="L334" s="6"/>
      <c r="M334" s="6"/>
      <c r="N334" s="7"/>
    </row>
    <row x14ac:dyDescent="0.25" r="335" customHeight="1" ht="18.75">
      <c r="A335" s="10" t="s">
        <v>403</v>
      </c>
      <c r="B335" s="11">
        <v>37</v>
      </c>
      <c r="C335" s="3"/>
      <c r="D335" s="3"/>
      <c r="E335" s="5"/>
      <c r="F335" s="3"/>
      <c r="G335" s="3"/>
      <c r="H335" s="5"/>
      <c r="I335" s="5"/>
      <c r="J335" s="5"/>
      <c r="K335" s="5"/>
      <c r="L335" s="6"/>
      <c r="M335" s="6"/>
      <c r="N335" s="7"/>
    </row>
    <row x14ac:dyDescent="0.25" r="336" customHeight="1" ht="18.75">
      <c r="A336" s="10" t="s">
        <v>404</v>
      </c>
      <c r="B336" s="11">
        <v>37</v>
      </c>
      <c r="C336" s="3"/>
      <c r="D336" s="3"/>
      <c r="E336" s="5"/>
      <c r="F336" s="3"/>
      <c r="G336" s="3"/>
      <c r="H336" s="5"/>
      <c r="I336" s="5"/>
      <c r="J336" s="5"/>
      <c r="K336" s="5"/>
      <c r="L336" s="6"/>
      <c r="M336" s="6"/>
      <c r="N336" s="7"/>
    </row>
    <row x14ac:dyDescent="0.25" r="337" customHeight="1" ht="18.75">
      <c r="A337" s="10" t="s">
        <v>405</v>
      </c>
      <c r="B337" s="11">
        <v>37</v>
      </c>
      <c r="C337" s="3"/>
      <c r="D337" s="3"/>
      <c r="E337" s="5"/>
      <c r="F337" s="3"/>
      <c r="G337" s="3"/>
      <c r="H337" s="5"/>
      <c r="I337" s="5"/>
      <c r="J337" s="5"/>
      <c r="K337" s="5"/>
      <c r="L337" s="6"/>
      <c r="M337" s="6"/>
      <c r="N337" s="7"/>
    </row>
    <row x14ac:dyDescent="0.25" r="338" customHeight="1" ht="18.75">
      <c r="A338" s="10" t="s">
        <v>406</v>
      </c>
      <c r="B338" s="11">
        <v>37</v>
      </c>
      <c r="C338" s="3"/>
      <c r="D338" s="3"/>
      <c r="E338" s="5"/>
      <c r="F338" s="3"/>
      <c r="G338" s="3"/>
      <c r="H338" s="5"/>
      <c r="I338" s="5"/>
      <c r="J338" s="5"/>
      <c r="K338" s="5"/>
      <c r="L338" s="6"/>
      <c r="M338" s="6"/>
      <c r="N338" s="7"/>
    </row>
    <row x14ac:dyDescent="0.25" r="339" customHeight="1" ht="18.75">
      <c r="A339" s="10" t="s">
        <v>407</v>
      </c>
      <c r="B339" s="11">
        <v>37</v>
      </c>
      <c r="C339" s="3"/>
      <c r="D339" s="3"/>
      <c r="E339" s="5"/>
      <c r="F339" s="3"/>
      <c r="G339" s="3"/>
      <c r="H339" s="5"/>
      <c r="I339" s="5"/>
      <c r="J339" s="5"/>
      <c r="K339" s="5"/>
      <c r="L339" s="6"/>
      <c r="M339" s="6"/>
      <c r="N339" s="7"/>
    </row>
    <row x14ac:dyDescent="0.25" r="340" customHeight="1" ht="18.75">
      <c r="A340" s="10" t="s">
        <v>408</v>
      </c>
      <c r="B340" s="11">
        <v>37</v>
      </c>
      <c r="C340" s="3"/>
      <c r="D340" s="3"/>
      <c r="E340" s="5"/>
      <c r="F340" s="3"/>
      <c r="G340" s="3"/>
      <c r="H340" s="5"/>
      <c r="I340" s="5"/>
      <c r="J340" s="5"/>
      <c r="K340" s="5"/>
      <c r="L340" s="6"/>
      <c r="M340" s="6"/>
      <c r="N340" s="7"/>
    </row>
    <row x14ac:dyDescent="0.25" r="341" customHeight="1" ht="18.75">
      <c r="A341" s="10" t="s">
        <v>409</v>
      </c>
      <c r="B341" s="11">
        <v>38</v>
      </c>
      <c r="C341" s="3"/>
      <c r="D341" s="3"/>
      <c r="E341" s="5"/>
      <c r="F341" s="3"/>
      <c r="G341" s="3"/>
      <c r="H341" s="5"/>
      <c r="I341" s="5"/>
      <c r="J341" s="5"/>
      <c r="K341" s="5"/>
      <c r="L341" s="6"/>
      <c r="M341" s="6"/>
      <c r="N341" s="7"/>
    </row>
    <row x14ac:dyDescent="0.25" r="342" customHeight="1" ht="18.75">
      <c r="A342" s="10" t="s">
        <v>410</v>
      </c>
      <c r="B342" s="11">
        <v>38</v>
      </c>
      <c r="C342" s="3"/>
      <c r="D342" s="3"/>
      <c r="E342" s="5"/>
      <c r="F342" s="3"/>
      <c r="G342" s="3"/>
      <c r="H342" s="5"/>
      <c r="I342" s="5"/>
      <c r="J342" s="5"/>
      <c r="K342" s="5"/>
      <c r="L342" s="6"/>
      <c r="M342" s="6"/>
      <c r="N342" s="7"/>
    </row>
    <row x14ac:dyDescent="0.25" r="343" customHeight="1" ht="18.75">
      <c r="A343" s="10" t="s">
        <v>411</v>
      </c>
      <c r="B343" s="11">
        <v>38</v>
      </c>
      <c r="C343" s="3"/>
      <c r="D343" s="3"/>
      <c r="E343" s="5"/>
      <c r="F343" s="3"/>
      <c r="G343" s="3"/>
      <c r="H343" s="5"/>
      <c r="I343" s="5"/>
      <c r="J343" s="5"/>
      <c r="K343" s="5"/>
      <c r="L343" s="6"/>
      <c r="M343" s="6"/>
      <c r="N343" s="7"/>
    </row>
    <row x14ac:dyDescent="0.25" r="344" customHeight="1" ht="18.75">
      <c r="A344" s="10" t="s">
        <v>412</v>
      </c>
      <c r="B344" s="11">
        <v>38</v>
      </c>
      <c r="C344" s="3"/>
      <c r="D344" s="3"/>
      <c r="E344" s="5"/>
      <c r="F344" s="3"/>
      <c r="G344" s="3"/>
      <c r="H344" s="5"/>
      <c r="I344" s="5"/>
      <c r="J344" s="5"/>
      <c r="K344" s="5"/>
      <c r="L344" s="6"/>
      <c r="M344" s="6"/>
      <c r="N344" s="7"/>
    </row>
    <row x14ac:dyDescent="0.25" r="345" customHeight="1" ht="18.75">
      <c r="A345" s="10" t="s">
        <v>413</v>
      </c>
      <c r="B345" s="11">
        <v>38</v>
      </c>
      <c r="C345" s="3"/>
      <c r="D345" s="3"/>
      <c r="E345" s="5"/>
      <c r="F345" s="3"/>
      <c r="G345" s="3"/>
      <c r="H345" s="5"/>
      <c r="I345" s="5"/>
      <c r="J345" s="5"/>
      <c r="K345" s="5"/>
      <c r="L345" s="6"/>
      <c r="M345" s="6"/>
      <c r="N345" s="7"/>
    </row>
    <row x14ac:dyDescent="0.25" r="346" customHeight="1" ht="18.75">
      <c r="A346" s="10" t="s">
        <v>414</v>
      </c>
      <c r="B346" s="11">
        <v>38</v>
      </c>
      <c r="C346" s="3"/>
      <c r="D346" s="3"/>
      <c r="E346" s="5"/>
      <c r="F346" s="3"/>
      <c r="G346" s="3"/>
      <c r="H346" s="5"/>
      <c r="I346" s="5"/>
      <c r="J346" s="5"/>
      <c r="K346" s="5"/>
      <c r="L346" s="6"/>
      <c r="M346" s="6"/>
      <c r="N346" s="7"/>
    </row>
    <row x14ac:dyDescent="0.25" r="347" customHeight="1" ht="18.75">
      <c r="A347" s="10" t="s">
        <v>415</v>
      </c>
      <c r="B347" s="11">
        <v>38</v>
      </c>
      <c r="C347" s="3"/>
      <c r="D347" s="3"/>
      <c r="E347" s="5"/>
      <c r="F347" s="3"/>
      <c r="G347" s="3"/>
      <c r="H347" s="5"/>
      <c r="I347" s="5"/>
      <c r="J347" s="5"/>
      <c r="K347" s="5"/>
      <c r="L347" s="6"/>
      <c r="M347" s="6"/>
      <c r="N347" s="7"/>
    </row>
    <row x14ac:dyDescent="0.25" r="348" customHeight="1" ht="18.75">
      <c r="A348" s="10" t="s">
        <v>416</v>
      </c>
      <c r="B348" s="11">
        <v>38</v>
      </c>
      <c r="C348" s="3"/>
      <c r="D348" s="3"/>
      <c r="E348" s="5"/>
      <c r="F348" s="3"/>
      <c r="G348" s="3"/>
      <c r="H348" s="5"/>
      <c r="I348" s="5"/>
      <c r="J348" s="5"/>
      <c r="K348" s="5"/>
      <c r="L348" s="6"/>
      <c r="M348" s="6"/>
      <c r="N348" s="7"/>
    </row>
    <row x14ac:dyDescent="0.25" r="349" customHeight="1" ht="18.75">
      <c r="A349" s="10" t="s">
        <v>417</v>
      </c>
      <c r="B349" s="11">
        <v>38</v>
      </c>
      <c r="C349" s="3"/>
      <c r="D349" s="3"/>
      <c r="E349" s="5"/>
      <c r="F349" s="3"/>
      <c r="G349" s="3"/>
      <c r="H349" s="5"/>
      <c r="I349" s="5"/>
      <c r="J349" s="5"/>
      <c r="K349" s="5"/>
      <c r="L349" s="6"/>
      <c r="M349" s="6"/>
      <c r="N349" s="7"/>
    </row>
    <row x14ac:dyDescent="0.25" r="350" customHeight="1" ht="18.75">
      <c r="A350" s="10" t="s">
        <v>418</v>
      </c>
      <c r="B350" s="11">
        <v>38</v>
      </c>
      <c r="C350" s="3"/>
      <c r="D350" s="3"/>
      <c r="E350" s="5"/>
      <c r="F350" s="3"/>
      <c r="G350" s="3"/>
      <c r="H350" s="5"/>
      <c r="I350" s="5"/>
      <c r="J350" s="5"/>
      <c r="K350" s="5"/>
      <c r="L350" s="6"/>
      <c r="M350" s="6"/>
      <c r="N350" s="7"/>
    </row>
    <row x14ac:dyDescent="0.25" r="351" customHeight="1" ht="18.75">
      <c r="A351" s="10" t="s">
        <v>419</v>
      </c>
      <c r="B351" s="11">
        <v>38</v>
      </c>
      <c r="C351" s="3"/>
      <c r="D351" s="3"/>
      <c r="E351" s="5"/>
      <c r="F351" s="3"/>
      <c r="G351" s="3"/>
      <c r="H351" s="5"/>
      <c r="I351" s="5"/>
      <c r="J351" s="5"/>
      <c r="K351" s="5"/>
      <c r="L351" s="6"/>
      <c r="M351" s="6"/>
      <c r="N351" s="7"/>
    </row>
    <row x14ac:dyDescent="0.25" r="352" customHeight="1" ht="18.75">
      <c r="A352" s="10" t="s">
        <v>420</v>
      </c>
      <c r="B352" s="11">
        <v>38</v>
      </c>
      <c r="C352" s="3"/>
      <c r="D352" s="3"/>
      <c r="E352" s="5"/>
      <c r="F352" s="3"/>
      <c r="G352" s="3"/>
      <c r="H352" s="5"/>
      <c r="I352" s="5"/>
      <c r="J352" s="5"/>
      <c r="K352" s="5"/>
      <c r="L352" s="6"/>
      <c r="M352" s="6"/>
      <c r="N352" s="7"/>
    </row>
    <row x14ac:dyDescent="0.25" r="353" customHeight="1" ht="18.75">
      <c r="A353" s="10" t="s">
        <v>421</v>
      </c>
      <c r="B353" s="11">
        <v>38</v>
      </c>
      <c r="C353" s="3"/>
      <c r="D353" s="3"/>
      <c r="E353" s="5"/>
      <c r="F353" s="3"/>
      <c r="G353" s="3"/>
      <c r="H353" s="5"/>
      <c r="I353" s="5"/>
      <c r="J353" s="5"/>
      <c r="K353" s="5"/>
      <c r="L353" s="6"/>
      <c r="M353" s="6"/>
      <c r="N353" s="7"/>
    </row>
    <row x14ac:dyDescent="0.25" r="354" customHeight="1" ht="18.75">
      <c r="A354" s="10" t="s">
        <v>422</v>
      </c>
      <c r="B354" s="11">
        <v>38</v>
      </c>
      <c r="C354" s="3"/>
      <c r="D354" s="3"/>
      <c r="E354" s="5"/>
      <c r="F354" s="3"/>
      <c r="G354" s="3"/>
      <c r="H354" s="5"/>
      <c r="I354" s="5"/>
      <c r="J354" s="5"/>
      <c r="K354" s="5"/>
      <c r="L354" s="6"/>
      <c r="M354" s="6"/>
      <c r="N354" s="7"/>
    </row>
    <row x14ac:dyDescent="0.25" r="355" customHeight="1" ht="18.75">
      <c r="A355" s="10" t="s">
        <v>423</v>
      </c>
      <c r="B355" s="11">
        <v>38</v>
      </c>
      <c r="C355" s="3"/>
      <c r="D355" s="3"/>
      <c r="E355" s="5"/>
      <c r="F355" s="3"/>
      <c r="G355" s="3"/>
      <c r="H355" s="5"/>
      <c r="I355" s="5"/>
      <c r="J355" s="5"/>
      <c r="K355" s="5"/>
      <c r="L355" s="6"/>
      <c r="M355" s="6"/>
      <c r="N355" s="7"/>
    </row>
    <row x14ac:dyDescent="0.25" r="356" customHeight="1" ht="18.75">
      <c r="A356" s="10" t="s">
        <v>424</v>
      </c>
      <c r="B356" s="11">
        <v>38</v>
      </c>
      <c r="C356" s="3"/>
      <c r="D356" s="3"/>
      <c r="E356" s="5"/>
      <c r="F356" s="3"/>
      <c r="G356" s="3"/>
      <c r="H356" s="5"/>
      <c r="I356" s="5"/>
      <c r="J356" s="5"/>
      <c r="K356" s="5"/>
      <c r="L356" s="6"/>
      <c r="M356" s="6"/>
      <c r="N356" s="7"/>
    </row>
    <row x14ac:dyDescent="0.25" r="357" customHeight="1" ht="18.75">
      <c r="A357" s="10" t="s">
        <v>425</v>
      </c>
      <c r="B357" s="11">
        <v>38</v>
      </c>
      <c r="C357" s="3"/>
      <c r="D357" s="3"/>
      <c r="E357" s="5"/>
      <c r="F357" s="3"/>
      <c r="G357" s="3"/>
      <c r="H357" s="5"/>
      <c r="I357" s="5"/>
      <c r="J357" s="5"/>
      <c r="K357" s="5"/>
      <c r="L357" s="6"/>
      <c r="M357" s="6"/>
      <c r="N357" s="7"/>
    </row>
    <row x14ac:dyDescent="0.25" r="358" customHeight="1" ht="18.75">
      <c r="A358" s="10" t="s">
        <v>426</v>
      </c>
      <c r="B358" s="11">
        <v>39</v>
      </c>
      <c r="C358" s="3"/>
      <c r="D358" s="3"/>
      <c r="E358" s="5"/>
      <c r="F358" s="3"/>
      <c r="G358" s="3"/>
      <c r="H358" s="5"/>
      <c r="I358" s="5"/>
      <c r="J358" s="5"/>
      <c r="K358" s="5"/>
      <c r="L358" s="6"/>
      <c r="M358" s="6"/>
      <c r="N358" s="7"/>
    </row>
    <row x14ac:dyDescent="0.25" r="359" customHeight="1" ht="18.75">
      <c r="A359" s="10" t="s">
        <v>427</v>
      </c>
      <c r="B359" s="11">
        <v>39</v>
      </c>
      <c r="C359" s="3"/>
      <c r="D359" s="3"/>
      <c r="E359" s="5"/>
      <c r="F359" s="3"/>
      <c r="G359" s="3"/>
      <c r="H359" s="5"/>
      <c r="I359" s="5"/>
      <c r="J359" s="5"/>
      <c r="K359" s="5"/>
      <c r="L359" s="6"/>
      <c r="M359" s="6"/>
      <c r="N359" s="7"/>
    </row>
    <row x14ac:dyDescent="0.25" r="360" customHeight="1" ht="18.75">
      <c r="A360" s="10" t="s">
        <v>428</v>
      </c>
      <c r="B360" s="11">
        <v>39</v>
      </c>
      <c r="C360" s="3"/>
      <c r="D360" s="3"/>
      <c r="E360" s="5"/>
      <c r="F360" s="3"/>
      <c r="G360" s="3"/>
      <c r="H360" s="5"/>
      <c r="I360" s="5"/>
      <c r="J360" s="5"/>
      <c r="K360" s="5"/>
      <c r="L360" s="6"/>
      <c r="M360" s="6"/>
      <c r="N360" s="7"/>
    </row>
    <row x14ac:dyDescent="0.25" r="361" customHeight="1" ht="18.75">
      <c r="A361" s="10" t="s">
        <v>429</v>
      </c>
      <c r="B361" s="11">
        <v>39</v>
      </c>
      <c r="C361" s="3"/>
      <c r="D361" s="3"/>
      <c r="E361" s="5"/>
      <c r="F361" s="3"/>
      <c r="G361" s="3"/>
      <c r="H361" s="5"/>
      <c r="I361" s="5"/>
      <c r="J361" s="5"/>
      <c r="K361" s="5"/>
      <c r="L361" s="6"/>
      <c r="M361" s="6"/>
      <c r="N361" s="7"/>
    </row>
    <row x14ac:dyDescent="0.25" r="362" customHeight="1" ht="18.75">
      <c r="A362" s="10" t="s">
        <v>430</v>
      </c>
      <c r="B362" s="11">
        <v>39</v>
      </c>
      <c r="C362" s="3"/>
      <c r="D362" s="3"/>
      <c r="E362" s="5"/>
      <c r="F362" s="3"/>
      <c r="G362" s="3"/>
      <c r="H362" s="5"/>
      <c r="I362" s="5"/>
      <c r="J362" s="5"/>
      <c r="K362" s="5"/>
      <c r="L362" s="6"/>
      <c r="M362" s="6"/>
      <c r="N362" s="7"/>
    </row>
    <row x14ac:dyDescent="0.25" r="363" customHeight="1" ht="18.75">
      <c r="A363" s="10" t="s">
        <v>431</v>
      </c>
      <c r="B363" s="11">
        <v>39</v>
      </c>
      <c r="C363" s="3"/>
      <c r="D363" s="3"/>
      <c r="E363" s="5"/>
      <c r="F363" s="3"/>
      <c r="G363" s="3"/>
      <c r="H363" s="5"/>
      <c r="I363" s="5"/>
      <c r="J363" s="5"/>
      <c r="K363" s="5"/>
      <c r="L363" s="6"/>
      <c r="M363" s="6"/>
      <c r="N363" s="7"/>
    </row>
    <row x14ac:dyDescent="0.25" r="364" customHeight="1" ht="18.75">
      <c r="A364" s="10" t="s">
        <v>432</v>
      </c>
      <c r="B364" s="11">
        <v>39</v>
      </c>
      <c r="C364" s="3"/>
      <c r="D364" s="3"/>
      <c r="E364" s="5"/>
      <c r="F364" s="3"/>
      <c r="G364" s="3"/>
      <c r="H364" s="5"/>
      <c r="I364" s="5"/>
      <c r="J364" s="5"/>
      <c r="K364" s="5"/>
      <c r="L364" s="6"/>
      <c r="M364" s="6"/>
      <c r="N364" s="7"/>
    </row>
    <row x14ac:dyDescent="0.25" r="365" customHeight="1" ht="18.75">
      <c r="A365" s="10" t="s">
        <v>433</v>
      </c>
      <c r="B365" s="11">
        <v>39</v>
      </c>
      <c r="C365" s="3"/>
      <c r="D365" s="3"/>
      <c r="E365" s="5"/>
      <c r="F365" s="3"/>
      <c r="G365" s="3"/>
      <c r="H365" s="5"/>
      <c r="I365" s="5"/>
      <c r="J365" s="5"/>
      <c r="K365" s="5"/>
      <c r="L365" s="6"/>
      <c r="M365" s="6"/>
      <c r="N365" s="7"/>
    </row>
    <row x14ac:dyDescent="0.25" r="366" customHeight="1" ht="18.75">
      <c r="A366" s="10" t="s">
        <v>434</v>
      </c>
      <c r="B366" s="11">
        <v>39</v>
      </c>
      <c r="C366" s="3"/>
      <c r="D366" s="3"/>
      <c r="E366" s="5"/>
      <c r="F366" s="3"/>
      <c r="G366" s="3"/>
      <c r="H366" s="5"/>
      <c r="I366" s="5"/>
      <c r="J366" s="5"/>
      <c r="K366" s="5"/>
      <c r="L366" s="6"/>
      <c r="M366" s="6"/>
      <c r="N366" s="7"/>
    </row>
    <row x14ac:dyDescent="0.25" r="367" customHeight="1" ht="18.75">
      <c r="A367" s="10" t="s">
        <v>435</v>
      </c>
      <c r="B367" s="11">
        <v>39</v>
      </c>
      <c r="C367" s="3"/>
      <c r="D367" s="3"/>
      <c r="E367" s="5"/>
      <c r="F367" s="3"/>
      <c r="G367" s="3"/>
      <c r="H367" s="5"/>
      <c r="I367" s="5"/>
      <c r="J367" s="5"/>
      <c r="K367" s="5"/>
      <c r="L367" s="6"/>
      <c r="M367" s="6"/>
      <c r="N367" s="7"/>
    </row>
    <row x14ac:dyDescent="0.25" r="368" customHeight="1" ht="18.75">
      <c r="A368" s="10" t="s">
        <v>436</v>
      </c>
      <c r="B368" s="11">
        <v>39</v>
      </c>
      <c r="C368" s="3"/>
      <c r="D368" s="3"/>
      <c r="E368" s="5"/>
      <c r="F368" s="3"/>
      <c r="G368" s="3"/>
      <c r="H368" s="5"/>
      <c r="I368" s="5"/>
      <c r="J368" s="5"/>
      <c r="K368" s="5"/>
      <c r="L368" s="6"/>
      <c r="M368" s="6"/>
      <c r="N368" s="7"/>
    </row>
    <row x14ac:dyDescent="0.25" r="369" customHeight="1" ht="18.75">
      <c r="A369" s="10" t="s">
        <v>437</v>
      </c>
      <c r="B369" s="11">
        <v>39</v>
      </c>
      <c r="C369" s="3"/>
      <c r="D369" s="3"/>
      <c r="E369" s="5"/>
      <c r="F369" s="3"/>
      <c r="G369" s="3"/>
      <c r="H369" s="5"/>
      <c r="I369" s="5"/>
      <c r="J369" s="5"/>
      <c r="K369" s="5"/>
      <c r="L369" s="6"/>
      <c r="M369" s="6"/>
      <c r="N369" s="7"/>
    </row>
    <row x14ac:dyDescent="0.25" r="370" customHeight="1" ht="18.75">
      <c r="A370" s="10" t="s">
        <v>438</v>
      </c>
      <c r="B370" s="11">
        <v>39</v>
      </c>
      <c r="C370" s="3"/>
      <c r="D370" s="3"/>
      <c r="E370" s="5"/>
      <c r="F370" s="3"/>
      <c r="G370" s="3"/>
      <c r="H370" s="5"/>
      <c r="I370" s="5"/>
      <c r="J370" s="5"/>
      <c r="K370" s="5"/>
      <c r="L370" s="6"/>
      <c r="M370" s="6"/>
      <c r="N370" s="7"/>
    </row>
    <row x14ac:dyDescent="0.25" r="371" customHeight="1" ht="18.75">
      <c r="A371" s="10" t="s">
        <v>439</v>
      </c>
      <c r="B371" s="11">
        <v>39</v>
      </c>
      <c r="C371" s="3"/>
      <c r="D371" s="3"/>
      <c r="E371" s="5"/>
      <c r="F371" s="3"/>
      <c r="G371" s="3"/>
      <c r="H371" s="5"/>
      <c r="I371" s="5"/>
      <c r="J371" s="5"/>
      <c r="K371" s="5"/>
      <c r="L371" s="6"/>
      <c r="M371" s="6"/>
      <c r="N371" s="7"/>
    </row>
    <row x14ac:dyDescent="0.25" r="372" customHeight="1" ht="18.75">
      <c r="A372" s="10" t="s">
        <v>440</v>
      </c>
      <c r="B372" s="11">
        <v>39</v>
      </c>
      <c r="C372" s="3"/>
      <c r="D372" s="3"/>
      <c r="E372" s="5"/>
      <c r="F372" s="3"/>
      <c r="G372" s="3"/>
      <c r="H372" s="5"/>
      <c r="I372" s="5"/>
      <c r="J372" s="5"/>
      <c r="K372" s="5"/>
      <c r="L372" s="6"/>
      <c r="M372" s="6"/>
      <c r="N372" s="7"/>
    </row>
    <row x14ac:dyDescent="0.25" r="373" customHeight="1" ht="18.75">
      <c r="A373" s="10" t="s">
        <v>441</v>
      </c>
      <c r="B373" s="11">
        <v>39</v>
      </c>
      <c r="C373" s="3"/>
      <c r="D373" s="3"/>
      <c r="E373" s="5"/>
      <c r="F373" s="3"/>
      <c r="G373" s="3"/>
      <c r="H373" s="5"/>
      <c r="I373" s="5"/>
      <c r="J373" s="5"/>
      <c r="K373" s="5"/>
      <c r="L373" s="6"/>
      <c r="M373" s="6"/>
      <c r="N373" s="7"/>
    </row>
    <row x14ac:dyDescent="0.25" r="374" customHeight="1" ht="18.75">
      <c r="A374" s="10" t="s">
        <v>442</v>
      </c>
      <c r="B374" s="11">
        <v>39</v>
      </c>
      <c r="C374" s="3"/>
      <c r="D374" s="3"/>
      <c r="E374" s="5"/>
      <c r="F374" s="3"/>
      <c r="G374" s="3"/>
      <c r="H374" s="5"/>
      <c r="I374" s="5"/>
      <c r="J374" s="5"/>
      <c r="K374" s="5"/>
      <c r="L374" s="6"/>
      <c r="M374" s="6"/>
      <c r="N374" s="7"/>
    </row>
    <row x14ac:dyDescent="0.25" r="375" customHeight="1" ht="18.75">
      <c r="A375" s="10" t="s">
        <v>443</v>
      </c>
      <c r="B375" s="11">
        <v>39</v>
      </c>
      <c r="C375" s="3"/>
      <c r="D375" s="3"/>
      <c r="E375" s="5"/>
      <c r="F375" s="3"/>
      <c r="G375" s="3"/>
      <c r="H375" s="5"/>
      <c r="I375" s="5"/>
      <c r="J375" s="5"/>
      <c r="K375" s="5"/>
      <c r="L375" s="6"/>
      <c r="M375" s="6"/>
      <c r="N375" s="7"/>
    </row>
    <row x14ac:dyDescent="0.25" r="376" customHeight="1" ht="18.75">
      <c r="A376" s="10" t="s">
        <v>444</v>
      </c>
      <c r="B376" s="11">
        <v>39</v>
      </c>
      <c r="C376" s="3"/>
      <c r="D376" s="3"/>
      <c r="E376" s="5"/>
      <c r="F376" s="3"/>
      <c r="G376" s="3"/>
      <c r="H376" s="5"/>
      <c r="I376" s="5"/>
      <c r="J376" s="5"/>
      <c r="K376" s="5"/>
      <c r="L376" s="6"/>
      <c r="M376" s="6"/>
      <c r="N376" s="7"/>
    </row>
    <row x14ac:dyDescent="0.25" r="377" customHeight="1" ht="18.75">
      <c r="A377" s="10" t="s">
        <v>445</v>
      </c>
      <c r="B377" s="11">
        <v>40</v>
      </c>
      <c r="C377" s="3"/>
      <c r="D377" s="3"/>
      <c r="E377" s="5"/>
      <c r="F377" s="3"/>
      <c r="G377" s="3"/>
      <c r="H377" s="5"/>
      <c r="I377" s="5"/>
      <c r="J377" s="5"/>
      <c r="K377" s="5"/>
      <c r="L377" s="6"/>
      <c r="M377" s="6"/>
      <c r="N377" s="7"/>
    </row>
    <row x14ac:dyDescent="0.25" r="378" customHeight="1" ht="18.75">
      <c r="A378" s="10" t="s">
        <v>446</v>
      </c>
      <c r="B378" s="11">
        <v>40</v>
      </c>
      <c r="C378" s="3"/>
      <c r="D378" s="3"/>
      <c r="E378" s="5"/>
      <c r="F378" s="3"/>
      <c r="G378" s="3"/>
      <c r="H378" s="5"/>
      <c r="I378" s="5"/>
      <c r="J378" s="5"/>
      <c r="K378" s="5"/>
      <c r="L378" s="6"/>
      <c r="M378" s="6"/>
      <c r="N378" s="7"/>
    </row>
    <row x14ac:dyDescent="0.25" r="379" customHeight="1" ht="18.75">
      <c r="A379" s="10" t="s">
        <v>447</v>
      </c>
      <c r="B379" s="11">
        <v>40</v>
      </c>
      <c r="C379" s="3"/>
      <c r="D379" s="3"/>
      <c r="E379" s="5"/>
      <c r="F379" s="3"/>
      <c r="G379" s="3"/>
      <c r="H379" s="5"/>
      <c r="I379" s="5"/>
      <c r="J379" s="5"/>
      <c r="K379" s="5"/>
      <c r="L379" s="6"/>
      <c r="M379" s="6"/>
      <c r="N379" s="7"/>
    </row>
    <row x14ac:dyDescent="0.25" r="380" customHeight="1" ht="18.75">
      <c r="A380" s="10" t="s">
        <v>448</v>
      </c>
      <c r="B380" s="11">
        <v>40</v>
      </c>
      <c r="C380" s="3"/>
      <c r="D380" s="3"/>
      <c r="E380" s="5"/>
      <c r="F380" s="3"/>
      <c r="G380" s="3"/>
      <c r="H380" s="5"/>
      <c r="I380" s="5"/>
      <c r="J380" s="5"/>
      <c r="K380" s="5"/>
      <c r="L380" s="6"/>
      <c r="M380" s="6"/>
      <c r="N380" s="7"/>
    </row>
    <row x14ac:dyDescent="0.25" r="381" customHeight="1" ht="18.75">
      <c r="A381" s="10" t="s">
        <v>449</v>
      </c>
      <c r="B381" s="11">
        <v>40</v>
      </c>
      <c r="C381" s="3"/>
      <c r="D381" s="3"/>
      <c r="E381" s="5"/>
      <c r="F381" s="3"/>
      <c r="G381" s="3"/>
      <c r="H381" s="5"/>
      <c r="I381" s="5"/>
      <c r="J381" s="5"/>
      <c r="K381" s="5"/>
      <c r="L381" s="6"/>
      <c r="M381" s="6"/>
      <c r="N381" s="7"/>
    </row>
    <row x14ac:dyDescent="0.25" r="382" customHeight="1" ht="18.75">
      <c r="A382" s="10" t="s">
        <v>450</v>
      </c>
      <c r="B382" s="11">
        <v>40</v>
      </c>
      <c r="C382" s="3"/>
      <c r="D382" s="3"/>
      <c r="E382" s="5"/>
      <c r="F382" s="3"/>
      <c r="G382" s="3"/>
      <c r="H382" s="5"/>
      <c r="I382" s="5"/>
      <c r="J382" s="5"/>
      <c r="K382" s="5"/>
      <c r="L382" s="6"/>
      <c r="M382" s="6"/>
      <c r="N382" s="7"/>
    </row>
    <row x14ac:dyDescent="0.25" r="383" customHeight="1" ht="18.75">
      <c r="A383" s="10" t="s">
        <v>451</v>
      </c>
      <c r="B383" s="11">
        <v>40</v>
      </c>
      <c r="C383" s="3"/>
      <c r="D383" s="3"/>
      <c r="E383" s="5"/>
      <c r="F383" s="3"/>
      <c r="G383" s="3"/>
      <c r="H383" s="5"/>
      <c r="I383" s="5"/>
      <c r="J383" s="5"/>
      <c r="K383" s="5"/>
      <c r="L383" s="6"/>
      <c r="M383" s="6"/>
      <c r="N383" s="7"/>
    </row>
    <row x14ac:dyDescent="0.25" r="384" customHeight="1" ht="18.75">
      <c r="A384" s="10" t="s">
        <v>452</v>
      </c>
      <c r="B384" s="11">
        <v>40</v>
      </c>
      <c r="C384" s="3"/>
      <c r="D384" s="3"/>
      <c r="E384" s="5"/>
      <c r="F384" s="3"/>
      <c r="G384" s="3"/>
      <c r="H384" s="5"/>
      <c r="I384" s="5"/>
      <c r="J384" s="5"/>
      <c r="K384" s="5"/>
      <c r="L384" s="6"/>
      <c r="M384" s="6"/>
      <c r="N384" s="7"/>
    </row>
    <row x14ac:dyDescent="0.25" r="385" customHeight="1" ht="18.75">
      <c r="A385" s="10" t="s">
        <v>453</v>
      </c>
      <c r="B385" s="11">
        <v>40</v>
      </c>
      <c r="C385" s="3"/>
      <c r="D385" s="3"/>
      <c r="E385" s="5"/>
      <c r="F385" s="3"/>
      <c r="G385" s="3"/>
      <c r="H385" s="5"/>
      <c r="I385" s="5"/>
      <c r="J385" s="5"/>
      <c r="K385" s="5"/>
      <c r="L385" s="6"/>
      <c r="M385" s="6"/>
      <c r="N385" s="7"/>
    </row>
    <row x14ac:dyDescent="0.25" r="386" customHeight="1" ht="18.75">
      <c r="A386" s="10" t="s">
        <v>454</v>
      </c>
      <c r="B386" s="11">
        <v>40</v>
      </c>
      <c r="C386" s="3"/>
      <c r="D386" s="3"/>
      <c r="E386" s="5"/>
      <c r="F386" s="3"/>
      <c r="G386" s="3"/>
      <c r="H386" s="5"/>
      <c r="I386" s="5"/>
      <c r="J386" s="5"/>
      <c r="K386" s="5"/>
      <c r="L386" s="6"/>
      <c r="M386" s="6"/>
      <c r="N386" s="7"/>
    </row>
    <row x14ac:dyDescent="0.25" r="387" customHeight="1" ht="18.75">
      <c r="A387" s="10" t="s">
        <v>455</v>
      </c>
      <c r="B387" s="11">
        <v>40</v>
      </c>
      <c r="C387" s="3"/>
      <c r="D387" s="3"/>
      <c r="E387" s="5"/>
      <c r="F387" s="3"/>
      <c r="G387" s="3"/>
      <c r="H387" s="5"/>
      <c r="I387" s="5"/>
      <c r="J387" s="5"/>
      <c r="K387" s="5"/>
      <c r="L387" s="6"/>
      <c r="M387" s="6"/>
      <c r="N387" s="7"/>
    </row>
    <row x14ac:dyDescent="0.25" r="388" customHeight="1" ht="18.75">
      <c r="A388" s="10" t="s">
        <v>456</v>
      </c>
      <c r="B388" s="11">
        <v>40</v>
      </c>
      <c r="C388" s="3"/>
      <c r="D388" s="3"/>
      <c r="E388" s="5"/>
      <c r="F388" s="3"/>
      <c r="G388" s="3"/>
      <c r="H388" s="5"/>
      <c r="I388" s="5"/>
      <c r="J388" s="5"/>
      <c r="K388" s="5"/>
      <c r="L388" s="6"/>
      <c r="M388" s="6"/>
      <c r="N388" s="7"/>
    </row>
    <row x14ac:dyDescent="0.25" r="389" customHeight="1" ht="18.75">
      <c r="A389" s="10" t="s">
        <v>457</v>
      </c>
      <c r="B389" s="11">
        <v>40</v>
      </c>
      <c r="C389" s="3"/>
      <c r="D389" s="3"/>
      <c r="E389" s="5"/>
      <c r="F389" s="3"/>
      <c r="G389" s="3"/>
      <c r="H389" s="5"/>
      <c r="I389" s="5"/>
      <c r="J389" s="5"/>
      <c r="K389" s="5"/>
      <c r="L389" s="6"/>
      <c r="M389" s="6"/>
      <c r="N389" s="7"/>
    </row>
    <row x14ac:dyDescent="0.25" r="390" customHeight="1" ht="18.75">
      <c r="A390" s="10" t="s">
        <v>458</v>
      </c>
      <c r="B390" s="11">
        <v>40</v>
      </c>
      <c r="C390" s="3"/>
      <c r="D390" s="3"/>
      <c r="E390" s="5"/>
      <c r="F390" s="3"/>
      <c r="G390" s="3"/>
      <c r="H390" s="5"/>
      <c r="I390" s="5"/>
      <c r="J390" s="5"/>
      <c r="K390" s="5"/>
      <c r="L390" s="6"/>
      <c r="M390" s="6"/>
      <c r="N390" s="7"/>
    </row>
    <row x14ac:dyDescent="0.25" r="391" customHeight="1" ht="18.75">
      <c r="A391" s="10" t="s">
        <v>459</v>
      </c>
      <c r="B391" s="11">
        <v>40</v>
      </c>
      <c r="C391" s="3"/>
      <c r="D391" s="3"/>
      <c r="E391" s="5"/>
      <c r="F391" s="3"/>
      <c r="G391" s="3"/>
      <c r="H391" s="5"/>
      <c r="I391" s="5"/>
      <c r="J391" s="5"/>
      <c r="K391" s="5"/>
      <c r="L391" s="6"/>
      <c r="M391" s="6"/>
      <c r="N391" s="7"/>
    </row>
    <row x14ac:dyDescent="0.25" r="392" customHeight="1" ht="18.75">
      <c r="A392" s="10" t="s">
        <v>460</v>
      </c>
      <c r="B392" s="11">
        <v>40</v>
      </c>
      <c r="C392" s="3"/>
      <c r="D392" s="3"/>
      <c r="E392" s="5"/>
      <c r="F392" s="3"/>
      <c r="G392" s="3"/>
      <c r="H392" s="5"/>
      <c r="I392" s="5"/>
      <c r="J392" s="5"/>
      <c r="K392" s="5"/>
      <c r="L392" s="6"/>
      <c r="M392" s="6"/>
      <c r="N392" s="7"/>
    </row>
    <row x14ac:dyDescent="0.25" r="393" customHeight="1" ht="18.75">
      <c r="A393" s="10" t="s">
        <v>461</v>
      </c>
      <c r="B393" s="11">
        <v>40</v>
      </c>
      <c r="C393" s="3"/>
      <c r="D393" s="3"/>
      <c r="E393" s="5"/>
      <c r="F393" s="3"/>
      <c r="G393" s="3"/>
      <c r="H393" s="5"/>
      <c r="I393" s="5"/>
      <c r="J393" s="5"/>
      <c r="K393" s="5"/>
      <c r="L393" s="6"/>
      <c r="M393" s="6"/>
      <c r="N393" s="7"/>
    </row>
    <row x14ac:dyDescent="0.25" r="394" customHeight="1" ht="18.75">
      <c r="A394" s="10" t="s">
        <v>462</v>
      </c>
      <c r="B394" s="11">
        <v>40</v>
      </c>
      <c r="C394" s="3"/>
      <c r="D394" s="3"/>
      <c r="E394" s="5"/>
      <c r="F394" s="3"/>
      <c r="G394" s="3"/>
      <c r="H394" s="5"/>
      <c r="I394" s="5"/>
      <c r="J394" s="5"/>
      <c r="K394" s="5"/>
      <c r="L394" s="6"/>
      <c r="M394" s="6"/>
      <c r="N394" s="7"/>
    </row>
    <row x14ac:dyDescent="0.25" r="395" customHeight="1" ht="18.75">
      <c r="A395" s="10" t="s">
        <v>463</v>
      </c>
      <c r="B395" s="11">
        <v>40</v>
      </c>
      <c r="C395" s="3"/>
      <c r="D395" s="3"/>
      <c r="E395" s="5"/>
      <c r="F395" s="3"/>
      <c r="G395" s="3"/>
      <c r="H395" s="5"/>
      <c r="I395" s="5"/>
      <c r="J395" s="5"/>
      <c r="K395" s="5"/>
      <c r="L395" s="6"/>
      <c r="M395" s="6"/>
      <c r="N395" s="7"/>
    </row>
    <row x14ac:dyDescent="0.25" r="396" customHeight="1" ht="18.75">
      <c r="A396" s="10" t="s">
        <v>464</v>
      </c>
      <c r="B396" s="11">
        <v>40</v>
      </c>
      <c r="C396" s="3"/>
      <c r="D396" s="3"/>
      <c r="E396" s="5"/>
      <c r="F396" s="3"/>
      <c r="G396" s="3"/>
      <c r="H396" s="5"/>
      <c r="I396" s="5"/>
      <c r="J396" s="5"/>
      <c r="K396" s="5"/>
      <c r="L396" s="6"/>
      <c r="M396" s="6"/>
      <c r="N396" s="7"/>
    </row>
    <row x14ac:dyDescent="0.25" r="397" customHeight="1" ht="18.75">
      <c r="A397" s="10" t="s">
        <v>465</v>
      </c>
      <c r="B397" s="11">
        <v>40</v>
      </c>
      <c r="C397" s="3"/>
      <c r="D397" s="3"/>
      <c r="E397" s="5"/>
      <c r="F397" s="3"/>
      <c r="G397" s="3"/>
      <c r="H397" s="5"/>
      <c r="I397" s="5"/>
      <c r="J397" s="5"/>
      <c r="K397" s="5"/>
      <c r="L397" s="6"/>
      <c r="M397" s="6"/>
      <c r="N397" s="7"/>
    </row>
    <row x14ac:dyDescent="0.25" r="398" customHeight="1" ht="18.75">
      <c r="A398" s="10" t="s">
        <v>466</v>
      </c>
      <c r="B398" s="11">
        <v>40</v>
      </c>
      <c r="C398" s="3"/>
      <c r="D398" s="3"/>
      <c r="E398" s="5"/>
      <c r="F398" s="3"/>
      <c r="G398" s="3"/>
      <c r="H398" s="5"/>
      <c r="I398" s="5"/>
      <c r="J398" s="5"/>
      <c r="K398" s="5"/>
      <c r="L398" s="6"/>
      <c r="M398" s="6"/>
      <c r="N398" s="7"/>
    </row>
    <row x14ac:dyDescent="0.25" r="399" customHeight="1" ht="18.75">
      <c r="A399" s="10" t="s">
        <v>467</v>
      </c>
      <c r="B399" s="11">
        <v>40</v>
      </c>
      <c r="C399" s="3"/>
      <c r="D399" s="3"/>
      <c r="E399" s="5"/>
      <c r="F399" s="3"/>
      <c r="G399" s="3"/>
      <c r="H399" s="5"/>
      <c r="I399" s="5"/>
      <c r="J399" s="5"/>
      <c r="K399" s="5"/>
      <c r="L399" s="6"/>
      <c r="M399" s="6"/>
      <c r="N399" s="7"/>
    </row>
    <row x14ac:dyDescent="0.25" r="400" customHeight="1" ht="18.75">
      <c r="A400" s="10" t="s">
        <v>468</v>
      </c>
      <c r="B400" s="11">
        <v>40</v>
      </c>
      <c r="C400" s="3"/>
      <c r="D400" s="3"/>
      <c r="E400" s="5"/>
      <c r="F400" s="3"/>
      <c r="G400" s="3"/>
      <c r="H400" s="5"/>
      <c r="I400" s="5"/>
      <c r="J400" s="5"/>
      <c r="K400" s="5"/>
      <c r="L400" s="6"/>
      <c r="M400" s="6"/>
      <c r="N400" s="7"/>
    </row>
    <row x14ac:dyDescent="0.25" r="401" customHeight="1" ht="18.75">
      <c r="A401" s="10" t="s">
        <v>469</v>
      </c>
      <c r="B401" s="11">
        <v>40</v>
      </c>
      <c r="C401" s="3"/>
      <c r="D401" s="3"/>
      <c r="E401" s="5"/>
      <c r="F401" s="3"/>
      <c r="G401" s="3"/>
      <c r="H401" s="5"/>
      <c r="I401" s="5"/>
      <c r="J401" s="5"/>
      <c r="K401" s="5"/>
      <c r="L401" s="6"/>
      <c r="M401" s="6"/>
      <c r="N401" s="7"/>
    </row>
    <row x14ac:dyDescent="0.25" r="402" customHeight="1" ht="18.75">
      <c r="A402" s="10" t="s">
        <v>470</v>
      </c>
      <c r="B402" s="11">
        <v>40</v>
      </c>
      <c r="C402" s="3"/>
      <c r="D402" s="3"/>
      <c r="E402" s="5"/>
      <c r="F402" s="3"/>
      <c r="G402" s="3"/>
      <c r="H402" s="5"/>
      <c r="I402" s="5"/>
      <c r="J402" s="5"/>
      <c r="K402" s="5"/>
      <c r="L402" s="6"/>
      <c r="M402" s="6"/>
      <c r="N402" s="7"/>
    </row>
    <row x14ac:dyDescent="0.25" r="403" customHeight="1" ht="18.75">
      <c r="A403" s="10" t="s">
        <v>471</v>
      </c>
      <c r="B403" s="11">
        <v>41</v>
      </c>
      <c r="C403" s="3"/>
      <c r="D403" s="3"/>
      <c r="E403" s="5"/>
      <c r="F403" s="3"/>
      <c r="G403" s="3"/>
      <c r="H403" s="5"/>
      <c r="I403" s="5"/>
      <c r="J403" s="5"/>
      <c r="K403" s="5"/>
      <c r="L403" s="6"/>
      <c r="M403" s="6"/>
      <c r="N403" s="7"/>
    </row>
    <row x14ac:dyDescent="0.25" r="404" customHeight="1" ht="18.75">
      <c r="A404" s="10" t="s">
        <v>472</v>
      </c>
      <c r="B404" s="11">
        <v>41</v>
      </c>
      <c r="C404" s="3"/>
      <c r="D404" s="3"/>
      <c r="E404" s="5"/>
      <c r="F404" s="3"/>
      <c r="G404" s="3"/>
      <c r="H404" s="5"/>
      <c r="I404" s="5"/>
      <c r="J404" s="5"/>
      <c r="K404" s="5"/>
      <c r="L404" s="6"/>
      <c r="M404" s="6"/>
      <c r="N404" s="7"/>
    </row>
    <row x14ac:dyDescent="0.25" r="405" customHeight="1" ht="18.75">
      <c r="A405" s="10" t="s">
        <v>473</v>
      </c>
      <c r="B405" s="11">
        <v>41</v>
      </c>
      <c r="C405" s="3"/>
      <c r="D405" s="3"/>
      <c r="E405" s="5"/>
      <c r="F405" s="3"/>
      <c r="G405" s="3"/>
      <c r="H405" s="5"/>
      <c r="I405" s="5"/>
      <c r="J405" s="5"/>
      <c r="K405" s="5"/>
      <c r="L405" s="6"/>
      <c r="M405" s="6"/>
      <c r="N405" s="7"/>
    </row>
    <row x14ac:dyDescent="0.25" r="406" customHeight="1" ht="18.75">
      <c r="A406" s="10" t="s">
        <v>474</v>
      </c>
      <c r="B406" s="11">
        <v>41</v>
      </c>
      <c r="C406" s="3"/>
      <c r="D406" s="3"/>
      <c r="E406" s="5"/>
      <c r="F406" s="3"/>
      <c r="G406" s="3"/>
      <c r="H406" s="5"/>
      <c r="I406" s="5"/>
      <c r="J406" s="5"/>
      <c r="K406" s="5"/>
      <c r="L406" s="6"/>
      <c r="M406" s="6"/>
      <c r="N406" s="7"/>
    </row>
    <row x14ac:dyDescent="0.25" r="407" customHeight="1" ht="18.75">
      <c r="A407" s="10" t="s">
        <v>475</v>
      </c>
      <c r="B407" s="11">
        <v>41</v>
      </c>
      <c r="C407" s="3"/>
      <c r="D407" s="3"/>
      <c r="E407" s="5"/>
      <c r="F407" s="3"/>
      <c r="G407" s="3"/>
      <c r="H407" s="5"/>
      <c r="I407" s="5"/>
      <c r="J407" s="5"/>
      <c r="K407" s="5"/>
      <c r="L407" s="6"/>
      <c r="M407" s="6"/>
      <c r="N407" s="7"/>
    </row>
    <row x14ac:dyDescent="0.25" r="408" customHeight="1" ht="18.75">
      <c r="A408" s="10" t="s">
        <v>476</v>
      </c>
      <c r="B408" s="11">
        <v>41</v>
      </c>
      <c r="C408" s="3"/>
      <c r="D408" s="3"/>
      <c r="E408" s="5"/>
      <c r="F408" s="3"/>
      <c r="G408" s="3"/>
      <c r="H408" s="5"/>
      <c r="I408" s="5"/>
      <c r="J408" s="5"/>
      <c r="K408" s="5"/>
      <c r="L408" s="6"/>
      <c r="M408" s="6"/>
      <c r="N408" s="7"/>
    </row>
    <row x14ac:dyDescent="0.25" r="409" customHeight="1" ht="18.75">
      <c r="A409" s="10" t="s">
        <v>477</v>
      </c>
      <c r="B409" s="11">
        <v>41</v>
      </c>
      <c r="C409" s="3"/>
      <c r="D409" s="3"/>
      <c r="E409" s="5"/>
      <c r="F409" s="3"/>
      <c r="G409" s="3"/>
      <c r="H409" s="5"/>
      <c r="I409" s="5"/>
      <c r="J409" s="5"/>
      <c r="K409" s="5"/>
      <c r="L409" s="6"/>
      <c r="M409" s="6"/>
      <c r="N409" s="7"/>
    </row>
    <row x14ac:dyDescent="0.25" r="410" customHeight="1" ht="18.75">
      <c r="A410" s="10" t="s">
        <v>478</v>
      </c>
      <c r="B410" s="11">
        <v>41</v>
      </c>
      <c r="C410" s="3"/>
      <c r="D410" s="3"/>
      <c r="E410" s="5"/>
      <c r="F410" s="3"/>
      <c r="G410" s="3"/>
      <c r="H410" s="5"/>
      <c r="I410" s="5"/>
      <c r="J410" s="5"/>
      <c r="K410" s="5"/>
      <c r="L410" s="6"/>
      <c r="M410" s="6"/>
      <c r="N410" s="7"/>
    </row>
    <row x14ac:dyDescent="0.25" r="411" customHeight="1" ht="18.75">
      <c r="A411" s="10" t="s">
        <v>479</v>
      </c>
      <c r="B411" s="11">
        <v>41</v>
      </c>
      <c r="C411" s="3"/>
      <c r="D411" s="3"/>
      <c r="E411" s="5"/>
      <c r="F411" s="3"/>
      <c r="G411" s="3"/>
      <c r="H411" s="5"/>
      <c r="I411" s="5"/>
      <c r="J411" s="5"/>
      <c r="K411" s="5"/>
      <c r="L411" s="6"/>
      <c r="M411" s="6"/>
      <c r="N411" s="7"/>
    </row>
    <row x14ac:dyDescent="0.25" r="412" customHeight="1" ht="18.75">
      <c r="A412" s="10" t="s">
        <v>480</v>
      </c>
      <c r="B412" s="11">
        <v>41</v>
      </c>
      <c r="C412" s="3"/>
      <c r="D412" s="3"/>
      <c r="E412" s="5"/>
      <c r="F412" s="3"/>
      <c r="G412" s="3"/>
      <c r="H412" s="5"/>
      <c r="I412" s="5"/>
      <c r="J412" s="5"/>
      <c r="K412" s="5"/>
      <c r="L412" s="6"/>
      <c r="M412" s="6"/>
      <c r="N412" s="7"/>
    </row>
    <row x14ac:dyDescent="0.25" r="413" customHeight="1" ht="18.75">
      <c r="A413" s="10" t="s">
        <v>481</v>
      </c>
      <c r="B413" s="11">
        <v>41</v>
      </c>
      <c r="C413" s="3"/>
      <c r="D413" s="3"/>
      <c r="E413" s="5"/>
      <c r="F413" s="3"/>
      <c r="G413" s="3"/>
      <c r="H413" s="5"/>
      <c r="I413" s="5"/>
      <c r="J413" s="5"/>
      <c r="K413" s="5"/>
      <c r="L413" s="6"/>
      <c r="M413" s="6"/>
      <c r="N413" s="7"/>
    </row>
    <row x14ac:dyDescent="0.25" r="414" customHeight="1" ht="18.75">
      <c r="A414" s="10" t="s">
        <v>482</v>
      </c>
      <c r="B414" s="11">
        <v>41</v>
      </c>
      <c r="C414" s="3"/>
      <c r="D414" s="3"/>
      <c r="E414" s="5"/>
      <c r="F414" s="3"/>
      <c r="G414" s="3"/>
      <c r="H414" s="5"/>
      <c r="I414" s="5"/>
      <c r="J414" s="5"/>
      <c r="K414" s="5"/>
      <c r="L414" s="6"/>
      <c r="M414" s="6"/>
      <c r="N414" s="7"/>
    </row>
    <row x14ac:dyDescent="0.25" r="415" customHeight="1" ht="18.75">
      <c r="A415" s="10" t="s">
        <v>483</v>
      </c>
      <c r="B415" s="11">
        <v>41</v>
      </c>
      <c r="C415" s="3"/>
      <c r="D415" s="3"/>
      <c r="E415" s="5"/>
      <c r="F415" s="3"/>
      <c r="G415" s="3"/>
      <c r="H415" s="5"/>
      <c r="I415" s="5"/>
      <c r="J415" s="5"/>
      <c r="K415" s="5"/>
      <c r="L415" s="6"/>
      <c r="M415" s="6"/>
      <c r="N415" s="7"/>
    </row>
    <row x14ac:dyDescent="0.25" r="416" customHeight="1" ht="18.75">
      <c r="A416" s="10" t="s">
        <v>484</v>
      </c>
      <c r="B416" s="11">
        <v>41</v>
      </c>
      <c r="C416" s="3"/>
      <c r="D416" s="3"/>
      <c r="E416" s="5"/>
      <c r="F416" s="3"/>
      <c r="G416" s="3"/>
      <c r="H416" s="5"/>
      <c r="I416" s="5"/>
      <c r="J416" s="5"/>
      <c r="K416" s="5"/>
      <c r="L416" s="6"/>
      <c r="M416" s="6"/>
      <c r="N416" s="7"/>
    </row>
    <row x14ac:dyDescent="0.25" r="417" customHeight="1" ht="18.75">
      <c r="A417" s="10" t="s">
        <v>485</v>
      </c>
      <c r="B417" s="11">
        <v>41</v>
      </c>
      <c r="C417" s="3"/>
      <c r="D417" s="3"/>
      <c r="E417" s="5"/>
      <c r="F417" s="3"/>
      <c r="G417" s="3"/>
      <c r="H417" s="5"/>
      <c r="I417" s="5"/>
      <c r="J417" s="5"/>
      <c r="K417" s="5"/>
      <c r="L417" s="6"/>
      <c r="M417" s="6"/>
      <c r="N417" s="7"/>
    </row>
    <row x14ac:dyDescent="0.25" r="418" customHeight="1" ht="18.75">
      <c r="A418" s="10" t="s">
        <v>486</v>
      </c>
      <c r="B418" s="11">
        <v>41</v>
      </c>
      <c r="C418" s="3"/>
      <c r="D418" s="3"/>
      <c r="E418" s="5"/>
      <c r="F418" s="3"/>
      <c r="G418" s="3"/>
      <c r="H418" s="5"/>
      <c r="I418" s="5"/>
      <c r="J418" s="5"/>
      <c r="K418" s="5"/>
      <c r="L418" s="6"/>
      <c r="M418" s="6"/>
      <c r="N418" s="7"/>
    </row>
    <row x14ac:dyDescent="0.25" r="419" customHeight="1" ht="18.75">
      <c r="A419" s="10" t="s">
        <v>487</v>
      </c>
      <c r="B419" s="11">
        <v>41</v>
      </c>
      <c r="C419" s="3"/>
      <c r="D419" s="3"/>
      <c r="E419" s="5"/>
      <c r="F419" s="3"/>
      <c r="G419" s="3"/>
      <c r="H419" s="5"/>
      <c r="I419" s="5"/>
      <c r="J419" s="5"/>
      <c r="K419" s="5"/>
      <c r="L419" s="6"/>
      <c r="M419" s="6"/>
      <c r="N419" s="7"/>
    </row>
    <row x14ac:dyDescent="0.25" r="420" customHeight="1" ht="18.75">
      <c r="A420" s="10" t="s">
        <v>488</v>
      </c>
      <c r="B420" s="11">
        <v>41</v>
      </c>
      <c r="C420" s="3"/>
      <c r="D420" s="3"/>
      <c r="E420" s="5"/>
      <c r="F420" s="3"/>
      <c r="G420" s="3"/>
      <c r="H420" s="5"/>
      <c r="I420" s="5"/>
      <c r="J420" s="5"/>
      <c r="K420" s="5"/>
      <c r="L420" s="6"/>
      <c r="M420" s="6"/>
      <c r="N420" s="7"/>
    </row>
    <row x14ac:dyDescent="0.25" r="421" customHeight="1" ht="18.75">
      <c r="A421" s="10" t="s">
        <v>489</v>
      </c>
      <c r="B421" s="11">
        <v>41</v>
      </c>
      <c r="C421" s="3"/>
      <c r="D421" s="3"/>
      <c r="E421" s="5"/>
      <c r="F421" s="3"/>
      <c r="G421" s="3"/>
      <c r="H421" s="5"/>
      <c r="I421" s="5"/>
      <c r="J421" s="5"/>
      <c r="K421" s="5"/>
      <c r="L421" s="6"/>
      <c r="M421" s="6"/>
      <c r="N421" s="7"/>
    </row>
    <row x14ac:dyDescent="0.25" r="422" customHeight="1" ht="18.75">
      <c r="A422" s="10" t="s">
        <v>490</v>
      </c>
      <c r="B422" s="11">
        <v>41</v>
      </c>
      <c r="C422" s="3"/>
      <c r="D422" s="3"/>
      <c r="E422" s="5"/>
      <c r="F422" s="3"/>
      <c r="G422" s="3"/>
      <c r="H422" s="5"/>
      <c r="I422" s="5"/>
      <c r="J422" s="5"/>
      <c r="K422" s="5"/>
      <c r="L422" s="6"/>
      <c r="M422" s="6"/>
      <c r="N422" s="7"/>
    </row>
    <row x14ac:dyDescent="0.25" r="423" customHeight="1" ht="18.75">
      <c r="A423" s="10" t="s">
        <v>491</v>
      </c>
      <c r="B423" s="11">
        <v>41</v>
      </c>
      <c r="C423" s="3"/>
      <c r="D423" s="3"/>
      <c r="E423" s="5"/>
      <c r="F423" s="3"/>
      <c r="G423" s="3"/>
      <c r="H423" s="5"/>
      <c r="I423" s="5"/>
      <c r="J423" s="5"/>
      <c r="K423" s="5"/>
      <c r="L423" s="6"/>
      <c r="M423" s="6"/>
      <c r="N423" s="7"/>
    </row>
    <row x14ac:dyDescent="0.25" r="424" customHeight="1" ht="18.75">
      <c r="A424" s="10" t="s">
        <v>492</v>
      </c>
      <c r="B424" s="11">
        <v>41</v>
      </c>
      <c r="C424" s="3"/>
      <c r="D424" s="3"/>
      <c r="E424" s="5"/>
      <c r="F424" s="3"/>
      <c r="G424" s="3"/>
      <c r="H424" s="5"/>
      <c r="I424" s="5"/>
      <c r="J424" s="5"/>
      <c r="K424" s="5"/>
      <c r="L424" s="6"/>
      <c r="M424" s="6"/>
      <c r="N424" s="7"/>
    </row>
    <row x14ac:dyDescent="0.25" r="425" customHeight="1" ht="18.75">
      <c r="A425" s="10" t="s">
        <v>493</v>
      </c>
      <c r="B425" s="11">
        <v>41</v>
      </c>
      <c r="C425" s="3"/>
      <c r="D425" s="3"/>
      <c r="E425" s="5"/>
      <c r="F425" s="3"/>
      <c r="G425" s="3"/>
      <c r="H425" s="5"/>
      <c r="I425" s="5"/>
      <c r="J425" s="5"/>
      <c r="K425" s="5"/>
      <c r="L425" s="6"/>
      <c r="M425" s="6"/>
      <c r="N425" s="7"/>
    </row>
    <row x14ac:dyDescent="0.25" r="426" customHeight="1" ht="18.75">
      <c r="A426" s="10" t="s">
        <v>494</v>
      </c>
      <c r="B426" s="11">
        <v>41</v>
      </c>
      <c r="C426" s="3"/>
      <c r="D426" s="3"/>
      <c r="E426" s="5"/>
      <c r="F426" s="3"/>
      <c r="G426" s="3"/>
      <c r="H426" s="5"/>
      <c r="I426" s="5"/>
      <c r="J426" s="5"/>
      <c r="K426" s="5"/>
      <c r="L426" s="6"/>
      <c r="M426" s="6"/>
      <c r="N426" s="7"/>
    </row>
    <row x14ac:dyDescent="0.25" r="427" customHeight="1" ht="18.75">
      <c r="A427" s="10" t="s">
        <v>495</v>
      </c>
      <c r="B427" s="11">
        <v>41</v>
      </c>
      <c r="C427" s="3"/>
      <c r="D427" s="3"/>
      <c r="E427" s="5"/>
      <c r="F427" s="3"/>
      <c r="G427" s="3"/>
      <c r="H427" s="5"/>
      <c r="I427" s="5"/>
      <c r="J427" s="5"/>
      <c r="K427" s="5"/>
      <c r="L427" s="6"/>
      <c r="M427" s="6"/>
      <c r="N427" s="7"/>
    </row>
    <row x14ac:dyDescent="0.25" r="428" customHeight="1" ht="18.75">
      <c r="A428" s="10" t="s">
        <v>496</v>
      </c>
      <c r="B428" s="19">
        <v>41.5</v>
      </c>
      <c r="C428" s="3"/>
      <c r="D428" s="3"/>
      <c r="E428" s="5"/>
      <c r="F428" s="3"/>
      <c r="G428" s="3"/>
      <c r="H428" s="5"/>
      <c r="I428" s="5"/>
      <c r="J428" s="5"/>
      <c r="K428" s="5"/>
      <c r="L428" s="6"/>
      <c r="M428" s="6"/>
      <c r="N428" s="7"/>
    </row>
    <row x14ac:dyDescent="0.25" r="429" customHeight="1" ht="18.75">
      <c r="A429" s="10" t="s">
        <v>497</v>
      </c>
      <c r="B429" s="11">
        <v>42</v>
      </c>
      <c r="C429" s="3"/>
      <c r="D429" s="3"/>
      <c r="E429" s="5"/>
      <c r="F429" s="3"/>
      <c r="G429" s="3"/>
      <c r="H429" s="5"/>
      <c r="I429" s="5"/>
      <c r="J429" s="5"/>
      <c r="K429" s="5"/>
      <c r="L429" s="6"/>
      <c r="M429" s="6"/>
      <c r="N429" s="7"/>
    </row>
    <row x14ac:dyDescent="0.25" r="430" customHeight="1" ht="18.75">
      <c r="A430" s="10" t="s">
        <v>498</v>
      </c>
      <c r="B430" s="11">
        <v>42</v>
      </c>
      <c r="C430" s="3"/>
      <c r="D430" s="3"/>
      <c r="E430" s="5"/>
      <c r="F430" s="3"/>
      <c r="G430" s="3"/>
      <c r="H430" s="5"/>
      <c r="I430" s="5"/>
      <c r="J430" s="5"/>
      <c r="K430" s="5"/>
      <c r="L430" s="6"/>
      <c r="M430" s="6"/>
      <c r="N430" s="7"/>
    </row>
    <row x14ac:dyDescent="0.25" r="431" customHeight="1" ht="18.75">
      <c r="A431" s="10" t="s">
        <v>499</v>
      </c>
      <c r="B431" s="11">
        <v>42</v>
      </c>
      <c r="C431" s="3"/>
      <c r="D431" s="3"/>
      <c r="E431" s="5"/>
      <c r="F431" s="3"/>
      <c r="G431" s="3"/>
      <c r="H431" s="5"/>
      <c r="I431" s="5"/>
      <c r="J431" s="5"/>
      <c r="K431" s="5"/>
      <c r="L431" s="6"/>
      <c r="M431" s="6"/>
      <c r="N431" s="7"/>
    </row>
    <row x14ac:dyDescent="0.25" r="432" customHeight="1" ht="18.75">
      <c r="A432" s="10" t="s">
        <v>500</v>
      </c>
      <c r="B432" s="11">
        <v>42</v>
      </c>
      <c r="C432" s="3"/>
      <c r="D432" s="3"/>
      <c r="E432" s="5"/>
      <c r="F432" s="3"/>
      <c r="G432" s="3"/>
      <c r="H432" s="5"/>
      <c r="I432" s="5"/>
      <c r="J432" s="5"/>
      <c r="K432" s="5"/>
      <c r="L432" s="6"/>
      <c r="M432" s="6"/>
      <c r="N432" s="7"/>
    </row>
    <row x14ac:dyDescent="0.25" r="433" customHeight="1" ht="18.75">
      <c r="A433" s="10" t="s">
        <v>501</v>
      </c>
      <c r="B433" s="11">
        <v>42</v>
      </c>
      <c r="C433" s="3"/>
      <c r="D433" s="3"/>
      <c r="E433" s="5"/>
      <c r="F433" s="3"/>
      <c r="G433" s="3"/>
      <c r="H433" s="5"/>
      <c r="I433" s="5"/>
      <c r="J433" s="5"/>
      <c r="K433" s="5"/>
      <c r="L433" s="6"/>
      <c r="M433" s="6"/>
      <c r="N433" s="7"/>
    </row>
    <row x14ac:dyDescent="0.25" r="434" customHeight="1" ht="18.75">
      <c r="A434" s="10" t="s">
        <v>502</v>
      </c>
      <c r="B434" s="11">
        <v>42</v>
      </c>
      <c r="C434" s="3"/>
      <c r="D434" s="3"/>
      <c r="E434" s="5"/>
      <c r="F434" s="3"/>
      <c r="G434" s="3"/>
      <c r="H434" s="5"/>
      <c r="I434" s="5"/>
      <c r="J434" s="5"/>
      <c r="K434" s="5"/>
      <c r="L434" s="6"/>
      <c r="M434" s="6"/>
      <c r="N434" s="7"/>
    </row>
    <row x14ac:dyDescent="0.25" r="435" customHeight="1" ht="18.75">
      <c r="A435" s="10" t="s">
        <v>503</v>
      </c>
      <c r="B435" s="11">
        <v>42</v>
      </c>
      <c r="C435" s="3"/>
      <c r="D435" s="3"/>
      <c r="E435" s="5"/>
      <c r="F435" s="3"/>
      <c r="G435" s="3"/>
      <c r="H435" s="5"/>
      <c r="I435" s="5"/>
      <c r="J435" s="5"/>
      <c r="K435" s="5"/>
      <c r="L435" s="6"/>
      <c r="M435" s="6"/>
      <c r="N435" s="7"/>
    </row>
    <row x14ac:dyDescent="0.25" r="436" customHeight="1" ht="18.75">
      <c r="A436" s="10" t="s">
        <v>504</v>
      </c>
      <c r="B436" s="11">
        <v>42</v>
      </c>
      <c r="C436" s="3"/>
      <c r="D436" s="3"/>
      <c r="E436" s="5"/>
      <c r="F436" s="3"/>
      <c r="G436" s="3"/>
      <c r="H436" s="5"/>
      <c r="I436" s="5"/>
      <c r="J436" s="5"/>
      <c r="K436" s="5"/>
      <c r="L436" s="6"/>
      <c r="M436" s="6"/>
      <c r="N436" s="7"/>
    </row>
    <row x14ac:dyDescent="0.25" r="437" customHeight="1" ht="18.75">
      <c r="A437" s="10" t="s">
        <v>505</v>
      </c>
      <c r="B437" s="11">
        <v>42</v>
      </c>
      <c r="C437" s="3"/>
      <c r="D437" s="3"/>
      <c r="E437" s="5"/>
      <c r="F437" s="3"/>
      <c r="G437" s="3"/>
      <c r="H437" s="5"/>
      <c r="I437" s="5"/>
      <c r="J437" s="5"/>
      <c r="K437" s="5"/>
      <c r="L437" s="6"/>
      <c r="M437" s="6"/>
      <c r="N437" s="7"/>
    </row>
    <row x14ac:dyDescent="0.25" r="438" customHeight="1" ht="18.75">
      <c r="A438" s="10" t="s">
        <v>506</v>
      </c>
      <c r="B438" s="11">
        <v>42</v>
      </c>
      <c r="C438" s="3"/>
      <c r="D438" s="3"/>
      <c r="E438" s="5"/>
      <c r="F438" s="3"/>
      <c r="G438" s="3"/>
      <c r="H438" s="5"/>
      <c r="I438" s="5"/>
      <c r="J438" s="5"/>
      <c r="K438" s="5"/>
      <c r="L438" s="6"/>
      <c r="M438" s="6"/>
      <c r="N438" s="7"/>
    </row>
    <row x14ac:dyDescent="0.25" r="439" customHeight="1" ht="18.75">
      <c r="A439" s="10" t="s">
        <v>507</v>
      </c>
      <c r="B439" s="11">
        <v>42</v>
      </c>
      <c r="C439" s="3"/>
      <c r="D439" s="3"/>
      <c r="E439" s="5"/>
      <c r="F439" s="3"/>
      <c r="G439" s="3"/>
      <c r="H439" s="5"/>
      <c r="I439" s="5"/>
      <c r="J439" s="5"/>
      <c r="K439" s="5"/>
      <c r="L439" s="6"/>
      <c r="M439" s="6"/>
      <c r="N439" s="7"/>
    </row>
    <row x14ac:dyDescent="0.25" r="440" customHeight="1" ht="18.75">
      <c r="A440" s="10" t="s">
        <v>508</v>
      </c>
      <c r="B440" s="11">
        <v>42</v>
      </c>
      <c r="C440" s="3"/>
      <c r="D440" s="3"/>
      <c r="E440" s="5"/>
      <c r="F440" s="3"/>
      <c r="G440" s="3"/>
      <c r="H440" s="5"/>
      <c r="I440" s="5"/>
      <c r="J440" s="5"/>
      <c r="K440" s="5"/>
      <c r="L440" s="6"/>
      <c r="M440" s="6"/>
      <c r="N440" s="7"/>
    </row>
    <row x14ac:dyDescent="0.25" r="441" customHeight="1" ht="18.75">
      <c r="A441" s="10" t="s">
        <v>509</v>
      </c>
      <c r="B441" s="11">
        <v>42</v>
      </c>
      <c r="C441" s="3"/>
      <c r="D441" s="3"/>
      <c r="E441" s="5"/>
      <c r="F441" s="3"/>
      <c r="G441" s="3"/>
      <c r="H441" s="5"/>
      <c r="I441" s="5"/>
      <c r="J441" s="5"/>
      <c r="K441" s="5"/>
      <c r="L441" s="6"/>
      <c r="M441" s="6"/>
      <c r="N441" s="7"/>
    </row>
    <row x14ac:dyDescent="0.25" r="442" customHeight="1" ht="18.75">
      <c r="A442" s="10" t="s">
        <v>510</v>
      </c>
      <c r="B442" s="11">
        <v>42</v>
      </c>
      <c r="C442" s="3"/>
      <c r="D442" s="3"/>
      <c r="E442" s="5"/>
      <c r="F442" s="3"/>
      <c r="G442" s="3"/>
      <c r="H442" s="5"/>
      <c r="I442" s="5"/>
      <c r="J442" s="5"/>
      <c r="K442" s="5"/>
      <c r="L442" s="6"/>
      <c r="M442" s="6"/>
      <c r="N442" s="7"/>
    </row>
    <row x14ac:dyDescent="0.25" r="443" customHeight="1" ht="18.75">
      <c r="A443" s="10" t="s">
        <v>511</v>
      </c>
      <c r="B443" s="11">
        <v>42</v>
      </c>
      <c r="C443" s="3"/>
      <c r="D443" s="3"/>
      <c r="E443" s="5"/>
      <c r="F443" s="3"/>
      <c r="G443" s="3"/>
      <c r="H443" s="5"/>
      <c r="I443" s="5"/>
      <c r="J443" s="5"/>
      <c r="K443" s="5"/>
      <c r="L443" s="6"/>
      <c r="M443" s="6"/>
      <c r="N443" s="7"/>
    </row>
    <row x14ac:dyDescent="0.25" r="444" customHeight="1" ht="18.75">
      <c r="A444" s="10" t="s">
        <v>512</v>
      </c>
      <c r="B444" s="11">
        <v>42</v>
      </c>
      <c r="C444" s="3"/>
      <c r="D444" s="3"/>
      <c r="E444" s="5"/>
      <c r="F444" s="3"/>
      <c r="G444" s="3"/>
      <c r="H444" s="5"/>
      <c r="I444" s="5"/>
      <c r="J444" s="5"/>
      <c r="K444" s="5"/>
      <c r="L444" s="6"/>
      <c r="M444" s="6"/>
      <c r="N444" s="7"/>
    </row>
    <row x14ac:dyDescent="0.25" r="445" customHeight="1" ht="18.75">
      <c r="A445" s="10" t="s">
        <v>513</v>
      </c>
      <c r="B445" s="11">
        <v>42</v>
      </c>
      <c r="C445" s="3"/>
      <c r="D445" s="3"/>
      <c r="E445" s="5"/>
      <c r="F445" s="3"/>
      <c r="G445" s="3"/>
      <c r="H445" s="5"/>
      <c r="I445" s="5"/>
      <c r="J445" s="5"/>
      <c r="K445" s="5"/>
      <c r="L445" s="6"/>
      <c r="M445" s="6"/>
      <c r="N445" s="7"/>
    </row>
    <row x14ac:dyDescent="0.25" r="446" customHeight="1" ht="18.75">
      <c r="A446" s="10" t="s">
        <v>514</v>
      </c>
      <c r="B446" s="11">
        <v>42</v>
      </c>
      <c r="C446" s="3"/>
      <c r="D446" s="3"/>
      <c r="E446" s="5"/>
      <c r="F446" s="3"/>
      <c r="G446" s="3"/>
      <c r="H446" s="5"/>
      <c r="I446" s="5"/>
      <c r="J446" s="5"/>
      <c r="K446" s="5"/>
      <c r="L446" s="6"/>
      <c r="M446" s="6"/>
      <c r="N446" s="7"/>
    </row>
    <row x14ac:dyDescent="0.25" r="447" customHeight="1" ht="18.75">
      <c r="A447" s="10" t="s">
        <v>515</v>
      </c>
      <c r="B447" s="11">
        <v>42</v>
      </c>
      <c r="C447" s="3"/>
      <c r="D447" s="3"/>
      <c r="E447" s="5"/>
      <c r="F447" s="3"/>
      <c r="G447" s="3"/>
      <c r="H447" s="5"/>
      <c r="I447" s="5"/>
      <c r="J447" s="5"/>
      <c r="K447" s="5"/>
      <c r="L447" s="6"/>
      <c r="M447" s="6"/>
      <c r="N447" s="7"/>
    </row>
    <row x14ac:dyDescent="0.25" r="448" customHeight="1" ht="18.75">
      <c r="A448" s="10" t="s">
        <v>516</v>
      </c>
      <c r="B448" s="11">
        <v>42</v>
      </c>
      <c r="C448" s="3"/>
      <c r="D448" s="3"/>
      <c r="E448" s="5"/>
      <c r="F448" s="3"/>
      <c r="G448" s="3"/>
      <c r="H448" s="5"/>
      <c r="I448" s="5"/>
      <c r="J448" s="5"/>
      <c r="K448" s="5"/>
      <c r="L448" s="6"/>
      <c r="M448" s="6"/>
      <c r="N448" s="7"/>
    </row>
    <row x14ac:dyDescent="0.25" r="449" customHeight="1" ht="18.75">
      <c r="A449" s="10" t="s">
        <v>517</v>
      </c>
      <c r="B449" s="11">
        <v>42</v>
      </c>
      <c r="C449" s="3"/>
      <c r="D449" s="3"/>
      <c r="E449" s="5"/>
      <c r="F449" s="3"/>
      <c r="G449" s="3"/>
      <c r="H449" s="5"/>
      <c r="I449" s="5"/>
      <c r="J449" s="5"/>
      <c r="K449" s="5"/>
      <c r="L449" s="6"/>
      <c r="M449" s="6"/>
      <c r="N449" s="7"/>
    </row>
    <row x14ac:dyDescent="0.25" r="450" customHeight="1" ht="18.75">
      <c r="A450" s="10" t="s">
        <v>518</v>
      </c>
      <c r="B450" s="11">
        <v>42</v>
      </c>
      <c r="C450" s="3"/>
      <c r="D450" s="3"/>
      <c r="E450" s="5"/>
      <c r="F450" s="3"/>
      <c r="G450" s="3"/>
      <c r="H450" s="5"/>
      <c r="I450" s="5"/>
      <c r="J450" s="5"/>
      <c r="K450" s="5"/>
      <c r="L450" s="6"/>
      <c r="M450" s="6"/>
      <c r="N450" s="7"/>
    </row>
    <row x14ac:dyDescent="0.25" r="451" customHeight="1" ht="18.75">
      <c r="A451" s="10" t="s">
        <v>519</v>
      </c>
      <c r="B451" s="11">
        <v>42</v>
      </c>
      <c r="C451" s="3"/>
      <c r="D451" s="3"/>
      <c r="E451" s="5"/>
      <c r="F451" s="3"/>
      <c r="G451" s="3"/>
      <c r="H451" s="5"/>
      <c r="I451" s="5"/>
      <c r="J451" s="5"/>
      <c r="K451" s="5"/>
      <c r="L451" s="6"/>
      <c r="M451" s="6"/>
      <c r="N451" s="7"/>
    </row>
    <row x14ac:dyDescent="0.25" r="452" customHeight="1" ht="18.75">
      <c r="A452" s="10" t="s">
        <v>520</v>
      </c>
      <c r="B452" s="11">
        <v>42</v>
      </c>
      <c r="C452" s="3"/>
      <c r="D452" s="3"/>
      <c r="E452" s="5"/>
      <c r="F452" s="3"/>
      <c r="G452" s="3"/>
      <c r="H452" s="5"/>
      <c r="I452" s="5"/>
      <c r="J452" s="5"/>
      <c r="K452" s="5"/>
      <c r="L452" s="6"/>
      <c r="M452" s="6"/>
      <c r="N452" s="7"/>
    </row>
    <row x14ac:dyDescent="0.25" r="453" customHeight="1" ht="18.75">
      <c r="A453" s="10" t="s">
        <v>521</v>
      </c>
      <c r="B453" s="11">
        <v>43</v>
      </c>
      <c r="C453" s="3"/>
      <c r="D453" s="3"/>
      <c r="E453" s="5"/>
      <c r="F453" s="3"/>
      <c r="G453" s="3"/>
      <c r="H453" s="5"/>
      <c r="I453" s="5"/>
      <c r="J453" s="5"/>
      <c r="K453" s="5"/>
      <c r="L453" s="6"/>
      <c r="M453" s="6"/>
      <c r="N453" s="7"/>
    </row>
    <row x14ac:dyDescent="0.25" r="454" customHeight="1" ht="18.75">
      <c r="A454" s="10" t="s">
        <v>522</v>
      </c>
      <c r="B454" s="11">
        <v>43</v>
      </c>
      <c r="C454" s="3"/>
      <c r="D454" s="3"/>
      <c r="E454" s="5"/>
      <c r="F454" s="3"/>
      <c r="G454" s="3"/>
      <c r="H454" s="5"/>
      <c r="I454" s="5"/>
      <c r="J454" s="5"/>
      <c r="K454" s="5"/>
      <c r="L454" s="6"/>
      <c r="M454" s="6"/>
      <c r="N454" s="7"/>
    </row>
    <row x14ac:dyDescent="0.25" r="455" customHeight="1" ht="18.75">
      <c r="A455" s="10" t="s">
        <v>523</v>
      </c>
      <c r="B455" s="11">
        <v>43</v>
      </c>
      <c r="C455" s="3"/>
      <c r="D455" s="3"/>
      <c r="E455" s="5"/>
      <c r="F455" s="3"/>
      <c r="G455" s="3"/>
      <c r="H455" s="5"/>
      <c r="I455" s="5"/>
      <c r="J455" s="5"/>
      <c r="K455" s="5"/>
      <c r="L455" s="6"/>
      <c r="M455" s="6"/>
      <c r="N455" s="7"/>
    </row>
    <row x14ac:dyDescent="0.25" r="456" customHeight="1" ht="18.75">
      <c r="A456" s="10" t="s">
        <v>524</v>
      </c>
      <c r="B456" s="11">
        <v>43</v>
      </c>
      <c r="C456" s="3"/>
      <c r="D456" s="3"/>
      <c r="E456" s="5"/>
      <c r="F456" s="3"/>
      <c r="G456" s="3"/>
      <c r="H456" s="5"/>
      <c r="I456" s="5"/>
      <c r="J456" s="5"/>
      <c r="K456" s="5"/>
      <c r="L456" s="6"/>
      <c r="M456" s="6"/>
      <c r="N456" s="7"/>
    </row>
    <row x14ac:dyDescent="0.25" r="457" customHeight="1" ht="18.75">
      <c r="A457" s="10" t="s">
        <v>525</v>
      </c>
      <c r="B457" s="11">
        <v>43</v>
      </c>
      <c r="C457" s="3"/>
      <c r="D457" s="3"/>
      <c r="E457" s="5"/>
      <c r="F457" s="3"/>
      <c r="G457" s="3"/>
      <c r="H457" s="5"/>
      <c r="I457" s="5"/>
      <c r="J457" s="5"/>
      <c r="K457" s="5"/>
      <c r="L457" s="6"/>
      <c r="M457" s="6"/>
      <c r="N457" s="7"/>
    </row>
    <row x14ac:dyDescent="0.25" r="458" customHeight="1" ht="18.75">
      <c r="A458" s="10" t="s">
        <v>526</v>
      </c>
      <c r="B458" s="11">
        <v>43</v>
      </c>
      <c r="C458" s="3"/>
      <c r="D458" s="3"/>
      <c r="E458" s="5"/>
      <c r="F458" s="3"/>
      <c r="G458" s="3"/>
      <c r="H458" s="5"/>
      <c r="I458" s="5"/>
      <c r="J458" s="5"/>
      <c r="K458" s="5"/>
      <c r="L458" s="6"/>
      <c r="M458" s="6"/>
      <c r="N458" s="7"/>
    </row>
    <row x14ac:dyDescent="0.25" r="459" customHeight="1" ht="18.75">
      <c r="A459" s="10" t="s">
        <v>527</v>
      </c>
      <c r="B459" s="11">
        <v>43</v>
      </c>
      <c r="C459" s="3"/>
      <c r="D459" s="3"/>
      <c r="E459" s="5"/>
      <c r="F459" s="3"/>
      <c r="G459" s="3"/>
      <c r="H459" s="5"/>
      <c r="I459" s="5"/>
      <c r="J459" s="5"/>
      <c r="K459" s="5"/>
      <c r="L459" s="6"/>
      <c r="M459" s="6"/>
      <c r="N459" s="7"/>
    </row>
    <row x14ac:dyDescent="0.25" r="460" customHeight="1" ht="18.75">
      <c r="A460" s="10" t="s">
        <v>528</v>
      </c>
      <c r="B460" s="11">
        <v>43</v>
      </c>
      <c r="C460" s="3"/>
      <c r="D460" s="3"/>
      <c r="E460" s="5"/>
      <c r="F460" s="3"/>
      <c r="G460" s="3"/>
      <c r="H460" s="5"/>
      <c r="I460" s="5"/>
      <c r="J460" s="5"/>
      <c r="K460" s="5"/>
      <c r="L460" s="6"/>
      <c r="M460" s="6"/>
      <c r="N460" s="7"/>
    </row>
    <row x14ac:dyDescent="0.25" r="461" customHeight="1" ht="18.75">
      <c r="A461" s="10" t="s">
        <v>529</v>
      </c>
      <c r="B461" s="11">
        <v>43</v>
      </c>
      <c r="C461" s="3"/>
      <c r="D461" s="3"/>
      <c r="E461" s="5"/>
      <c r="F461" s="3"/>
      <c r="G461" s="3"/>
      <c r="H461" s="5"/>
      <c r="I461" s="5"/>
      <c r="J461" s="5"/>
      <c r="K461" s="5"/>
      <c r="L461" s="6"/>
      <c r="M461" s="6"/>
      <c r="N461" s="7"/>
    </row>
    <row x14ac:dyDescent="0.25" r="462" customHeight="1" ht="18.75">
      <c r="A462" s="10" t="s">
        <v>530</v>
      </c>
      <c r="B462" s="11">
        <v>43</v>
      </c>
      <c r="C462" s="3"/>
      <c r="D462" s="3"/>
      <c r="E462" s="5"/>
      <c r="F462" s="3"/>
      <c r="G462" s="3"/>
      <c r="H462" s="5"/>
      <c r="I462" s="5"/>
      <c r="J462" s="5"/>
      <c r="K462" s="5"/>
      <c r="L462" s="6"/>
      <c r="M462" s="6"/>
      <c r="N462" s="7"/>
    </row>
    <row x14ac:dyDescent="0.25" r="463" customHeight="1" ht="18.75">
      <c r="A463" s="10" t="s">
        <v>531</v>
      </c>
      <c r="B463" s="11">
        <v>43</v>
      </c>
      <c r="C463" s="3"/>
      <c r="D463" s="3"/>
      <c r="E463" s="5"/>
      <c r="F463" s="3"/>
      <c r="G463" s="3"/>
      <c r="H463" s="5"/>
      <c r="I463" s="5"/>
      <c r="J463" s="5"/>
      <c r="K463" s="5"/>
      <c r="L463" s="6"/>
      <c r="M463" s="6"/>
      <c r="N463" s="7"/>
    </row>
    <row x14ac:dyDescent="0.25" r="464" customHeight="1" ht="18.75">
      <c r="A464" s="10" t="s">
        <v>532</v>
      </c>
      <c r="B464" s="11">
        <v>43</v>
      </c>
      <c r="C464" s="3"/>
      <c r="D464" s="3"/>
      <c r="E464" s="5"/>
      <c r="F464" s="3"/>
      <c r="G464" s="3"/>
      <c r="H464" s="5"/>
      <c r="I464" s="5"/>
      <c r="J464" s="5"/>
      <c r="K464" s="5"/>
      <c r="L464" s="6"/>
      <c r="M464" s="6"/>
      <c r="N464" s="7"/>
    </row>
    <row x14ac:dyDescent="0.25" r="465" customHeight="1" ht="18.75">
      <c r="A465" s="10" t="s">
        <v>533</v>
      </c>
      <c r="B465" s="11">
        <v>43</v>
      </c>
      <c r="C465" s="3"/>
      <c r="D465" s="3"/>
      <c r="E465" s="5"/>
      <c r="F465" s="3"/>
      <c r="G465" s="3"/>
      <c r="H465" s="5"/>
      <c r="I465" s="5"/>
      <c r="J465" s="5"/>
      <c r="K465" s="5"/>
      <c r="L465" s="6"/>
      <c r="M465" s="6"/>
      <c r="N465" s="7"/>
    </row>
    <row x14ac:dyDescent="0.25" r="466" customHeight="1" ht="18.75">
      <c r="A466" s="10" t="s">
        <v>534</v>
      </c>
      <c r="B466" s="11">
        <v>43</v>
      </c>
      <c r="C466" s="3"/>
      <c r="D466" s="3"/>
      <c r="E466" s="5"/>
      <c r="F466" s="3"/>
      <c r="G466" s="3"/>
      <c r="H466" s="5"/>
      <c r="I466" s="5"/>
      <c r="J466" s="5"/>
      <c r="K466" s="5"/>
      <c r="L466" s="6"/>
      <c r="M466" s="6"/>
      <c r="N466" s="7"/>
    </row>
    <row x14ac:dyDescent="0.25" r="467" customHeight="1" ht="18.75">
      <c r="A467" s="10" t="s">
        <v>535</v>
      </c>
      <c r="B467" s="11">
        <v>43</v>
      </c>
      <c r="C467" s="3"/>
      <c r="D467" s="3"/>
      <c r="E467" s="5"/>
      <c r="F467" s="3"/>
      <c r="G467" s="3"/>
      <c r="H467" s="5"/>
      <c r="I467" s="5"/>
      <c r="J467" s="5"/>
      <c r="K467" s="5"/>
      <c r="L467" s="6"/>
      <c r="M467" s="6"/>
      <c r="N467" s="7"/>
    </row>
    <row x14ac:dyDescent="0.25" r="468" customHeight="1" ht="18.75">
      <c r="A468" s="10" t="s">
        <v>536</v>
      </c>
      <c r="B468" s="11">
        <v>43</v>
      </c>
      <c r="C468" s="3"/>
      <c r="D468" s="3"/>
      <c r="E468" s="5"/>
      <c r="F468" s="3"/>
      <c r="G468" s="3"/>
      <c r="H468" s="5"/>
      <c r="I468" s="5"/>
      <c r="J468" s="5"/>
      <c r="K468" s="5"/>
      <c r="L468" s="6"/>
      <c r="M468" s="6"/>
      <c r="N468" s="7"/>
    </row>
    <row x14ac:dyDescent="0.25" r="469" customHeight="1" ht="18.75">
      <c r="A469" s="10" t="s">
        <v>537</v>
      </c>
      <c r="B469" s="11">
        <v>43</v>
      </c>
      <c r="C469" s="3"/>
      <c r="D469" s="3"/>
      <c r="E469" s="5"/>
      <c r="F469" s="3"/>
      <c r="G469" s="3"/>
      <c r="H469" s="5"/>
      <c r="I469" s="5"/>
      <c r="J469" s="5"/>
      <c r="K469" s="5"/>
      <c r="L469" s="6"/>
      <c r="M469" s="6"/>
      <c r="N469" s="7"/>
    </row>
    <row x14ac:dyDescent="0.25" r="470" customHeight="1" ht="18.75">
      <c r="A470" s="10" t="s">
        <v>538</v>
      </c>
      <c r="B470" s="11">
        <v>43</v>
      </c>
      <c r="C470" s="3"/>
      <c r="D470" s="3"/>
      <c r="E470" s="5"/>
      <c r="F470" s="3"/>
      <c r="G470" s="3"/>
      <c r="H470" s="5"/>
      <c r="I470" s="5"/>
      <c r="J470" s="5"/>
      <c r="K470" s="5"/>
      <c r="L470" s="6"/>
      <c r="M470" s="6"/>
      <c r="N470" s="7"/>
    </row>
    <row x14ac:dyDescent="0.25" r="471" customHeight="1" ht="18.75">
      <c r="A471" s="10" t="s">
        <v>539</v>
      </c>
      <c r="B471" s="11">
        <v>43</v>
      </c>
      <c r="C471" s="3"/>
      <c r="D471" s="3"/>
      <c r="E471" s="5"/>
      <c r="F471" s="3"/>
      <c r="G471" s="3"/>
      <c r="H471" s="5"/>
      <c r="I471" s="5"/>
      <c r="J471" s="5"/>
      <c r="K471" s="5"/>
      <c r="L471" s="6"/>
      <c r="M471" s="6"/>
      <c r="N471" s="7"/>
    </row>
    <row x14ac:dyDescent="0.25" r="472" customHeight="1" ht="18.75">
      <c r="A472" s="10" t="s">
        <v>540</v>
      </c>
      <c r="B472" s="11">
        <v>43</v>
      </c>
      <c r="C472" s="3"/>
      <c r="D472" s="3"/>
      <c r="E472" s="5"/>
      <c r="F472" s="3"/>
      <c r="G472" s="3"/>
      <c r="H472" s="5"/>
      <c r="I472" s="5"/>
      <c r="J472" s="5"/>
      <c r="K472" s="5"/>
      <c r="L472" s="6"/>
      <c r="M472" s="6"/>
      <c r="N472" s="7"/>
    </row>
    <row x14ac:dyDescent="0.25" r="473" customHeight="1" ht="18.75">
      <c r="A473" s="10" t="s">
        <v>541</v>
      </c>
      <c r="B473" s="11">
        <v>44</v>
      </c>
      <c r="C473" s="3"/>
      <c r="D473" s="3"/>
      <c r="E473" s="5"/>
      <c r="F473" s="3"/>
      <c r="G473" s="3"/>
      <c r="H473" s="5"/>
      <c r="I473" s="5"/>
      <c r="J473" s="5"/>
      <c r="K473" s="5"/>
      <c r="L473" s="6"/>
      <c r="M473" s="6"/>
      <c r="N473" s="7"/>
    </row>
    <row x14ac:dyDescent="0.25" r="474" customHeight="1" ht="18.75">
      <c r="A474" s="10" t="s">
        <v>542</v>
      </c>
      <c r="B474" s="11">
        <v>44</v>
      </c>
      <c r="C474" s="3"/>
      <c r="D474" s="3"/>
      <c r="E474" s="5"/>
      <c r="F474" s="3"/>
      <c r="G474" s="3"/>
      <c r="H474" s="5"/>
      <c r="I474" s="5"/>
      <c r="J474" s="5"/>
      <c r="K474" s="5"/>
      <c r="L474" s="6"/>
      <c r="M474" s="6"/>
      <c r="N474" s="7"/>
    </row>
    <row x14ac:dyDescent="0.25" r="475" customHeight="1" ht="18.75">
      <c r="A475" s="10" t="s">
        <v>543</v>
      </c>
      <c r="B475" s="11">
        <v>44</v>
      </c>
      <c r="C475" s="3"/>
      <c r="D475" s="3"/>
      <c r="E475" s="5"/>
      <c r="F475" s="3"/>
      <c r="G475" s="3"/>
      <c r="H475" s="5"/>
      <c r="I475" s="5"/>
      <c r="J475" s="5"/>
      <c r="K475" s="5"/>
      <c r="L475" s="6"/>
      <c r="M475" s="6"/>
      <c r="N475" s="7"/>
    </row>
    <row x14ac:dyDescent="0.25" r="476" customHeight="1" ht="18.75">
      <c r="A476" s="10" t="s">
        <v>544</v>
      </c>
      <c r="B476" s="11">
        <v>44</v>
      </c>
      <c r="C476" s="3"/>
      <c r="D476" s="3"/>
      <c r="E476" s="5"/>
      <c r="F476" s="3"/>
      <c r="G476" s="3"/>
      <c r="H476" s="5"/>
      <c r="I476" s="5"/>
      <c r="J476" s="5"/>
      <c r="K476" s="5"/>
      <c r="L476" s="6"/>
      <c r="M476" s="6"/>
      <c r="N476" s="7"/>
    </row>
    <row x14ac:dyDescent="0.25" r="477" customHeight="1" ht="18.75">
      <c r="A477" s="10" t="s">
        <v>545</v>
      </c>
      <c r="B477" s="11">
        <v>44</v>
      </c>
      <c r="C477" s="3"/>
      <c r="D477" s="3"/>
      <c r="E477" s="5"/>
      <c r="F477" s="3"/>
      <c r="G477" s="3"/>
      <c r="H477" s="5"/>
      <c r="I477" s="5"/>
      <c r="J477" s="5"/>
      <c r="K477" s="5"/>
      <c r="L477" s="6"/>
      <c r="M477" s="6"/>
      <c r="N477" s="7"/>
    </row>
    <row x14ac:dyDescent="0.25" r="478" customHeight="1" ht="18.75">
      <c r="A478" s="10" t="s">
        <v>546</v>
      </c>
      <c r="B478" s="11">
        <v>44</v>
      </c>
      <c r="C478" s="3"/>
      <c r="D478" s="3"/>
      <c r="E478" s="5"/>
      <c r="F478" s="3"/>
      <c r="G478" s="3"/>
      <c r="H478" s="5"/>
      <c r="I478" s="5"/>
      <c r="J478" s="5"/>
      <c r="K478" s="5"/>
      <c r="L478" s="6"/>
      <c r="M478" s="6"/>
      <c r="N478" s="7"/>
    </row>
    <row x14ac:dyDescent="0.25" r="479" customHeight="1" ht="18.75">
      <c r="A479" s="10" t="s">
        <v>547</v>
      </c>
      <c r="B479" s="11">
        <v>44</v>
      </c>
      <c r="C479" s="3"/>
      <c r="D479" s="3"/>
      <c r="E479" s="5"/>
      <c r="F479" s="3"/>
      <c r="G479" s="3"/>
      <c r="H479" s="5"/>
      <c r="I479" s="5"/>
      <c r="J479" s="5"/>
      <c r="K479" s="5"/>
      <c r="L479" s="6"/>
      <c r="M479" s="6"/>
      <c r="N479" s="7"/>
    </row>
    <row x14ac:dyDescent="0.25" r="480" customHeight="1" ht="18.75">
      <c r="A480" s="10" t="s">
        <v>548</v>
      </c>
      <c r="B480" s="11">
        <v>44</v>
      </c>
      <c r="C480" s="3"/>
      <c r="D480" s="3"/>
      <c r="E480" s="5"/>
      <c r="F480" s="3"/>
      <c r="G480" s="3"/>
      <c r="H480" s="5"/>
      <c r="I480" s="5"/>
      <c r="J480" s="5"/>
      <c r="K480" s="5"/>
      <c r="L480" s="6"/>
      <c r="M480" s="6"/>
      <c r="N480" s="7"/>
    </row>
    <row x14ac:dyDescent="0.25" r="481" customHeight="1" ht="18.75">
      <c r="A481" s="10" t="s">
        <v>549</v>
      </c>
      <c r="B481" s="11">
        <v>44</v>
      </c>
      <c r="C481" s="3"/>
      <c r="D481" s="3"/>
      <c r="E481" s="5"/>
      <c r="F481" s="3"/>
      <c r="G481" s="3"/>
      <c r="H481" s="5"/>
      <c r="I481" s="5"/>
      <c r="J481" s="5"/>
      <c r="K481" s="5"/>
      <c r="L481" s="6"/>
      <c r="M481" s="6"/>
      <c r="N481" s="7"/>
    </row>
    <row x14ac:dyDescent="0.25" r="482" customHeight="1" ht="18.75">
      <c r="A482" s="10" t="s">
        <v>550</v>
      </c>
      <c r="B482" s="11">
        <v>44</v>
      </c>
      <c r="C482" s="3"/>
      <c r="D482" s="3"/>
      <c r="E482" s="5"/>
      <c r="F482" s="3"/>
      <c r="G482" s="3"/>
      <c r="H482" s="5"/>
      <c r="I482" s="5"/>
      <c r="J482" s="5"/>
      <c r="K482" s="5"/>
      <c r="L482" s="6"/>
      <c r="M482" s="6"/>
      <c r="N482" s="7"/>
    </row>
    <row x14ac:dyDescent="0.25" r="483" customHeight="1" ht="18.75">
      <c r="A483" s="10" t="s">
        <v>551</v>
      </c>
      <c r="B483" s="11">
        <v>44</v>
      </c>
      <c r="C483" s="3"/>
      <c r="D483" s="3"/>
      <c r="E483" s="5"/>
      <c r="F483" s="3"/>
      <c r="G483" s="3"/>
      <c r="H483" s="5"/>
      <c r="I483" s="5"/>
      <c r="J483" s="5"/>
      <c r="K483" s="5"/>
      <c r="L483" s="6"/>
      <c r="M483" s="6"/>
      <c r="N483" s="7"/>
    </row>
    <row x14ac:dyDescent="0.25" r="484" customHeight="1" ht="18.75">
      <c r="A484" s="10" t="s">
        <v>552</v>
      </c>
      <c r="B484" s="11">
        <v>44</v>
      </c>
      <c r="C484" s="3"/>
      <c r="D484" s="3"/>
      <c r="E484" s="5"/>
      <c r="F484" s="3"/>
      <c r="G484" s="3"/>
      <c r="H484" s="5"/>
      <c r="I484" s="5"/>
      <c r="J484" s="5"/>
      <c r="K484" s="5"/>
      <c r="L484" s="6"/>
      <c r="M484" s="6"/>
      <c r="N484" s="7"/>
    </row>
    <row x14ac:dyDescent="0.25" r="485" customHeight="1" ht="18.75">
      <c r="A485" s="10" t="s">
        <v>553</v>
      </c>
      <c r="B485" s="11">
        <v>44</v>
      </c>
      <c r="C485" s="3"/>
      <c r="D485" s="3"/>
      <c r="E485" s="5"/>
      <c r="F485" s="3"/>
      <c r="G485" s="3"/>
      <c r="H485" s="5"/>
      <c r="I485" s="5"/>
      <c r="J485" s="5"/>
      <c r="K485" s="5"/>
      <c r="L485" s="6"/>
      <c r="M485" s="6"/>
      <c r="N485" s="7"/>
    </row>
    <row x14ac:dyDescent="0.25" r="486" customHeight="1" ht="18.75">
      <c r="A486" s="10" t="s">
        <v>554</v>
      </c>
      <c r="B486" s="11">
        <v>44</v>
      </c>
      <c r="C486" s="3"/>
      <c r="D486" s="3"/>
      <c r="E486" s="5"/>
      <c r="F486" s="3"/>
      <c r="G486" s="3"/>
      <c r="H486" s="5"/>
      <c r="I486" s="5"/>
      <c r="J486" s="5"/>
      <c r="K486" s="5"/>
      <c r="L486" s="6"/>
      <c r="M486" s="6"/>
      <c r="N486" s="7"/>
    </row>
    <row x14ac:dyDescent="0.25" r="487" customHeight="1" ht="18.75">
      <c r="A487" s="10" t="s">
        <v>555</v>
      </c>
      <c r="B487" s="11">
        <v>44</v>
      </c>
      <c r="C487" s="3"/>
      <c r="D487" s="3"/>
      <c r="E487" s="5"/>
      <c r="F487" s="3"/>
      <c r="G487" s="3"/>
      <c r="H487" s="5"/>
      <c r="I487" s="5"/>
      <c r="J487" s="5"/>
      <c r="K487" s="5"/>
      <c r="L487" s="6"/>
      <c r="M487" s="6"/>
      <c r="N487" s="7"/>
    </row>
    <row x14ac:dyDescent="0.25" r="488" customHeight="1" ht="18.75">
      <c r="A488" s="10" t="s">
        <v>556</v>
      </c>
      <c r="B488" s="11">
        <v>44</v>
      </c>
      <c r="C488" s="3"/>
      <c r="D488" s="3"/>
      <c r="E488" s="5"/>
      <c r="F488" s="3"/>
      <c r="G488" s="3"/>
      <c r="H488" s="5"/>
      <c r="I488" s="5"/>
      <c r="J488" s="5"/>
      <c r="K488" s="5"/>
      <c r="L488" s="6"/>
      <c r="M488" s="6"/>
      <c r="N488" s="7"/>
    </row>
    <row x14ac:dyDescent="0.25" r="489" customHeight="1" ht="18.75">
      <c r="A489" s="10" t="s">
        <v>557</v>
      </c>
      <c r="B489" s="11">
        <v>44</v>
      </c>
      <c r="C489" s="3"/>
      <c r="D489" s="3"/>
      <c r="E489" s="5"/>
      <c r="F489" s="3"/>
      <c r="G489" s="3"/>
      <c r="H489" s="5"/>
      <c r="I489" s="5"/>
      <c r="J489" s="5"/>
      <c r="K489" s="5"/>
      <c r="L489" s="6"/>
      <c r="M489" s="6"/>
      <c r="N489" s="7"/>
    </row>
    <row x14ac:dyDescent="0.25" r="490" customHeight="1" ht="18.75">
      <c r="A490" s="10" t="s">
        <v>13</v>
      </c>
      <c r="B490" s="19">
        <v>44.382</v>
      </c>
      <c r="C490" s="3"/>
      <c r="D490" s="3"/>
      <c r="E490" s="5"/>
      <c r="F490" s="3"/>
      <c r="G490" s="3"/>
      <c r="H490" s="5"/>
      <c r="I490" s="5"/>
      <c r="J490" s="5"/>
      <c r="K490" s="5"/>
      <c r="L490" s="6"/>
      <c r="M490" s="6"/>
      <c r="N490" s="7"/>
    </row>
    <row x14ac:dyDescent="0.25" r="491" customHeight="1" ht="18.75">
      <c r="A491" s="10" t="s">
        <v>558</v>
      </c>
      <c r="B491" s="11">
        <v>45</v>
      </c>
      <c r="C491" s="3"/>
      <c r="D491" s="3"/>
      <c r="E491" s="5"/>
      <c r="F491" s="3"/>
      <c r="G491" s="3"/>
      <c r="H491" s="5"/>
      <c r="I491" s="5"/>
      <c r="J491" s="5"/>
      <c r="K491" s="5"/>
      <c r="L491" s="6"/>
      <c r="M491" s="6"/>
      <c r="N491" s="7"/>
    </row>
    <row x14ac:dyDescent="0.25" r="492" customHeight="1" ht="18.75">
      <c r="A492" s="10" t="s">
        <v>559</v>
      </c>
      <c r="B492" s="11">
        <v>45</v>
      </c>
      <c r="C492" s="3"/>
      <c r="D492" s="3"/>
      <c r="E492" s="5"/>
      <c r="F492" s="3"/>
      <c r="G492" s="3"/>
      <c r="H492" s="5"/>
      <c r="I492" s="5"/>
      <c r="J492" s="5"/>
      <c r="K492" s="5"/>
      <c r="L492" s="6"/>
      <c r="M492" s="6"/>
      <c r="N492" s="7"/>
    </row>
    <row x14ac:dyDescent="0.25" r="493" customHeight="1" ht="18.75">
      <c r="A493" s="10" t="s">
        <v>560</v>
      </c>
      <c r="B493" s="11">
        <v>45</v>
      </c>
      <c r="C493" s="3"/>
      <c r="D493" s="3"/>
      <c r="E493" s="5"/>
      <c r="F493" s="3"/>
      <c r="G493" s="3"/>
      <c r="H493" s="5"/>
      <c r="I493" s="5"/>
      <c r="J493" s="5"/>
      <c r="K493" s="5"/>
      <c r="L493" s="6"/>
      <c r="M493" s="6"/>
      <c r="N493" s="7"/>
    </row>
    <row x14ac:dyDescent="0.25" r="494" customHeight="1" ht="18.75">
      <c r="A494" s="10" t="s">
        <v>561</v>
      </c>
      <c r="B494" s="11">
        <v>45</v>
      </c>
      <c r="C494" s="3"/>
      <c r="D494" s="3"/>
      <c r="E494" s="5"/>
      <c r="F494" s="3"/>
      <c r="G494" s="3"/>
      <c r="H494" s="5"/>
      <c r="I494" s="5"/>
      <c r="J494" s="5"/>
      <c r="K494" s="5"/>
      <c r="L494" s="6"/>
      <c r="M494" s="6"/>
      <c r="N494" s="7"/>
    </row>
    <row x14ac:dyDescent="0.25" r="495" customHeight="1" ht="18.75">
      <c r="A495" s="10" t="s">
        <v>562</v>
      </c>
      <c r="B495" s="11">
        <v>45</v>
      </c>
      <c r="C495" s="3"/>
      <c r="D495" s="3"/>
      <c r="E495" s="5"/>
      <c r="F495" s="3"/>
      <c r="G495" s="3"/>
      <c r="H495" s="5"/>
      <c r="I495" s="5"/>
      <c r="J495" s="5"/>
      <c r="K495" s="5"/>
      <c r="L495" s="6"/>
      <c r="M495" s="6"/>
      <c r="N495" s="7"/>
    </row>
    <row x14ac:dyDescent="0.25" r="496" customHeight="1" ht="18.75">
      <c r="A496" s="10" t="s">
        <v>563</v>
      </c>
      <c r="B496" s="11">
        <v>45</v>
      </c>
      <c r="C496" s="3"/>
      <c r="D496" s="3"/>
      <c r="E496" s="5"/>
      <c r="F496" s="3"/>
      <c r="G496" s="3"/>
      <c r="H496" s="5"/>
      <c r="I496" s="5"/>
      <c r="J496" s="5"/>
      <c r="K496" s="5"/>
      <c r="L496" s="6"/>
      <c r="M496" s="6"/>
      <c r="N496" s="7"/>
    </row>
    <row x14ac:dyDescent="0.25" r="497" customHeight="1" ht="18.75">
      <c r="A497" s="10" t="s">
        <v>564</v>
      </c>
      <c r="B497" s="11">
        <v>45</v>
      </c>
      <c r="C497" s="3"/>
      <c r="D497" s="3"/>
      <c r="E497" s="5"/>
      <c r="F497" s="3"/>
      <c r="G497" s="3"/>
      <c r="H497" s="5"/>
      <c r="I497" s="5"/>
      <c r="J497" s="5"/>
      <c r="K497" s="5"/>
      <c r="L497" s="6"/>
      <c r="M497" s="6"/>
      <c r="N497" s="7"/>
    </row>
    <row x14ac:dyDescent="0.25" r="498" customHeight="1" ht="18.75">
      <c r="A498" s="10" t="s">
        <v>565</v>
      </c>
      <c r="B498" s="11">
        <v>45</v>
      </c>
      <c r="C498" s="3"/>
      <c r="D498" s="3"/>
      <c r="E498" s="5"/>
      <c r="F498" s="3"/>
      <c r="G498" s="3"/>
      <c r="H498" s="5"/>
      <c r="I498" s="5"/>
      <c r="J498" s="5"/>
      <c r="K498" s="5"/>
      <c r="L498" s="6"/>
      <c r="M498" s="6"/>
      <c r="N498" s="7"/>
    </row>
    <row x14ac:dyDescent="0.25" r="499" customHeight="1" ht="18.75">
      <c r="A499" s="10" t="s">
        <v>566</v>
      </c>
      <c r="B499" s="11">
        <v>45</v>
      </c>
      <c r="C499" s="3"/>
      <c r="D499" s="3"/>
      <c r="E499" s="5"/>
      <c r="F499" s="3"/>
      <c r="G499" s="3"/>
      <c r="H499" s="5"/>
      <c r="I499" s="5"/>
      <c r="J499" s="5"/>
      <c r="K499" s="5"/>
      <c r="L499" s="6"/>
      <c r="M499" s="6"/>
      <c r="N499" s="7"/>
    </row>
    <row x14ac:dyDescent="0.25" r="500" customHeight="1" ht="18.75">
      <c r="A500" s="10" t="s">
        <v>567</v>
      </c>
      <c r="B500" s="11">
        <v>45</v>
      </c>
      <c r="C500" s="3"/>
      <c r="D500" s="3"/>
      <c r="E500" s="5"/>
      <c r="F500" s="3"/>
      <c r="G500" s="3"/>
      <c r="H500" s="5"/>
      <c r="I500" s="5"/>
      <c r="J500" s="5"/>
      <c r="K500" s="5"/>
      <c r="L500" s="6"/>
      <c r="M500" s="6"/>
      <c r="N500" s="7"/>
    </row>
    <row x14ac:dyDescent="0.25" r="501" customHeight="1" ht="18.75">
      <c r="A501" s="10" t="s">
        <v>568</v>
      </c>
      <c r="B501" s="11">
        <v>45</v>
      </c>
      <c r="C501" s="3"/>
      <c r="D501" s="3"/>
      <c r="E501" s="5"/>
      <c r="F501" s="3"/>
      <c r="G501" s="3"/>
      <c r="H501" s="5"/>
      <c r="I501" s="5"/>
      <c r="J501" s="5"/>
      <c r="K501" s="5"/>
      <c r="L501" s="6"/>
      <c r="M501" s="6"/>
      <c r="N501" s="7"/>
    </row>
    <row x14ac:dyDescent="0.25" r="502" customHeight="1" ht="18.75">
      <c r="A502" s="10" t="s">
        <v>569</v>
      </c>
      <c r="B502" s="11">
        <v>45</v>
      </c>
      <c r="C502" s="3"/>
      <c r="D502" s="3"/>
      <c r="E502" s="5"/>
      <c r="F502" s="3"/>
      <c r="G502" s="3"/>
      <c r="H502" s="5"/>
      <c r="I502" s="5"/>
      <c r="J502" s="5"/>
      <c r="K502" s="5"/>
      <c r="L502" s="6"/>
      <c r="M502" s="6"/>
      <c r="N502" s="7"/>
    </row>
    <row x14ac:dyDescent="0.25" r="503" customHeight="1" ht="18.75">
      <c r="A503" s="10" t="s">
        <v>570</v>
      </c>
      <c r="B503" s="11">
        <v>45</v>
      </c>
      <c r="C503" s="3"/>
      <c r="D503" s="3"/>
      <c r="E503" s="5"/>
      <c r="F503" s="3"/>
      <c r="G503" s="3"/>
      <c r="H503" s="5"/>
      <c r="I503" s="5"/>
      <c r="J503" s="5"/>
      <c r="K503" s="5"/>
      <c r="L503" s="6"/>
      <c r="M503" s="6"/>
      <c r="N503" s="7"/>
    </row>
    <row x14ac:dyDescent="0.25" r="504" customHeight="1" ht="18.75">
      <c r="A504" s="10" t="s">
        <v>571</v>
      </c>
      <c r="B504" s="11">
        <v>45</v>
      </c>
      <c r="C504" s="3"/>
      <c r="D504" s="3"/>
      <c r="E504" s="5"/>
      <c r="F504" s="3"/>
      <c r="G504" s="3"/>
      <c r="H504" s="5"/>
      <c r="I504" s="5"/>
      <c r="J504" s="5"/>
      <c r="K504" s="5"/>
      <c r="L504" s="6"/>
      <c r="M504" s="6"/>
      <c r="N504" s="7"/>
    </row>
    <row x14ac:dyDescent="0.25" r="505" customHeight="1" ht="18.75">
      <c r="A505" s="10" t="s">
        <v>572</v>
      </c>
      <c r="B505" s="11">
        <v>45</v>
      </c>
      <c r="C505" s="3"/>
      <c r="D505" s="3"/>
      <c r="E505" s="5"/>
      <c r="F505" s="3"/>
      <c r="G505" s="3"/>
      <c r="H505" s="5"/>
      <c r="I505" s="5"/>
      <c r="J505" s="5"/>
      <c r="K505" s="5"/>
      <c r="L505" s="6"/>
      <c r="M505" s="6"/>
      <c r="N505" s="7"/>
    </row>
    <row x14ac:dyDescent="0.25" r="506" customHeight="1" ht="18.75">
      <c r="A506" s="10" t="s">
        <v>573</v>
      </c>
      <c r="B506" s="11">
        <v>45</v>
      </c>
      <c r="C506" s="3"/>
      <c r="D506" s="3"/>
      <c r="E506" s="5"/>
      <c r="F506" s="3"/>
      <c r="G506" s="3"/>
      <c r="H506" s="5"/>
      <c r="I506" s="5"/>
      <c r="J506" s="5"/>
      <c r="K506" s="5"/>
      <c r="L506" s="6"/>
      <c r="M506" s="6"/>
      <c r="N506" s="7"/>
    </row>
    <row x14ac:dyDescent="0.25" r="507" customHeight="1" ht="18.75">
      <c r="A507" s="10" t="s">
        <v>574</v>
      </c>
      <c r="B507" s="11">
        <v>45</v>
      </c>
      <c r="C507" s="3"/>
      <c r="D507" s="3"/>
      <c r="E507" s="5"/>
      <c r="F507" s="3"/>
      <c r="G507" s="3"/>
      <c r="H507" s="5"/>
      <c r="I507" s="5"/>
      <c r="J507" s="5"/>
      <c r="K507" s="5"/>
      <c r="L507" s="6"/>
      <c r="M507" s="6"/>
      <c r="N507" s="7"/>
    </row>
    <row x14ac:dyDescent="0.25" r="508" customHeight="1" ht="18.75">
      <c r="A508" s="10" t="s">
        <v>575</v>
      </c>
      <c r="B508" s="11">
        <v>45</v>
      </c>
      <c r="C508" s="3"/>
      <c r="D508" s="3"/>
      <c r="E508" s="5"/>
      <c r="F508" s="3"/>
      <c r="G508" s="3"/>
      <c r="H508" s="5"/>
      <c r="I508" s="5"/>
      <c r="J508" s="5"/>
      <c r="K508" s="5"/>
      <c r="L508" s="6"/>
      <c r="M508" s="6"/>
      <c r="N508" s="7"/>
    </row>
    <row x14ac:dyDescent="0.25" r="509" customHeight="1" ht="18.75">
      <c r="A509" s="10" t="s">
        <v>576</v>
      </c>
      <c r="B509" s="11">
        <v>45</v>
      </c>
      <c r="C509" s="3"/>
      <c r="D509" s="3"/>
      <c r="E509" s="5"/>
      <c r="F509" s="3"/>
      <c r="G509" s="3"/>
      <c r="H509" s="5"/>
      <c r="I509" s="5"/>
      <c r="J509" s="5"/>
      <c r="K509" s="5"/>
      <c r="L509" s="6"/>
      <c r="M509" s="6"/>
      <c r="N509" s="7"/>
    </row>
    <row x14ac:dyDescent="0.25" r="510" customHeight="1" ht="18.75">
      <c r="A510" s="10" t="s">
        <v>577</v>
      </c>
      <c r="B510" s="11">
        <v>45</v>
      </c>
      <c r="C510" s="3"/>
      <c r="D510" s="3"/>
      <c r="E510" s="5"/>
      <c r="F510" s="3"/>
      <c r="G510" s="3"/>
      <c r="H510" s="5"/>
      <c r="I510" s="5"/>
      <c r="J510" s="5"/>
      <c r="K510" s="5"/>
      <c r="L510" s="6"/>
      <c r="M510" s="6"/>
      <c r="N510" s="7"/>
    </row>
    <row x14ac:dyDescent="0.25" r="511" customHeight="1" ht="18.75">
      <c r="A511" s="10" t="s">
        <v>578</v>
      </c>
      <c r="B511" s="11">
        <v>45</v>
      </c>
      <c r="C511" s="3"/>
      <c r="D511" s="3"/>
      <c r="E511" s="5"/>
      <c r="F511" s="3"/>
      <c r="G511" s="3"/>
      <c r="H511" s="5"/>
      <c r="I511" s="5"/>
      <c r="J511" s="5"/>
      <c r="K511" s="5"/>
      <c r="L511" s="6"/>
      <c r="M511" s="6"/>
      <c r="N511" s="7"/>
    </row>
    <row x14ac:dyDescent="0.25" r="512" customHeight="1" ht="18.75">
      <c r="A512" s="10" t="s">
        <v>579</v>
      </c>
      <c r="B512" s="11">
        <v>45</v>
      </c>
      <c r="C512" s="3"/>
      <c r="D512" s="3"/>
      <c r="E512" s="5"/>
      <c r="F512" s="3"/>
      <c r="G512" s="3"/>
      <c r="H512" s="5"/>
      <c r="I512" s="5"/>
      <c r="J512" s="5"/>
      <c r="K512" s="5"/>
      <c r="L512" s="6"/>
      <c r="M512" s="6"/>
      <c r="N512" s="7"/>
    </row>
    <row x14ac:dyDescent="0.25" r="513" customHeight="1" ht="18.75">
      <c r="A513" s="10" t="s">
        <v>580</v>
      </c>
      <c r="B513" s="11">
        <v>45</v>
      </c>
      <c r="C513" s="3"/>
      <c r="D513" s="3"/>
      <c r="E513" s="5"/>
      <c r="F513" s="3"/>
      <c r="G513" s="3"/>
      <c r="H513" s="5"/>
      <c r="I513" s="5"/>
      <c r="J513" s="5"/>
      <c r="K513" s="5"/>
      <c r="L513" s="6"/>
      <c r="M513" s="6"/>
      <c r="N513" s="7"/>
    </row>
    <row x14ac:dyDescent="0.25" r="514" customHeight="1" ht="18.75">
      <c r="A514" s="10" t="s">
        <v>581</v>
      </c>
      <c r="B514" s="11">
        <v>45</v>
      </c>
      <c r="C514" s="3"/>
      <c r="D514" s="3"/>
      <c r="E514" s="5"/>
      <c r="F514" s="3"/>
      <c r="G514" s="3"/>
      <c r="H514" s="5"/>
      <c r="I514" s="5"/>
      <c r="J514" s="5"/>
      <c r="K514" s="5"/>
      <c r="L514" s="6"/>
      <c r="M514" s="6"/>
      <c r="N514" s="7"/>
    </row>
    <row x14ac:dyDescent="0.25" r="515" customHeight="1" ht="18.75">
      <c r="A515" s="10" t="s">
        <v>582</v>
      </c>
      <c r="B515" s="11">
        <v>45</v>
      </c>
      <c r="C515" s="3"/>
      <c r="D515" s="3"/>
      <c r="E515" s="5"/>
      <c r="F515" s="3"/>
      <c r="G515" s="3"/>
      <c r="H515" s="5"/>
      <c r="I515" s="5"/>
      <c r="J515" s="5"/>
      <c r="K515" s="5"/>
      <c r="L515" s="6"/>
      <c r="M515" s="6"/>
      <c r="N515" s="7"/>
    </row>
    <row x14ac:dyDescent="0.25" r="516" customHeight="1" ht="18.75">
      <c r="A516" s="10" t="s">
        <v>583</v>
      </c>
      <c r="B516" s="11">
        <v>45</v>
      </c>
      <c r="C516" s="3"/>
      <c r="D516" s="3"/>
      <c r="E516" s="5"/>
      <c r="F516" s="3"/>
      <c r="G516" s="3"/>
      <c r="H516" s="5"/>
      <c r="I516" s="5"/>
      <c r="J516" s="5"/>
      <c r="K516" s="5"/>
      <c r="L516" s="6"/>
      <c r="M516" s="6"/>
      <c r="N516" s="7"/>
    </row>
    <row x14ac:dyDescent="0.25" r="517" customHeight="1" ht="18.75">
      <c r="A517" s="10" t="s">
        <v>584</v>
      </c>
      <c r="B517" s="11">
        <v>45</v>
      </c>
      <c r="C517" s="3"/>
      <c r="D517" s="3"/>
      <c r="E517" s="5"/>
      <c r="F517" s="3"/>
      <c r="G517" s="3"/>
      <c r="H517" s="5"/>
      <c r="I517" s="5"/>
      <c r="J517" s="5"/>
      <c r="K517" s="5"/>
      <c r="L517" s="6"/>
      <c r="M517" s="6"/>
      <c r="N517" s="7"/>
    </row>
    <row x14ac:dyDescent="0.25" r="518" customHeight="1" ht="18.75">
      <c r="A518" s="10" t="s">
        <v>585</v>
      </c>
      <c r="B518" s="11">
        <v>45</v>
      </c>
      <c r="C518" s="3"/>
      <c r="D518" s="3"/>
      <c r="E518" s="5"/>
      <c r="F518" s="3"/>
      <c r="G518" s="3"/>
      <c r="H518" s="5"/>
      <c r="I518" s="5"/>
      <c r="J518" s="5"/>
      <c r="K518" s="5"/>
      <c r="L518" s="6"/>
      <c r="M518" s="6"/>
      <c r="N518" s="7"/>
    </row>
    <row x14ac:dyDescent="0.25" r="519" customHeight="1" ht="18.75">
      <c r="A519" s="10" t="s">
        <v>586</v>
      </c>
      <c r="B519" s="11">
        <v>45</v>
      </c>
      <c r="C519" s="3"/>
      <c r="D519" s="3"/>
      <c r="E519" s="5"/>
      <c r="F519" s="3"/>
      <c r="G519" s="3"/>
      <c r="H519" s="5"/>
      <c r="I519" s="5"/>
      <c r="J519" s="5"/>
      <c r="K519" s="5"/>
      <c r="L519" s="6"/>
      <c r="M519" s="6"/>
      <c r="N519" s="7"/>
    </row>
    <row x14ac:dyDescent="0.25" r="520" customHeight="1" ht="18.75">
      <c r="A520" s="10" t="s">
        <v>587</v>
      </c>
      <c r="B520" s="11">
        <v>45</v>
      </c>
      <c r="C520" s="3"/>
      <c r="D520" s="3"/>
      <c r="E520" s="5"/>
      <c r="F520" s="3"/>
      <c r="G520" s="3"/>
      <c r="H520" s="5"/>
      <c r="I520" s="5"/>
      <c r="J520" s="5"/>
      <c r="K520" s="5"/>
      <c r="L520" s="6"/>
      <c r="M520" s="6"/>
      <c r="N520" s="7"/>
    </row>
    <row x14ac:dyDescent="0.25" r="521" customHeight="1" ht="18.75">
      <c r="A521" s="10" t="s">
        <v>588</v>
      </c>
      <c r="B521" s="11">
        <v>45</v>
      </c>
      <c r="C521" s="3"/>
      <c r="D521" s="3"/>
      <c r="E521" s="5"/>
      <c r="F521" s="3"/>
      <c r="G521" s="3"/>
      <c r="H521" s="5"/>
      <c r="I521" s="5"/>
      <c r="J521" s="5"/>
      <c r="K521" s="5"/>
      <c r="L521" s="6"/>
      <c r="M521" s="6"/>
      <c r="N521" s="7"/>
    </row>
    <row x14ac:dyDescent="0.25" r="522" customHeight="1" ht="18.75">
      <c r="A522" s="10" t="s">
        <v>589</v>
      </c>
      <c r="B522" s="11">
        <v>45</v>
      </c>
      <c r="C522" s="3"/>
      <c r="D522" s="3"/>
      <c r="E522" s="5"/>
      <c r="F522" s="3"/>
      <c r="G522" s="3"/>
      <c r="H522" s="5"/>
      <c r="I522" s="5"/>
      <c r="J522" s="5"/>
      <c r="K522" s="5"/>
      <c r="L522" s="6"/>
      <c r="M522" s="6"/>
      <c r="N522" s="7"/>
    </row>
    <row x14ac:dyDescent="0.25" r="523" customHeight="1" ht="18.75">
      <c r="A523" s="10" t="s">
        <v>590</v>
      </c>
      <c r="B523" s="11">
        <v>45</v>
      </c>
      <c r="C523" s="3"/>
      <c r="D523" s="3"/>
      <c r="E523" s="5"/>
      <c r="F523" s="3"/>
      <c r="G523" s="3"/>
      <c r="H523" s="5"/>
      <c r="I523" s="5"/>
      <c r="J523" s="5"/>
      <c r="K523" s="5"/>
      <c r="L523" s="6"/>
      <c r="M523" s="6"/>
      <c r="N523" s="7"/>
    </row>
    <row x14ac:dyDescent="0.25" r="524" customHeight="1" ht="18.75">
      <c r="A524" s="10" t="s">
        <v>591</v>
      </c>
      <c r="B524" s="11">
        <v>45</v>
      </c>
      <c r="C524" s="3"/>
      <c r="D524" s="3"/>
      <c r="E524" s="5"/>
      <c r="F524" s="3"/>
      <c r="G524" s="3"/>
      <c r="H524" s="5"/>
      <c r="I524" s="5"/>
      <c r="J524" s="5"/>
      <c r="K524" s="5"/>
      <c r="L524" s="6"/>
      <c r="M524" s="6"/>
      <c r="N524" s="7"/>
    </row>
    <row x14ac:dyDescent="0.25" r="525" customHeight="1" ht="18.75">
      <c r="A525" s="10" t="s">
        <v>592</v>
      </c>
      <c r="B525" s="11">
        <v>45</v>
      </c>
      <c r="C525" s="3"/>
      <c r="D525" s="3"/>
      <c r="E525" s="5"/>
      <c r="F525" s="3"/>
      <c r="G525" s="3"/>
      <c r="H525" s="5"/>
      <c r="I525" s="5"/>
      <c r="J525" s="5"/>
      <c r="K525" s="5"/>
      <c r="L525" s="6"/>
      <c r="M525" s="6"/>
      <c r="N525" s="7"/>
    </row>
    <row x14ac:dyDescent="0.25" r="526" customHeight="1" ht="18.75">
      <c r="A526" s="10" t="s">
        <v>593</v>
      </c>
      <c r="B526" s="11">
        <v>45</v>
      </c>
      <c r="C526" s="3"/>
      <c r="D526" s="3"/>
      <c r="E526" s="5"/>
      <c r="F526" s="3"/>
      <c r="G526" s="3"/>
      <c r="H526" s="5"/>
      <c r="I526" s="5"/>
      <c r="J526" s="5"/>
      <c r="K526" s="5"/>
      <c r="L526" s="6"/>
      <c r="M526" s="6"/>
      <c r="N526" s="7"/>
    </row>
    <row x14ac:dyDescent="0.25" r="527" customHeight="1" ht="18.75">
      <c r="A527" s="10" t="s">
        <v>594</v>
      </c>
      <c r="B527" s="11">
        <v>45</v>
      </c>
      <c r="C527" s="3"/>
      <c r="D527" s="3"/>
      <c r="E527" s="5"/>
      <c r="F527" s="3"/>
      <c r="G527" s="3"/>
      <c r="H527" s="5"/>
      <c r="I527" s="5"/>
      <c r="J527" s="5"/>
      <c r="K527" s="5"/>
      <c r="L527" s="6"/>
      <c r="M527" s="6"/>
      <c r="N527" s="7"/>
    </row>
    <row x14ac:dyDescent="0.25" r="528" customHeight="1" ht="18.75">
      <c r="A528" s="10" t="s">
        <v>595</v>
      </c>
      <c r="B528" s="11">
        <v>45</v>
      </c>
      <c r="C528" s="3"/>
      <c r="D528" s="3"/>
      <c r="E528" s="5"/>
      <c r="F528" s="3"/>
      <c r="G528" s="3"/>
      <c r="H528" s="5"/>
      <c r="I528" s="5"/>
      <c r="J528" s="5"/>
      <c r="K528" s="5"/>
      <c r="L528" s="6"/>
      <c r="M528" s="6"/>
      <c r="N528" s="7"/>
    </row>
    <row x14ac:dyDescent="0.25" r="529" customHeight="1" ht="18.75">
      <c r="A529" s="10" t="s">
        <v>596</v>
      </c>
      <c r="B529" s="11">
        <v>45</v>
      </c>
      <c r="C529" s="3"/>
      <c r="D529" s="3"/>
      <c r="E529" s="5"/>
      <c r="F529" s="3"/>
      <c r="G529" s="3"/>
      <c r="H529" s="5"/>
      <c r="I529" s="5"/>
      <c r="J529" s="5"/>
      <c r="K529" s="5"/>
      <c r="L529" s="6"/>
      <c r="M529" s="6"/>
      <c r="N529" s="7"/>
    </row>
    <row x14ac:dyDescent="0.25" r="530" customHeight="1" ht="18.75">
      <c r="A530" s="10" t="s">
        <v>597</v>
      </c>
      <c r="B530" s="11">
        <v>45</v>
      </c>
      <c r="C530" s="3"/>
      <c r="D530" s="3"/>
      <c r="E530" s="5"/>
      <c r="F530" s="3"/>
      <c r="G530" s="3"/>
      <c r="H530" s="5"/>
      <c r="I530" s="5"/>
      <c r="J530" s="5"/>
      <c r="K530" s="5"/>
      <c r="L530" s="6"/>
      <c r="M530" s="6"/>
      <c r="N530" s="7"/>
    </row>
    <row x14ac:dyDescent="0.25" r="531" customHeight="1" ht="18.75">
      <c r="A531" s="10" t="s">
        <v>598</v>
      </c>
      <c r="B531" s="11">
        <v>45</v>
      </c>
      <c r="C531" s="3"/>
      <c r="D531" s="3"/>
      <c r="E531" s="5"/>
      <c r="F531" s="3"/>
      <c r="G531" s="3"/>
      <c r="H531" s="5"/>
      <c r="I531" s="5"/>
      <c r="J531" s="5"/>
      <c r="K531" s="5"/>
      <c r="L531" s="6"/>
      <c r="M531" s="6"/>
      <c r="N531" s="7"/>
    </row>
    <row x14ac:dyDescent="0.25" r="532" customHeight="1" ht="18.75">
      <c r="A532" s="10" t="s">
        <v>599</v>
      </c>
      <c r="B532" s="11">
        <v>45</v>
      </c>
      <c r="C532" s="3"/>
      <c r="D532" s="3"/>
      <c r="E532" s="5"/>
      <c r="F532" s="3"/>
      <c r="G532" s="3"/>
      <c r="H532" s="5"/>
      <c r="I532" s="5"/>
      <c r="J532" s="5"/>
      <c r="K532" s="5"/>
      <c r="L532" s="6"/>
      <c r="M532" s="6"/>
      <c r="N532" s="7"/>
    </row>
    <row x14ac:dyDescent="0.25" r="533" customHeight="1" ht="18.75">
      <c r="A533" s="10" t="s">
        <v>600</v>
      </c>
      <c r="B533" s="11">
        <v>45</v>
      </c>
      <c r="C533" s="3"/>
      <c r="D533" s="3"/>
      <c r="E533" s="5"/>
      <c r="F533" s="3"/>
      <c r="G533" s="3"/>
      <c r="H533" s="5"/>
      <c r="I533" s="5"/>
      <c r="J533" s="5"/>
      <c r="K533" s="5"/>
      <c r="L533" s="6"/>
      <c r="M533" s="6"/>
      <c r="N533" s="7"/>
    </row>
    <row x14ac:dyDescent="0.25" r="534" customHeight="1" ht="18.75">
      <c r="A534" s="10" t="s">
        <v>601</v>
      </c>
      <c r="B534" s="11">
        <v>45</v>
      </c>
      <c r="C534" s="3"/>
      <c r="D534" s="3"/>
      <c r="E534" s="5"/>
      <c r="F534" s="3"/>
      <c r="G534" s="3"/>
      <c r="H534" s="5"/>
      <c r="I534" s="5"/>
      <c r="J534" s="5"/>
      <c r="K534" s="5"/>
      <c r="L534" s="6"/>
      <c r="M534" s="6"/>
      <c r="N534" s="7"/>
    </row>
    <row x14ac:dyDescent="0.25" r="535" customHeight="1" ht="18.75">
      <c r="A535" s="10" t="s">
        <v>602</v>
      </c>
      <c r="B535" s="11">
        <v>45</v>
      </c>
      <c r="C535" s="3"/>
      <c r="D535" s="3"/>
      <c r="E535" s="5"/>
      <c r="F535" s="3"/>
      <c r="G535" s="3"/>
      <c r="H535" s="5"/>
      <c r="I535" s="5"/>
      <c r="J535" s="5"/>
      <c r="K535" s="5"/>
      <c r="L535" s="6"/>
      <c r="M535" s="6"/>
      <c r="N535" s="7"/>
    </row>
    <row x14ac:dyDescent="0.25" r="536" customHeight="1" ht="18.75">
      <c r="A536" s="10" t="s">
        <v>603</v>
      </c>
      <c r="B536" s="11">
        <v>45</v>
      </c>
      <c r="C536" s="3"/>
      <c r="D536" s="3"/>
      <c r="E536" s="5"/>
      <c r="F536" s="3"/>
      <c r="G536" s="3"/>
      <c r="H536" s="5"/>
      <c r="I536" s="5"/>
      <c r="J536" s="5"/>
      <c r="K536" s="5"/>
      <c r="L536" s="6"/>
      <c r="M536" s="6"/>
      <c r="N536" s="7"/>
    </row>
    <row x14ac:dyDescent="0.25" r="537" customHeight="1" ht="18.75">
      <c r="A537" s="10" t="s">
        <v>604</v>
      </c>
      <c r="B537" s="11">
        <v>45</v>
      </c>
      <c r="C537" s="3"/>
      <c r="D537" s="3"/>
      <c r="E537" s="5"/>
      <c r="F537" s="3"/>
      <c r="G537" s="3"/>
      <c r="H537" s="5"/>
      <c r="I537" s="5"/>
      <c r="J537" s="5"/>
      <c r="K537" s="5"/>
      <c r="L537" s="6"/>
      <c r="M537" s="6"/>
      <c r="N537" s="7"/>
    </row>
    <row x14ac:dyDescent="0.25" r="538" customHeight="1" ht="18.75">
      <c r="A538" s="10" t="s">
        <v>605</v>
      </c>
      <c r="B538" s="11">
        <v>45</v>
      </c>
      <c r="C538" s="3"/>
      <c r="D538" s="3"/>
      <c r="E538" s="5"/>
      <c r="F538" s="3"/>
      <c r="G538" s="3"/>
      <c r="H538" s="5"/>
      <c r="I538" s="5"/>
      <c r="J538" s="5"/>
      <c r="K538" s="5"/>
      <c r="L538" s="6"/>
      <c r="M538" s="6"/>
      <c r="N538" s="7"/>
    </row>
    <row x14ac:dyDescent="0.25" r="539" customHeight="1" ht="18.75">
      <c r="A539" s="10" t="s">
        <v>606</v>
      </c>
      <c r="B539" s="11">
        <v>45</v>
      </c>
      <c r="C539" s="3"/>
      <c r="D539" s="3"/>
      <c r="E539" s="5"/>
      <c r="F539" s="3"/>
      <c r="G539" s="3"/>
      <c r="H539" s="5"/>
      <c r="I539" s="5"/>
      <c r="J539" s="5"/>
      <c r="K539" s="5"/>
      <c r="L539" s="6"/>
      <c r="M539" s="6"/>
      <c r="N539" s="7"/>
    </row>
    <row x14ac:dyDescent="0.25" r="540" customHeight="1" ht="18.75">
      <c r="A540" s="10" t="s">
        <v>607</v>
      </c>
      <c r="B540" s="11">
        <v>45</v>
      </c>
      <c r="C540" s="3"/>
      <c r="D540" s="3"/>
      <c r="E540" s="5"/>
      <c r="F540" s="3"/>
      <c r="G540" s="3"/>
      <c r="H540" s="5"/>
      <c r="I540" s="5"/>
      <c r="J540" s="5"/>
      <c r="K540" s="5"/>
      <c r="L540" s="6"/>
      <c r="M540" s="6"/>
      <c r="N540" s="7"/>
    </row>
    <row x14ac:dyDescent="0.25" r="541" customHeight="1" ht="18.75">
      <c r="A541" s="10" t="s">
        <v>608</v>
      </c>
      <c r="B541" s="11">
        <v>45</v>
      </c>
      <c r="C541" s="3"/>
      <c r="D541" s="3"/>
      <c r="E541" s="5"/>
      <c r="F541" s="3"/>
      <c r="G541" s="3"/>
      <c r="H541" s="5"/>
      <c r="I541" s="5"/>
      <c r="J541" s="5"/>
      <c r="K541" s="5"/>
      <c r="L541" s="6"/>
      <c r="M541" s="6"/>
      <c r="N541" s="7"/>
    </row>
    <row x14ac:dyDescent="0.25" r="542" customHeight="1" ht="18.75">
      <c r="A542" s="10" t="s">
        <v>609</v>
      </c>
      <c r="B542" s="11">
        <v>45</v>
      </c>
      <c r="C542" s="3"/>
      <c r="D542" s="3"/>
      <c r="E542" s="5"/>
      <c r="F542" s="3"/>
      <c r="G542" s="3"/>
      <c r="H542" s="5"/>
      <c r="I542" s="5"/>
      <c r="J542" s="5"/>
      <c r="K542" s="5"/>
      <c r="L542" s="6"/>
      <c r="M542" s="6"/>
      <c r="N542" s="7"/>
    </row>
    <row x14ac:dyDescent="0.25" r="543" customHeight="1" ht="18.75">
      <c r="A543" s="10" t="s">
        <v>610</v>
      </c>
      <c r="B543" s="11">
        <v>45</v>
      </c>
      <c r="C543" s="3"/>
      <c r="D543" s="3"/>
      <c r="E543" s="5"/>
      <c r="F543" s="3"/>
      <c r="G543" s="3"/>
      <c r="H543" s="5"/>
      <c r="I543" s="5"/>
      <c r="J543" s="5"/>
      <c r="K543" s="5"/>
      <c r="L543" s="6"/>
      <c r="M543" s="6"/>
      <c r="N543" s="7"/>
    </row>
    <row x14ac:dyDescent="0.25" r="544" customHeight="1" ht="18.75">
      <c r="A544" s="10" t="s">
        <v>611</v>
      </c>
      <c r="B544" s="11">
        <v>45</v>
      </c>
      <c r="C544" s="3"/>
      <c r="D544" s="3"/>
      <c r="E544" s="5"/>
      <c r="F544" s="3"/>
      <c r="G544" s="3"/>
      <c r="H544" s="5"/>
      <c r="I544" s="5"/>
      <c r="J544" s="5"/>
      <c r="K544" s="5"/>
      <c r="L544" s="6"/>
      <c r="M544" s="6"/>
      <c r="N544" s="7"/>
    </row>
    <row x14ac:dyDescent="0.25" r="545" customHeight="1" ht="18.75">
      <c r="A545" s="10" t="s">
        <v>612</v>
      </c>
      <c r="B545" s="11">
        <v>45</v>
      </c>
      <c r="C545" s="3"/>
      <c r="D545" s="3"/>
      <c r="E545" s="5"/>
      <c r="F545" s="3"/>
      <c r="G545" s="3"/>
      <c r="H545" s="5"/>
      <c r="I545" s="5"/>
      <c r="J545" s="5"/>
      <c r="K545" s="5"/>
      <c r="L545" s="6"/>
      <c r="M545" s="6"/>
      <c r="N545" s="7"/>
    </row>
    <row x14ac:dyDescent="0.25" r="546" customHeight="1" ht="18.75">
      <c r="A546" s="10" t="s">
        <v>613</v>
      </c>
      <c r="B546" s="11">
        <v>45</v>
      </c>
      <c r="C546" s="3"/>
      <c r="D546" s="3"/>
      <c r="E546" s="5"/>
      <c r="F546" s="3"/>
      <c r="G546" s="3"/>
      <c r="H546" s="5"/>
      <c r="I546" s="5"/>
      <c r="J546" s="5"/>
      <c r="K546" s="5"/>
      <c r="L546" s="6"/>
      <c r="M546" s="6"/>
      <c r="N546" s="7"/>
    </row>
    <row x14ac:dyDescent="0.25" r="547" customHeight="1" ht="18.75">
      <c r="A547" s="10" t="s">
        <v>614</v>
      </c>
      <c r="B547" s="11">
        <v>45</v>
      </c>
      <c r="C547" s="3"/>
      <c r="D547" s="3"/>
      <c r="E547" s="5"/>
      <c r="F547" s="3"/>
      <c r="G547" s="3"/>
      <c r="H547" s="5"/>
      <c r="I547" s="5"/>
      <c r="J547" s="5"/>
      <c r="K547" s="5"/>
      <c r="L547" s="6"/>
      <c r="M547" s="6"/>
      <c r="N547" s="7"/>
    </row>
    <row x14ac:dyDescent="0.25" r="548" customHeight="1" ht="18.75">
      <c r="A548" s="10" t="s">
        <v>615</v>
      </c>
      <c r="B548" s="11">
        <v>45</v>
      </c>
      <c r="C548" s="3"/>
      <c r="D548" s="3"/>
      <c r="E548" s="5"/>
      <c r="F548" s="3"/>
      <c r="G548" s="3"/>
      <c r="H548" s="5"/>
      <c r="I548" s="5"/>
      <c r="J548" s="5"/>
      <c r="K548" s="5"/>
      <c r="L548" s="6"/>
      <c r="M548" s="6"/>
      <c r="N548" s="7"/>
    </row>
    <row x14ac:dyDescent="0.25" r="549" customHeight="1" ht="18.75">
      <c r="A549" s="10" t="s">
        <v>616</v>
      </c>
      <c r="B549" s="11">
        <v>45</v>
      </c>
      <c r="C549" s="3"/>
      <c r="D549" s="3"/>
      <c r="E549" s="5"/>
      <c r="F549" s="3"/>
      <c r="G549" s="3"/>
      <c r="H549" s="5"/>
      <c r="I549" s="5"/>
      <c r="J549" s="5"/>
      <c r="K549" s="5"/>
      <c r="L549" s="6"/>
      <c r="M549" s="6"/>
      <c r="N549" s="7"/>
    </row>
    <row x14ac:dyDescent="0.25" r="550" customHeight="1" ht="18.75">
      <c r="A550" s="10" t="s">
        <v>617</v>
      </c>
      <c r="B550" s="11">
        <v>45</v>
      </c>
      <c r="C550" s="3"/>
      <c r="D550" s="3"/>
      <c r="E550" s="5"/>
      <c r="F550" s="3"/>
      <c r="G550" s="3"/>
      <c r="H550" s="5"/>
      <c r="I550" s="5"/>
      <c r="J550" s="5"/>
      <c r="K550" s="5"/>
      <c r="L550" s="6"/>
      <c r="M550" s="6"/>
      <c r="N550" s="7"/>
    </row>
    <row x14ac:dyDescent="0.25" r="551" customHeight="1" ht="18.75">
      <c r="A551" s="10" t="s">
        <v>618</v>
      </c>
      <c r="B551" s="11">
        <v>45</v>
      </c>
      <c r="C551" s="3"/>
      <c r="D551" s="3"/>
      <c r="E551" s="5"/>
      <c r="F551" s="3"/>
      <c r="G551" s="3"/>
      <c r="H551" s="5"/>
      <c r="I551" s="5"/>
      <c r="J551" s="5"/>
      <c r="K551" s="5"/>
      <c r="L551" s="6"/>
      <c r="M551" s="6"/>
      <c r="N551" s="7"/>
    </row>
    <row x14ac:dyDescent="0.25" r="552" customHeight="1" ht="18.75">
      <c r="A552" s="10" t="s">
        <v>619</v>
      </c>
      <c r="B552" s="11">
        <v>45</v>
      </c>
      <c r="C552" s="3"/>
      <c r="D552" s="3"/>
      <c r="E552" s="5"/>
      <c r="F552" s="3"/>
      <c r="G552" s="3"/>
      <c r="H552" s="5"/>
      <c r="I552" s="5"/>
      <c r="J552" s="5"/>
      <c r="K552" s="5"/>
      <c r="L552" s="6"/>
      <c r="M552" s="6"/>
      <c r="N552" s="7"/>
    </row>
    <row x14ac:dyDescent="0.25" r="553" customHeight="1" ht="18.75">
      <c r="A553" s="10" t="s">
        <v>620</v>
      </c>
      <c r="B553" s="11">
        <v>45</v>
      </c>
      <c r="C553" s="3"/>
      <c r="D553" s="3"/>
      <c r="E553" s="5"/>
      <c r="F553" s="3"/>
      <c r="G553" s="3"/>
      <c r="H553" s="5"/>
      <c r="I553" s="5"/>
      <c r="J553" s="5"/>
      <c r="K553" s="5"/>
      <c r="L553" s="6"/>
      <c r="M553" s="6"/>
      <c r="N553" s="7"/>
    </row>
    <row x14ac:dyDescent="0.25" r="554" customHeight="1" ht="18.75">
      <c r="A554" s="10" t="s">
        <v>621</v>
      </c>
      <c r="B554" s="11">
        <v>45</v>
      </c>
      <c r="C554" s="3"/>
      <c r="D554" s="3"/>
      <c r="E554" s="5"/>
      <c r="F554" s="3"/>
      <c r="G554" s="3"/>
      <c r="H554" s="5"/>
      <c r="I554" s="5"/>
      <c r="J554" s="5"/>
      <c r="K554" s="5"/>
      <c r="L554" s="6"/>
      <c r="M554" s="6"/>
      <c r="N554" s="7"/>
    </row>
    <row x14ac:dyDescent="0.25" r="555" customHeight="1" ht="18.75">
      <c r="A555" s="10" t="s">
        <v>622</v>
      </c>
      <c r="B555" s="11">
        <v>45</v>
      </c>
      <c r="C555" s="3"/>
      <c r="D555" s="3"/>
      <c r="E555" s="5"/>
      <c r="F555" s="3"/>
      <c r="G555" s="3"/>
      <c r="H555" s="5"/>
      <c r="I555" s="5"/>
      <c r="J555" s="5"/>
      <c r="K555" s="5"/>
      <c r="L555" s="6"/>
      <c r="M555" s="6"/>
      <c r="N555" s="7"/>
    </row>
    <row x14ac:dyDescent="0.25" r="556" customHeight="1" ht="18.75">
      <c r="A556" s="10" t="s">
        <v>623</v>
      </c>
      <c r="B556" s="11">
        <v>45</v>
      </c>
      <c r="C556" s="3"/>
      <c r="D556" s="3"/>
      <c r="E556" s="5"/>
      <c r="F556" s="3"/>
      <c r="G556" s="3"/>
      <c r="H556" s="5"/>
      <c r="I556" s="5"/>
      <c r="J556" s="5"/>
      <c r="K556" s="5"/>
      <c r="L556" s="6"/>
      <c r="M556" s="6"/>
      <c r="N556" s="7"/>
    </row>
    <row x14ac:dyDescent="0.25" r="557" customHeight="1" ht="18.75">
      <c r="A557" s="10" t="s">
        <v>624</v>
      </c>
      <c r="B557" s="11">
        <v>45</v>
      </c>
      <c r="C557" s="3"/>
      <c r="D557" s="3"/>
      <c r="E557" s="5"/>
      <c r="F557" s="3"/>
      <c r="G557" s="3"/>
      <c r="H557" s="5"/>
      <c r="I557" s="5"/>
      <c r="J557" s="5"/>
      <c r="K557" s="5"/>
      <c r="L557" s="6"/>
      <c r="M557" s="6"/>
      <c r="N557" s="7"/>
    </row>
    <row x14ac:dyDescent="0.25" r="558" customHeight="1" ht="18.75">
      <c r="A558" s="10" t="s">
        <v>625</v>
      </c>
      <c r="B558" s="11">
        <v>45</v>
      </c>
      <c r="C558" s="3"/>
      <c r="D558" s="3"/>
      <c r="E558" s="5"/>
      <c r="F558" s="3"/>
      <c r="G558" s="3"/>
      <c r="H558" s="5"/>
      <c r="I558" s="5"/>
      <c r="J558" s="5"/>
      <c r="K558" s="5"/>
      <c r="L558" s="6"/>
      <c r="M558" s="6"/>
      <c r="N558" s="7"/>
    </row>
    <row x14ac:dyDescent="0.25" r="559" customHeight="1" ht="18.75">
      <c r="A559" s="10" t="s">
        <v>626</v>
      </c>
      <c r="B559" s="11">
        <v>45</v>
      </c>
      <c r="C559" s="3"/>
      <c r="D559" s="3"/>
      <c r="E559" s="5"/>
      <c r="F559" s="3"/>
      <c r="G559" s="3"/>
      <c r="H559" s="5"/>
      <c r="I559" s="5"/>
      <c r="J559" s="5"/>
      <c r="K559" s="5"/>
      <c r="L559" s="6"/>
      <c r="M559" s="6"/>
      <c r="N559" s="7"/>
    </row>
    <row x14ac:dyDescent="0.25" r="560" customHeight="1" ht="18.75">
      <c r="A560" s="10" t="s">
        <v>627</v>
      </c>
      <c r="B560" s="11">
        <v>45</v>
      </c>
      <c r="C560" s="3"/>
      <c r="D560" s="3"/>
      <c r="E560" s="5"/>
      <c r="F560" s="3"/>
      <c r="G560" s="3"/>
      <c r="H560" s="5"/>
      <c r="I560" s="5"/>
      <c r="J560" s="5"/>
      <c r="K560" s="5"/>
      <c r="L560" s="6"/>
      <c r="M560" s="6"/>
      <c r="N560" s="7"/>
    </row>
    <row x14ac:dyDescent="0.25" r="561" customHeight="1" ht="18.75">
      <c r="A561" s="10" t="s">
        <v>628</v>
      </c>
      <c r="B561" s="11">
        <v>45</v>
      </c>
      <c r="C561" s="3"/>
      <c r="D561" s="3"/>
      <c r="E561" s="5"/>
      <c r="F561" s="3"/>
      <c r="G561" s="3"/>
      <c r="H561" s="5"/>
      <c r="I561" s="5"/>
      <c r="J561" s="5"/>
      <c r="K561" s="5"/>
      <c r="L561" s="6"/>
      <c r="M561" s="6"/>
      <c r="N561" s="7"/>
    </row>
    <row x14ac:dyDescent="0.25" r="562" customHeight="1" ht="18.75">
      <c r="A562" s="10" t="s">
        <v>629</v>
      </c>
      <c r="B562" s="11">
        <v>45</v>
      </c>
      <c r="C562" s="3"/>
      <c r="D562" s="3"/>
      <c r="E562" s="5"/>
      <c r="F562" s="3"/>
      <c r="G562" s="3"/>
      <c r="H562" s="5"/>
      <c r="I562" s="5"/>
      <c r="J562" s="5"/>
      <c r="K562" s="5"/>
      <c r="L562" s="6"/>
      <c r="M562" s="6"/>
      <c r="N562" s="7"/>
    </row>
    <row x14ac:dyDescent="0.25" r="563" customHeight="1" ht="18.75">
      <c r="A563" s="10" t="s">
        <v>630</v>
      </c>
      <c r="B563" s="11">
        <v>45</v>
      </c>
      <c r="C563" s="3"/>
      <c r="D563" s="3"/>
      <c r="E563" s="5"/>
      <c r="F563" s="3"/>
      <c r="G563" s="3"/>
      <c r="H563" s="5"/>
      <c r="I563" s="5"/>
      <c r="J563" s="5"/>
      <c r="K563" s="5"/>
      <c r="L563" s="6"/>
      <c r="M563" s="6"/>
      <c r="N563" s="7"/>
    </row>
    <row x14ac:dyDescent="0.25" r="564" customHeight="1" ht="18.75">
      <c r="A564" s="10" t="s">
        <v>631</v>
      </c>
      <c r="B564" s="11">
        <v>46</v>
      </c>
      <c r="C564" s="3"/>
      <c r="D564" s="3"/>
      <c r="E564" s="5"/>
      <c r="F564" s="3"/>
      <c r="G564" s="3"/>
      <c r="H564" s="5"/>
      <c r="I564" s="5"/>
      <c r="J564" s="5"/>
      <c r="K564" s="5"/>
      <c r="L564" s="6"/>
      <c r="M564" s="6"/>
      <c r="N564" s="7"/>
    </row>
    <row x14ac:dyDescent="0.25" r="565" customHeight="1" ht="18.75">
      <c r="A565" s="10" t="s">
        <v>632</v>
      </c>
      <c r="B565" s="11">
        <v>46</v>
      </c>
      <c r="C565" s="3"/>
      <c r="D565" s="3"/>
      <c r="E565" s="5"/>
      <c r="F565" s="3"/>
      <c r="G565" s="3"/>
      <c r="H565" s="5"/>
      <c r="I565" s="5"/>
      <c r="J565" s="5"/>
      <c r="K565" s="5"/>
      <c r="L565" s="6"/>
      <c r="M565" s="6"/>
      <c r="N565" s="7"/>
    </row>
    <row x14ac:dyDescent="0.25" r="566" customHeight="1" ht="18.75">
      <c r="A566" s="10" t="s">
        <v>633</v>
      </c>
      <c r="B566" s="11">
        <v>46</v>
      </c>
      <c r="C566" s="3"/>
      <c r="D566" s="3"/>
      <c r="E566" s="5"/>
      <c r="F566" s="3"/>
      <c r="G566" s="3"/>
      <c r="H566" s="5"/>
      <c r="I566" s="5"/>
      <c r="J566" s="5"/>
      <c r="K566" s="5"/>
      <c r="L566" s="6"/>
      <c r="M566" s="6"/>
      <c r="N566" s="7"/>
    </row>
    <row x14ac:dyDescent="0.25" r="567" customHeight="1" ht="18.75">
      <c r="A567" s="10" t="s">
        <v>634</v>
      </c>
      <c r="B567" s="11">
        <v>46</v>
      </c>
      <c r="C567" s="3"/>
      <c r="D567" s="3"/>
      <c r="E567" s="5"/>
      <c r="F567" s="3"/>
      <c r="G567" s="3"/>
      <c r="H567" s="5"/>
      <c r="I567" s="5"/>
      <c r="J567" s="5"/>
      <c r="K567" s="5"/>
      <c r="L567" s="6"/>
      <c r="M567" s="6"/>
      <c r="N567" s="7"/>
    </row>
    <row x14ac:dyDescent="0.25" r="568" customHeight="1" ht="18.75">
      <c r="A568" s="10" t="s">
        <v>635</v>
      </c>
      <c r="B568" s="11">
        <v>46</v>
      </c>
      <c r="C568" s="3"/>
      <c r="D568" s="3"/>
      <c r="E568" s="5"/>
      <c r="F568" s="3"/>
      <c r="G568" s="3"/>
      <c r="H568" s="5"/>
      <c r="I568" s="5"/>
      <c r="J568" s="5"/>
      <c r="K568" s="5"/>
      <c r="L568" s="6"/>
      <c r="M568" s="6"/>
      <c r="N568" s="7"/>
    </row>
    <row x14ac:dyDescent="0.25" r="569" customHeight="1" ht="18.75">
      <c r="A569" s="10" t="s">
        <v>636</v>
      </c>
      <c r="B569" s="11">
        <v>46</v>
      </c>
      <c r="C569" s="3"/>
      <c r="D569" s="3"/>
      <c r="E569" s="5"/>
      <c r="F569" s="3"/>
      <c r="G569" s="3"/>
      <c r="H569" s="5"/>
      <c r="I569" s="5"/>
      <c r="J569" s="5"/>
      <c r="K569" s="5"/>
      <c r="L569" s="6"/>
      <c r="M569" s="6"/>
      <c r="N569" s="7"/>
    </row>
    <row x14ac:dyDescent="0.25" r="570" customHeight="1" ht="18.75">
      <c r="A570" s="10" t="s">
        <v>637</v>
      </c>
      <c r="B570" s="11">
        <v>46</v>
      </c>
      <c r="C570" s="3"/>
      <c r="D570" s="3"/>
      <c r="E570" s="5"/>
      <c r="F570" s="3"/>
      <c r="G570" s="3"/>
      <c r="H570" s="5"/>
      <c r="I570" s="5"/>
      <c r="J570" s="5"/>
      <c r="K570" s="5"/>
      <c r="L570" s="6"/>
      <c r="M570" s="6"/>
      <c r="N570" s="7"/>
    </row>
    <row x14ac:dyDescent="0.25" r="571" customHeight="1" ht="18.75">
      <c r="A571" s="10" t="s">
        <v>638</v>
      </c>
      <c r="B571" s="11">
        <v>46</v>
      </c>
      <c r="C571" s="3"/>
      <c r="D571" s="3"/>
      <c r="E571" s="5"/>
      <c r="F571" s="3"/>
      <c r="G571" s="3"/>
      <c r="H571" s="5"/>
      <c r="I571" s="5"/>
      <c r="J571" s="5"/>
      <c r="K571" s="5"/>
      <c r="L571" s="6"/>
      <c r="M571" s="6"/>
      <c r="N571" s="7"/>
    </row>
    <row x14ac:dyDescent="0.25" r="572" customHeight="1" ht="18.75">
      <c r="A572" s="10" t="s">
        <v>639</v>
      </c>
      <c r="B572" s="11">
        <v>46</v>
      </c>
      <c r="C572" s="3"/>
      <c r="D572" s="3"/>
      <c r="E572" s="5"/>
      <c r="F572" s="3"/>
      <c r="G572" s="3"/>
      <c r="H572" s="5"/>
      <c r="I572" s="5"/>
      <c r="J572" s="5"/>
      <c r="K572" s="5"/>
      <c r="L572" s="6"/>
      <c r="M572" s="6"/>
      <c r="N572" s="7"/>
    </row>
    <row x14ac:dyDescent="0.25" r="573" customHeight="1" ht="18.75">
      <c r="A573" s="10" t="s">
        <v>640</v>
      </c>
      <c r="B573" s="11">
        <v>46</v>
      </c>
      <c r="C573" s="3"/>
      <c r="D573" s="3"/>
      <c r="E573" s="5"/>
      <c r="F573" s="3"/>
      <c r="G573" s="3"/>
      <c r="H573" s="5"/>
      <c r="I573" s="5"/>
      <c r="J573" s="5"/>
      <c r="K573" s="5"/>
      <c r="L573" s="6"/>
      <c r="M573" s="6"/>
      <c r="N573" s="7"/>
    </row>
    <row x14ac:dyDescent="0.25" r="574" customHeight="1" ht="18.75">
      <c r="A574" s="10" t="s">
        <v>641</v>
      </c>
      <c r="B574" s="11">
        <v>46</v>
      </c>
      <c r="C574" s="3"/>
      <c r="D574" s="3"/>
      <c r="E574" s="5"/>
      <c r="F574" s="3"/>
      <c r="G574" s="3"/>
      <c r="H574" s="5"/>
      <c r="I574" s="5"/>
      <c r="J574" s="5"/>
      <c r="K574" s="5"/>
      <c r="L574" s="6"/>
      <c r="M574" s="6"/>
      <c r="N574" s="7"/>
    </row>
    <row x14ac:dyDescent="0.25" r="575" customHeight="1" ht="18.75">
      <c r="A575" s="10" t="s">
        <v>642</v>
      </c>
      <c r="B575" s="11">
        <v>46</v>
      </c>
      <c r="C575" s="3"/>
      <c r="D575" s="3"/>
      <c r="E575" s="5"/>
      <c r="F575" s="3"/>
      <c r="G575" s="3"/>
      <c r="H575" s="5"/>
      <c r="I575" s="5"/>
      <c r="J575" s="5"/>
      <c r="K575" s="5"/>
      <c r="L575" s="6"/>
      <c r="M575" s="6"/>
      <c r="N575" s="7"/>
    </row>
    <row x14ac:dyDescent="0.25" r="576" customHeight="1" ht="18.75">
      <c r="A576" s="10" t="s">
        <v>643</v>
      </c>
      <c r="B576" s="11">
        <v>46</v>
      </c>
      <c r="C576" s="3"/>
      <c r="D576" s="3"/>
      <c r="E576" s="5"/>
      <c r="F576" s="3"/>
      <c r="G576" s="3"/>
      <c r="H576" s="5"/>
      <c r="I576" s="5"/>
      <c r="J576" s="5"/>
      <c r="K576" s="5"/>
      <c r="L576" s="6"/>
      <c r="M576" s="6"/>
      <c r="N576" s="7"/>
    </row>
    <row x14ac:dyDescent="0.25" r="577" customHeight="1" ht="18.75">
      <c r="A577" s="10" t="s">
        <v>644</v>
      </c>
      <c r="B577" s="11">
        <v>46</v>
      </c>
      <c r="C577" s="3"/>
      <c r="D577" s="3"/>
      <c r="E577" s="5"/>
      <c r="F577" s="3"/>
      <c r="G577" s="3"/>
      <c r="H577" s="5"/>
      <c r="I577" s="5"/>
      <c r="J577" s="5"/>
      <c r="K577" s="5"/>
      <c r="L577" s="6"/>
      <c r="M577" s="6"/>
      <c r="N577" s="7"/>
    </row>
    <row x14ac:dyDescent="0.25" r="578" customHeight="1" ht="18.75">
      <c r="A578" s="10" t="s">
        <v>645</v>
      </c>
      <c r="B578" s="11">
        <v>46</v>
      </c>
      <c r="C578" s="3"/>
      <c r="D578" s="3"/>
      <c r="E578" s="5"/>
      <c r="F578" s="3"/>
      <c r="G578" s="3"/>
      <c r="H578" s="5"/>
      <c r="I578" s="5"/>
      <c r="J578" s="5"/>
      <c r="K578" s="5"/>
      <c r="L578" s="6"/>
      <c r="M578" s="6"/>
      <c r="N578" s="7"/>
    </row>
    <row x14ac:dyDescent="0.25" r="579" customHeight="1" ht="18.75">
      <c r="A579" s="10" t="s">
        <v>646</v>
      </c>
      <c r="B579" s="11">
        <v>46</v>
      </c>
      <c r="C579" s="3"/>
      <c r="D579" s="3"/>
      <c r="E579" s="5"/>
      <c r="F579" s="3"/>
      <c r="G579" s="3"/>
      <c r="H579" s="5"/>
      <c r="I579" s="5"/>
      <c r="J579" s="5"/>
      <c r="K579" s="5"/>
      <c r="L579" s="6"/>
      <c r="M579" s="6"/>
      <c r="N579" s="7"/>
    </row>
    <row x14ac:dyDescent="0.25" r="580" customHeight="1" ht="18.75">
      <c r="A580" s="10" t="s">
        <v>647</v>
      </c>
      <c r="B580" s="11">
        <v>46</v>
      </c>
      <c r="C580" s="3"/>
      <c r="D580" s="3"/>
      <c r="E580" s="5"/>
      <c r="F580" s="3"/>
      <c r="G580" s="3"/>
      <c r="H580" s="5"/>
      <c r="I580" s="5"/>
      <c r="J580" s="5"/>
      <c r="K580" s="5"/>
      <c r="L580" s="6"/>
      <c r="M580" s="6"/>
      <c r="N580" s="7"/>
    </row>
    <row x14ac:dyDescent="0.25" r="581" customHeight="1" ht="18.75">
      <c r="A581" s="10" t="s">
        <v>648</v>
      </c>
      <c r="B581" s="11">
        <v>46</v>
      </c>
      <c r="C581" s="3"/>
      <c r="D581" s="3"/>
      <c r="E581" s="5"/>
      <c r="F581" s="3"/>
      <c r="G581" s="3"/>
      <c r="H581" s="5"/>
      <c r="I581" s="5"/>
      <c r="J581" s="5"/>
      <c r="K581" s="5"/>
      <c r="L581" s="6"/>
      <c r="M581" s="6"/>
      <c r="N581" s="7"/>
    </row>
    <row x14ac:dyDescent="0.25" r="582" customHeight="1" ht="18.75">
      <c r="A582" s="10" t="s">
        <v>649</v>
      </c>
      <c r="B582" s="11">
        <v>46</v>
      </c>
      <c r="C582" s="3"/>
      <c r="D582" s="3"/>
      <c r="E582" s="5"/>
      <c r="F582" s="3"/>
      <c r="G582" s="3"/>
      <c r="H582" s="5"/>
      <c r="I582" s="5"/>
      <c r="J582" s="5"/>
      <c r="K582" s="5"/>
      <c r="L582" s="6"/>
      <c r="M582" s="6"/>
      <c r="N582" s="7"/>
    </row>
    <row x14ac:dyDescent="0.25" r="583" customHeight="1" ht="18.75">
      <c r="A583" s="10" t="s">
        <v>650</v>
      </c>
      <c r="B583" s="11">
        <v>46</v>
      </c>
      <c r="C583" s="3"/>
      <c r="D583" s="3"/>
      <c r="E583" s="5"/>
      <c r="F583" s="3"/>
      <c r="G583" s="3"/>
      <c r="H583" s="5"/>
      <c r="I583" s="5"/>
      <c r="J583" s="5"/>
      <c r="K583" s="5"/>
      <c r="L583" s="6"/>
      <c r="M583" s="6"/>
      <c r="N583" s="7"/>
    </row>
    <row x14ac:dyDescent="0.25" r="584" customHeight="1" ht="18.75">
      <c r="A584" s="10" t="s">
        <v>651</v>
      </c>
      <c r="B584" s="11">
        <v>46</v>
      </c>
      <c r="C584" s="3"/>
      <c r="D584" s="3"/>
      <c r="E584" s="5"/>
      <c r="F584" s="3"/>
      <c r="G584" s="3"/>
      <c r="H584" s="5"/>
      <c r="I584" s="5"/>
      <c r="J584" s="5"/>
      <c r="K584" s="5"/>
      <c r="L584" s="6"/>
      <c r="M584" s="6"/>
      <c r="N584" s="7"/>
    </row>
    <row x14ac:dyDescent="0.25" r="585" customHeight="1" ht="18.75">
      <c r="A585" s="10" t="s">
        <v>652</v>
      </c>
      <c r="B585" s="11">
        <v>46</v>
      </c>
      <c r="C585" s="3"/>
      <c r="D585" s="3"/>
      <c r="E585" s="5"/>
      <c r="F585" s="3"/>
      <c r="G585" s="3"/>
      <c r="H585" s="5"/>
      <c r="I585" s="5"/>
      <c r="J585" s="5"/>
      <c r="K585" s="5"/>
      <c r="L585" s="6"/>
      <c r="M585" s="6"/>
      <c r="N585" s="7"/>
    </row>
    <row x14ac:dyDescent="0.25" r="586" customHeight="1" ht="18.75">
      <c r="A586" s="10" t="s">
        <v>653</v>
      </c>
      <c r="B586" s="11">
        <v>46</v>
      </c>
      <c r="C586" s="3"/>
      <c r="D586" s="3"/>
      <c r="E586" s="5"/>
      <c r="F586" s="3"/>
      <c r="G586" s="3"/>
      <c r="H586" s="5"/>
      <c r="I586" s="5"/>
      <c r="J586" s="5"/>
      <c r="K586" s="5"/>
      <c r="L586" s="6"/>
      <c r="M586" s="6"/>
      <c r="N586" s="7"/>
    </row>
    <row x14ac:dyDescent="0.25" r="587" customHeight="1" ht="18.75">
      <c r="A587" s="10" t="s">
        <v>654</v>
      </c>
      <c r="B587" s="11">
        <v>46</v>
      </c>
      <c r="C587" s="3"/>
      <c r="D587" s="3"/>
      <c r="E587" s="5"/>
      <c r="F587" s="3"/>
      <c r="G587" s="3"/>
      <c r="H587" s="5"/>
      <c r="I587" s="5"/>
      <c r="J587" s="5"/>
      <c r="K587" s="5"/>
      <c r="L587" s="6"/>
      <c r="M587" s="6"/>
      <c r="N587" s="7"/>
    </row>
    <row x14ac:dyDescent="0.25" r="588" customHeight="1" ht="18.75">
      <c r="A588" s="10" t="s">
        <v>655</v>
      </c>
      <c r="B588" s="11">
        <v>46</v>
      </c>
      <c r="C588" s="3"/>
      <c r="D588" s="3"/>
      <c r="E588" s="5"/>
      <c r="F588" s="3"/>
      <c r="G588" s="3"/>
      <c r="H588" s="5"/>
      <c r="I588" s="5"/>
      <c r="J588" s="5"/>
      <c r="K588" s="5"/>
      <c r="L588" s="6"/>
      <c r="M588" s="6"/>
      <c r="N588" s="7"/>
    </row>
    <row x14ac:dyDescent="0.25" r="589" customHeight="1" ht="18.75">
      <c r="A589" s="10" t="s">
        <v>656</v>
      </c>
      <c r="B589" s="11">
        <v>46</v>
      </c>
      <c r="C589" s="3"/>
      <c r="D589" s="3"/>
      <c r="E589" s="5"/>
      <c r="F589" s="3"/>
      <c r="G589" s="3"/>
      <c r="H589" s="5"/>
      <c r="I589" s="5"/>
      <c r="J589" s="5"/>
      <c r="K589" s="5"/>
      <c r="L589" s="6"/>
      <c r="M589" s="6"/>
      <c r="N589" s="7"/>
    </row>
    <row x14ac:dyDescent="0.25" r="590" customHeight="1" ht="18.75">
      <c r="A590" s="10" t="s">
        <v>657</v>
      </c>
      <c r="B590" s="11">
        <v>46</v>
      </c>
      <c r="C590" s="3"/>
      <c r="D590" s="3"/>
      <c r="E590" s="5"/>
      <c r="F590" s="3"/>
      <c r="G590" s="3"/>
      <c r="H590" s="5"/>
      <c r="I590" s="5"/>
      <c r="J590" s="5"/>
      <c r="K590" s="5"/>
      <c r="L590" s="6"/>
      <c r="M590" s="6"/>
      <c r="N590" s="7"/>
    </row>
    <row x14ac:dyDescent="0.25" r="591" customHeight="1" ht="18.75">
      <c r="A591" s="10" t="s">
        <v>658</v>
      </c>
      <c r="B591" s="11">
        <v>46</v>
      </c>
      <c r="C591" s="3"/>
      <c r="D591" s="3"/>
      <c r="E591" s="5"/>
      <c r="F591" s="3"/>
      <c r="G591" s="3"/>
      <c r="H591" s="5"/>
      <c r="I591" s="5"/>
      <c r="J591" s="5"/>
      <c r="K591" s="5"/>
      <c r="L591" s="6"/>
      <c r="M591" s="6"/>
      <c r="N591" s="7"/>
    </row>
    <row x14ac:dyDescent="0.25" r="592" customHeight="1" ht="18.75">
      <c r="A592" s="10" t="s">
        <v>659</v>
      </c>
      <c r="B592" s="11">
        <v>46</v>
      </c>
      <c r="C592" s="3"/>
      <c r="D592" s="3"/>
      <c r="E592" s="5"/>
      <c r="F592" s="3"/>
      <c r="G592" s="3"/>
      <c r="H592" s="5"/>
      <c r="I592" s="5"/>
      <c r="J592" s="5"/>
      <c r="K592" s="5"/>
      <c r="L592" s="6"/>
      <c r="M592" s="6"/>
      <c r="N592" s="7"/>
    </row>
    <row x14ac:dyDescent="0.25" r="593" customHeight="1" ht="18.75">
      <c r="A593" s="10" t="s">
        <v>660</v>
      </c>
      <c r="B593" s="11">
        <v>47</v>
      </c>
      <c r="C593" s="3"/>
      <c r="D593" s="3"/>
      <c r="E593" s="5"/>
      <c r="F593" s="3"/>
      <c r="G593" s="3"/>
      <c r="H593" s="5"/>
      <c r="I593" s="5"/>
      <c r="J593" s="5"/>
      <c r="K593" s="5"/>
      <c r="L593" s="6"/>
      <c r="M593" s="6"/>
      <c r="N593" s="7"/>
    </row>
    <row x14ac:dyDescent="0.25" r="594" customHeight="1" ht="18.75">
      <c r="A594" s="10" t="s">
        <v>661</v>
      </c>
      <c r="B594" s="11">
        <v>47</v>
      </c>
      <c r="C594" s="3"/>
      <c r="D594" s="3"/>
      <c r="E594" s="5"/>
      <c r="F594" s="3"/>
      <c r="G594" s="3"/>
      <c r="H594" s="5"/>
      <c r="I594" s="5"/>
      <c r="J594" s="5"/>
      <c r="K594" s="5"/>
      <c r="L594" s="6"/>
      <c r="M594" s="6"/>
      <c r="N594" s="7"/>
    </row>
    <row x14ac:dyDescent="0.25" r="595" customHeight="1" ht="18.75">
      <c r="A595" s="10" t="s">
        <v>662</v>
      </c>
      <c r="B595" s="11">
        <v>47</v>
      </c>
      <c r="C595" s="3"/>
      <c r="D595" s="3"/>
      <c r="E595" s="5"/>
      <c r="F595" s="3"/>
      <c r="G595" s="3"/>
      <c r="H595" s="5"/>
      <c r="I595" s="5"/>
      <c r="J595" s="5"/>
      <c r="K595" s="5"/>
      <c r="L595" s="6"/>
      <c r="M595" s="6"/>
      <c r="N595" s="7"/>
    </row>
    <row x14ac:dyDescent="0.25" r="596" customHeight="1" ht="18.75">
      <c r="A596" s="10" t="s">
        <v>663</v>
      </c>
      <c r="B596" s="11">
        <v>47</v>
      </c>
      <c r="C596" s="3"/>
      <c r="D596" s="3"/>
      <c r="E596" s="5"/>
      <c r="F596" s="3"/>
      <c r="G596" s="3"/>
      <c r="H596" s="5"/>
      <c r="I596" s="5"/>
      <c r="J596" s="5"/>
      <c r="K596" s="5"/>
      <c r="L596" s="6"/>
      <c r="M596" s="6"/>
      <c r="N596" s="7"/>
    </row>
    <row x14ac:dyDescent="0.25" r="597" customHeight="1" ht="18.75">
      <c r="A597" s="10" t="s">
        <v>664</v>
      </c>
      <c r="B597" s="11">
        <v>47</v>
      </c>
      <c r="C597" s="3"/>
      <c r="D597" s="3"/>
      <c r="E597" s="5"/>
      <c r="F597" s="3"/>
      <c r="G597" s="3"/>
      <c r="H597" s="5"/>
      <c r="I597" s="5"/>
      <c r="J597" s="5"/>
      <c r="K597" s="5"/>
      <c r="L597" s="6"/>
      <c r="M597" s="6"/>
      <c r="N597" s="7"/>
    </row>
    <row x14ac:dyDescent="0.25" r="598" customHeight="1" ht="18.75">
      <c r="A598" s="10" t="s">
        <v>665</v>
      </c>
      <c r="B598" s="11">
        <v>47</v>
      </c>
      <c r="C598" s="3"/>
      <c r="D598" s="3"/>
      <c r="E598" s="5"/>
      <c r="F598" s="3"/>
      <c r="G598" s="3"/>
      <c r="H598" s="5"/>
      <c r="I598" s="5"/>
      <c r="J598" s="5"/>
      <c r="K598" s="5"/>
      <c r="L598" s="6"/>
      <c r="M598" s="6"/>
      <c r="N598" s="7"/>
    </row>
    <row x14ac:dyDescent="0.25" r="599" customHeight="1" ht="18.75">
      <c r="A599" s="10" t="s">
        <v>666</v>
      </c>
      <c r="B599" s="11">
        <v>47</v>
      </c>
      <c r="C599" s="3"/>
      <c r="D599" s="3"/>
      <c r="E599" s="5"/>
      <c r="F599" s="3"/>
      <c r="G599" s="3"/>
      <c r="H599" s="5"/>
      <c r="I599" s="5"/>
      <c r="J599" s="5"/>
      <c r="K599" s="5"/>
      <c r="L599" s="6"/>
      <c r="M599" s="6"/>
      <c r="N599" s="7"/>
    </row>
    <row x14ac:dyDescent="0.25" r="600" customHeight="1" ht="18.75">
      <c r="A600" s="10" t="s">
        <v>667</v>
      </c>
      <c r="B600" s="11">
        <v>47</v>
      </c>
      <c r="C600" s="3"/>
      <c r="D600" s="3"/>
      <c r="E600" s="5"/>
      <c r="F600" s="3"/>
      <c r="G600" s="3"/>
      <c r="H600" s="5"/>
      <c r="I600" s="5"/>
      <c r="J600" s="5"/>
      <c r="K600" s="5"/>
      <c r="L600" s="6"/>
      <c r="M600" s="6"/>
      <c r="N600" s="7"/>
    </row>
    <row x14ac:dyDescent="0.25" r="601" customHeight="1" ht="18.75">
      <c r="A601" s="10" t="s">
        <v>668</v>
      </c>
      <c r="B601" s="11">
        <v>47</v>
      </c>
      <c r="C601" s="3"/>
      <c r="D601" s="3"/>
      <c r="E601" s="5"/>
      <c r="F601" s="3"/>
      <c r="G601" s="3"/>
      <c r="H601" s="5"/>
      <c r="I601" s="5"/>
      <c r="J601" s="5"/>
      <c r="K601" s="5"/>
      <c r="L601" s="6"/>
      <c r="M601" s="6"/>
      <c r="N601" s="7"/>
    </row>
    <row x14ac:dyDescent="0.25" r="602" customHeight="1" ht="18.75">
      <c r="A602" s="10" t="s">
        <v>669</v>
      </c>
      <c r="B602" s="11">
        <v>47</v>
      </c>
      <c r="C602" s="3"/>
      <c r="D602" s="3"/>
      <c r="E602" s="5"/>
      <c r="F602" s="3"/>
      <c r="G602" s="3"/>
      <c r="H602" s="5"/>
      <c r="I602" s="5"/>
      <c r="J602" s="5"/>
      <c r="K602" s="5"/>
      <c r="L602" s="6"/>
      <c r="M602" s="6"/>
      <c r="N602" s="7"/>
    </row>
    <row x14ac:dyDescent="0.25" r="603" customHeight="1" ht="18.75">
      <c r="A603" s="10" t="s">
        <v>670</v>
      </c>
      <c r="B603" s="11">
        <v>47</v>
      </c>
      <c r="C603" s="3"/>
      <c r="D603" s="3"/>
      <c r="E603" s="5"/>
      <c r="F603" s="3"/>
      <c r="G603" s="3"/>
      <c r="H603" s="5"/>
      <c r="I603" s="5"/>
      <c r="J603" s="5"/>
      <c r="K603" s="5"/>
      <c r="L603" s="6"/>
      <c r="M603" s="6"/>
      <c r="N603" s="7"/>
    </row>
    <row x14ac:dyDescent="0.25" r="604" customHeight="1" ht="18.75">
      <c r="A604" s="10" t="s">
        <v>671</v>
      </c>
      <c r="B604" s="11">
        <v>47</v>
      </c>
      <c r="C604" s="3"/>
      <c r="D604" s="3"/>
      <c r="E604" s="5"/>
      <c r="F604" s="3"/>
      <c r="G604" s="3"/>
      <c r="H604" s="5"/>
      <c r="I604" s="5"/>
      <c r="J604" s="5"/>
      <c r="K604" s="5"/>
      <c r="L604" s="6"/>
      <c r="M604" s="6"/>
      <c r="N604" s="7"/>
    </row>
    <row x14ac:dyDescent="0.25" r="605" customHeight="1" ht="18.75">
      <c r="A605" s="10" t="s">
        <v>672</v>
      </c>
      <c r="B605" s="11">
        <v>47</v>
      </c>
      <c r="C605" s="3"/>
      <c r="D605" s="3"/>
      <c r="E605" s="5"/>
      <c r="F605" s="3"/>
      <c r="G605" s="3"/>
      <c r="H605" s="5"/>
      <c r="I605" s="5"/>
      <c r="J605" s="5"/>
      <c r="K605" s="5"/>
      <c r="L605" s="6"/>
      <c r="M605" s="6"/>
      <c r="N605" s="7"/>
    </row>
    <row x14ac:dyDescent="0.25" r="606" customHeight="1" ht="18.75">
      <c r="A606" s="10" t="s">
        <v>673</v>
      </c>
      <c r="B606" s="11">
        <v>47</v>
      </c>
      <c r="C606" s="3"/>
      <c r="D606" s="3"/>
      <c r="E606" s="5"/>
      <c r="F606" s="3"/>
      <c r="G606" s="3"/>
      <c r="H606" s="5"/>
      <c r="I606" s="5"/>
      <c r="J606" s="5"/>
      <c r="K606" s="5"/>
      <c r="L606" s="6"/>
      <c r="M606" s="6"/>
      <c r="N606" s="7"/>
    </row>
    <row x14ac:dyDescent="0.25" r="607" customHeight="1" ht="18.75">
      <c r="A607" s="10" t="s">
        <v>674</v>
      </c>
      <c r="B607" s="11">
        <v>47</v>
      </c>
      <c r="C607" s="3"/>
      <c r="D607" s="3"/>
      <c r="E607" s="5"/>
      <c r="F607" s="3"/>
      <c r="G607" s="3"/>
      <c r="H607" s="5"/>
      <c r="I607" s="5"/>
      <c r="J607" s="5"/>
      <c r="K607" s="5"/>
      <c r="L607" s="6"/>
      <c r="M607" s="6"/>
      <c r="N607" s="7"/>
    </row>
    <row x14ac:dyDescent="0.25" r="608" customHeight="1" ht="18.75">
      <c r="A608" s="10" t="s">
        <v>675</v>
      </c>
      <c r="B608" s="11">
        <v>47</v>
      </c>
      <c r="C608" s="3"/>
      <c r="D608" s="3"/>
      <c r="E608" s="5"/>
      <c r="F608" s="3"/>
      <c r="G608" s="3"/>
      <c r="H608" s="5"/>
      <c r="I608" s="5"/>
      <c r="J608" s="5"/>
      <c r="K608" s="5"/>
      <c r="L608" s="6"/>
      <c r="M608" s="6"/>
      <c r="N608" s="7"/>
    </row>
    <row x14ac:dyDescent="0.25" r="609" customHeight="1" ht="18.75">
      <c r="A609" s="10" t="s">
        <v>676</v>
      </c>
      <c r="B609" s="11">
        <v>47</v>
      </c>
      <c r="C609" s="3"/>
      <c r="D609" s="3"/>
      <c r="E609" s="5"/>
      <c r="F609" s="3"/>
      <c r="G609" s="3"/>
      <c r="H609" s="5"/>
      <c r="I609" s="5"/>
      <c r="J609" s="5"/>
      <c r="K609" s="5"/>
      <c r="L609" s="6"/>
      <c r="M609" s="6"/>
      <c r="N609" s="7"/>
    </row>
    <row x14ac:dyDescent="0.25" r="610" customHeight="1" ht="18.75">
      <c r="A610" s="10" t="s">
        <v>677</v>
      </c>
      <c r="B610" s="11">
        <v>47</v>
      </c>
      <c r="C610" s="3"/>
      <c r="D610" s="3"/>
      <c r="E610" s="5"/>
      <c r="F610" s="3"/>
      <c r="G610" s="3"/>
      <c r="H610" s="5"/>
      <c r="I610" s="5"/>
      <c r="J610" s="5"/>
      <c r="K610" s="5"/>
      <c r="L610" s="6"/>
      <c r="M610" s="6"/>
      <c r="N610" s="7"/>
    </row>
    <row x14ac:dyDescent="0.25" r="611" customHeight="1" ht="18.75">
      <c r="A611" s="10" t="s">
        <v>678</v>
      </c>
      <c r="B611" s="11">
        <v>47</v>
      </c>
      <c r="C611" s="3"/>
      <c r="D611" s="3"/>
      <c r="E611" s="5"/>
      <c r="F611" s="3"/>
      <c r="G611" s="3"/>
      <c r="H611" s="5"/>
      <c r="I611" s="5"/>
      <c r="J611" s="5"/>
      <c r="K611" s="5"/>
      <c r="L611" s="6"/>
      <c r="M611" s="6"/>
      <c r="N611" s="7"/>
    </row>
    <row x14ac:dyDescent="0.25" r="612" customHeight="1" ht="18.75">
      <c r="A612" s="10" t="s">
        <v>679</v>
      </c>
      <c r="B612" s="11">
        <v>47</v>
      </c>
      <c r="C612" s="3"/>
      <c r="D612" s="3"/>
      <c r="E612" s="5"/>
      <c r="F612" s="3"/>
      <c r="G612" s="3"/>
      <c r="H612" s="5"/>
      <c r="I612" s="5"/>
      <c r="J612" s="5"/>
      <c r="K612" s="5"/>
      <c r="L612" s="6"/>
      <c r="M612" s="6"/>
      <c r="N612" s="7"/>
    </row>
    <row x14ac:dyDescent="0.25" r="613" customHeight="1" ht="18.75">
      <c r="A613" s="10" t="s">
        <v>680</v>
      </c>
      <c r="B613" s="11">
        <v>47</v>
      </c>
      <c r="C613" s="3"/>
      <c r="D613" s="3"/>
      <c r="E613" s="5"/>
      <c r="F613" s="3"/>
      <c r="G613" s="3"/>
      <c r="H613" s="5"/>
      <c r="I613" s="5"/>
      <c r="J613" s="5"/>
      <c r="K613" s="5"/>
      <c r="L613" s="6"/>
      <c r="M613" s="6"/>
      <c r="N613" s="7"/>
    </row>
    <row x14ac:dyDescent="0.25" r="614" customHeight="1" ht="18.75">
      <c r="A614" s="10" t="s">
        <v>681</v>
      </c>
      <c r="B614" s="11">
        <v>47</v>
      </c>
      <c r="C614" s="3"/>
      <c r="D614" s="3"/>
      <c r="E614" s="5"/>
      <c r="F614" s="3"/>
      <c r="G614" s="3"/>
      <c r="H614" s="5"/>
      <c r="I614" s="5"/>
      <c r="J614" s="5"/>
      <c r="K614" s="5"/>
      <c r="L614" s="6"/>
      <c r="M614" s="6"/>
      <c r="N614" s="7"/>
    </row>
    <row x14ac:dyDescent="0.25" r="615" customHeight="1" ht="18.75">
      <c r="A615" s="10" t="s">
        <v>682</v>
      </c>
      <c r="B615" s="11">
        <v>47</v>
      </c>
      <c r="C615" s="3"/>
      <c r="D615" s="3"/>
      <c r="E615" s="5"/>
      <c r="F615" s="3"/>
      <c r="G615" s="3"/>
      <c r="H615" s="5"/>
      <c r="I615" s="5"/>
      <c r="J615" s="5"/>
      <c r="K615" s="5"/>
      <c r="L615" s="6"/>
      <c r="M615" s="6"/>
      <c r="N615" s="7"/>
    </row>
    <row x14ac:dyDescent="0.25" r="616" customHeight="1" ht="18.75">
      <c r="A616" s="10" t="s">
        <v>683</v>
      </c>
      <c r="B616" s="11">
        <v>48</v>
      </c>
      <c r="C616" s="3"/>
      <c r="D616" s="3"/>
      <c r="E616" s="5"/>
      <c r="F616" s="3"/>
      <c r="G616" s="3"/>
      <c r="H616" s="5"/>
      <c r="I616" s="5"/>
      <c r="J616" s="5"/>
      <c r="K616" s="5"/>
      <c r="L616" s="6"/>
      <c r="M616" s="6"/>
      <c r="N616" s="7"/>
    </row>
    <row x14ac:dyDescent="0.25" r="617" customHeight="1" ht="18.75">
      <c r="A617" s="10" t="s">
        <v>684</v>
      </c>
      <c r="B617" s="11">
        <v>48</v>
      </c>
      <c r="C617" s="3"/>
      <c r="D617" s="3"/>
      <c r="E617" s="5"/>
      <c r="F617" s="3"/>
      <c r="G617" s="3"/>
      <c r="H617" s="5"/>
      <c r="I617" s="5"/>
      <c r="J617" s="5"/>
      <c r="K617" s="5"/>
      <c r="L617" s="6"/>
      <c r="M617" s="6"/>
      <c r="N617" s="7"/>
    </row>
    <row x14ac:dyDescent="0.25" r="618" customHeight="1" ht="18.75">
      <c r="A618" s="10" t="s">
        <v>685</v>
      </c>
      <c r="B618" s="11">
        <v>48</v>
      </c>
      <c r="C618" s="3"/>
      <c r="D618" s="3"/>
      <c r="E618" s="5"/>
      <c r="F618" s="3"/>
      <c r="G618" s="3"/>
      <c r="H618" s="5"/>
      <c r="I618" s="5"/>
      <c r="J618" s="5"/>
      <c r="K618" s="5"/>
      <c r="L618" s="6"/>
      <c r="M618" s="6"/>
      <c r="N618" s="7"/>
    </row>
    <row x14ac:dyDescent="0.25" r="619" customHeight="1" ht="18.75">
      <c r="A619" s="10" t="s">
        <v>686</v>
      </c>
      <c r="B619" s="11">
        <v>48</v>
      </c>
      <c r="C619" s="3"/>
      <c r="D619" s="3"/>
      <c r="E619" s="5"/>
      <c r="F619" s="3"/>
      <c r="G619" s="3"/>
      <c r="H619" s="5"/>
      <c r="I619" s="5"/>
      <c r="J619" s="5"/>
      <c r="K619" s="5"/>
      <c r="L619" s="6"/>
      <c r="M619" s="6"/>
      <c r="N619" s="7"/>
    </row>
    <row x14ac:dyDescent="0.25" r="620" customHeight="1" ht="18.75">
      <c r="A620" s="10" t="s">
        <v>687</v>
      </c>
      <c r="B620" s="11">
        <v>48</v>
      </c>
      <c r="C620" s="3"/>
      <c r="D620" s="3"/>
      <c r="E620" s="5"/>
      <c r="F620" s="3"/>
      <c r="G620" s="3"/>
      <c r="H620" s="5"/>
      <c r="I620" s="5"/>
      <c r="J620" s="5"/>
      <c r="K620" s="5"/>
      <c r="L620" s="6"/>
      <c r="M620" s="6"/>
      <c r="N620" s="7"/>
    </row>
    <row x14ac:dyDescent="0.25" r="621" customHeight="1" ht="18.75">
      <c r="A621" s="10" t="s">
        <v>688</v>
      </c>
      <c r="B621" s="11">
        <v>48</v>
      </c>
      <c r="C621" s="3"/>
      <c r="D621" s="3"/>
      <c r="E621" s="5"/>
      <c r="F621" s="3"/>
      <c r="G621" s="3"/>
      <c r="H621" s="5"/>
      <c r="I621" s="5"/>
      <c r="J621" s="5"/>
      <c r="K621" s="5"/>
      <c r="L621" s="6"/>
      <c r="M621" s="6"/>
      <c r="N621" s="7"/>
    </row>
    <row x14ac:dyDescent="0.25" r="622" customHeight="1" ht="18.75">
      <c r="A622" s="10" t="s">
        <v>689</v>
      </c>
      <c r="B622" s="11">
        <v>48</v>
      </c>
      <c r="C622" s="3"/>
      <c r="D622" s="3"/>
      <c r="E622" s="5"/>
      <c r="F622" s="3"/>
      <c r="G622" s="3"/>
      <c r="H622" s="5"/>
      <c r="I622" s="5"/>
      <c r="J622" s="5"/>
      <c r="K622" s="5"/>
      <c r="L622" s="6"/>
      <c r="M622" s="6"/>
      <c r="N622" s="7"/>
    </row>
    <row x14ac:dyDescent="0.25" r="623" customHeight="1" ht="18.75">
      <c r="A623" s="10" t="s">
        <v>690</v>
      </c>
      <c r="B623" s="11">
        <v>48</v>
      </c>
      <c r="C623" s="3"/>
      <c r="D623" s="3"/>
      <c r="E623" s="5"/>
      <c r="F623" s="3"/>
      <c r="G623" s="3"/>
      <c r="H623" s="5"/>
      <c r="I623" s="5"/>
      <c r="J623" s="5"/>
      <c r="K623" s="5"/>
      <c r="L623" s="6"/>
      <c r="M623" s="6"/>
      <c r="N623" s="7"/>
    </row>
    <row x14ac:dyDescent="0.25" r="624" customHeight="1" ht="18.75">
      <c r="A624" s="10" t="s">
        <v>691</v>
      </c>
      <c r="B624" s="11">
        <v>48</v>
      </c>
      <c r="C624" s="3"/>
      <c r="D624" s="3"/>
      <c r="E624" s="5"/>
      <c r="F624" s="3"/>
      <c r="G624" s="3"/>
      <c r="H624" s="5"/>
      <c r="I624" s="5"/>
      <c r="J624" s="5"/>
      <c r="K624" s="5"/>
      <c r="L624" s="6"/>
      <c r="M624" s="6"/>
      <c r="N624" s="7"/>
    </row>
    <row x14ac:dyDescent="0.25" r="625" customHeight="1" ht="18.75">
      <c r="A625" s="10" t="s">
        <v>692</v>
      </c>
      <c r="B625" s="11">
        <v>48</v>
      </c>
      <c r="C625" s="3"/>
      <c r="D625" s="3"/>
      <c r="E625" s="5"/>
      <c r="F625" s="3"/>
      <c r="G625" s="3"/>
      <c r="H625" s="5"/>
      <c r="I625" s="5"/>
      <c r="J625" s="5"/>
      <c r="K625" s="5"/>
      <c r="L625" s="6"/>
      <c r="M625" s="6"/>
      <c r="N625" s="7"/>
    </row>
    <row x14ac:dyDescent="0.25" r="626" customHeight="1" ht="18.75">
      <c r="A626" s="10" t="s">
        <v>693</v>
      </c>
      <c r="B626" s="11">
        <v>48</v>
      </c>
      <c r="C626" s="3"/>
      <c r="D626" s="3"/>
      <c r="E626" s="5"/>
      <c r="F626" s="3"/>
      <c r="G626" s="3"/>
      <c r="H626" s="5"/>
      <c r="I626" s="5"/>
      <c r="J626" s="5"/>
      <c r="K626" s="5"/>
      <c r="L626" s="6"/>
      <c r="M626" s="6"/>
      <c r="N626" s="7"/>
    </row>
    <row x14ac:dyDescent="0.25" r="627" customHeight="1" ht="18.75">
      <c r="A627" s="10" t="s">
        <v>694</v>
      </c>
      <c r="B627" s="11">
        <v>48</v>
      </c>
      <c r="C627" s="3"/>
      <c r="D627" s="3"/>
      <c r="E627" s="5"/>
      <c r="F627" s="3"/>
      <c r="G627" s="3"/>
      <c r="H627" s="5"/>
      <c r="I627" s="5"/>
      <c r="J627" s="5"/>
      <c r="K627" s="5"/>
      <c r="L627" s="6"/>
      <c r="M627" s="6"/>
      <c r="N627" s="7"/>
    </row>
    <row x14ac:dyDescent="0.25" r="628" customHeight="1" ht="18.75">
      <c r="A628" s="10" t="s">
        <v>695</v>
      </c>
      <c r="B628" s="11">
        <v>48</v>
      </c>
      <c r="C628" s="3"/>
      <c r="D628" s="3"/>
      <c r="E628" s="5"/>
      <c r="F628" s="3"/>
      <c r="G628" s="3"/>
      <c r="H628" s="5"/>
      <c r="I628" s="5"/>
      <c r="J628" s="5"/>
      <c r="K628" s="5"/>
      <c r="L628" s="6"/>
      <c r="M628" s="6"/>
      <c r="N628" s="7"/>
    </row>
    <row x14ac:dyDescent="0.25" r="629" customHeight="1" ht="18.75">
      <c r="A629" s="10" t="s">
        <v>696</v>
      </c>
      <c r="B629" s="11">
        <v>48</v>
      </c>
      <c r="C629" s="3"/>
      <c r="D629" s="3"/>
      <c r="E629" s="5"/>
      <c r="F629" s="3"/>
      <c r="G629" s="3"/>
      <c r="H629" s="5"/>
      <c r="I629" s="5"/>
      <c r="J629" s="5"/>
      <c r="K629" s="5"/>
      <c r="L629" s="6"/>
      <c r="M629" s="6"/>
      <c r="N629" s="7"/>
    </row>
    <row x14ac:dyDescent="0.25" r="630" customHeight="1" ht="18.75">
      <c r="A630" s="10" t="s">
        <v>697</v>
      </c>
      <c r="B630" s="11">
        <v>48</v>
      </c>
      <c r="C630" s="3"/>
      <c r="D630" s="3"/>
      <c r="E630" s="5"/>
      <c r="F630" s="3"/>
      <c r="G630" s="3"/>
      <c r="H630" s="5"/>
      <c r="I630" s="5"/>
      <c r="J630" s="5"/>
      <c r="K630" s="5"/>
      <c r="L630" s="6"/>
      <c r="M630" s="6"/>
      <c r="N630" s="7"/>
    </row>
    <row x14ac:dyDescent="0.25" r="631" customHeight="1" ht="18.75">
      <c r="A631" s="10" t="s">
        <v>698</v>
      </c>
      <c r="B631" s="11">
        <v>48</v>
      </c>
      <c r="C631" s="3"/>
      <c r="D631" s="3"/>
      <c r="E631" s="5"/>
      <c r="F631" s="3"/>
      <c r="G631" s="3"/>
      <c r="H631" s="5"/>
      <c r="I631" s="5"/>
      <c r="J631" s="5"/>
      <c r="K631" s="5"/>
      <c r="L631" s="6"/>
      <c r="M631" s="6"/>
      <c r="N631" s="7"/>
    </row>
    <row x14ac:dyDescent="0.25" r="632" customHeight="1" ht="18.75">
      <c r="A632" s="10" t="s">
        <v>699</v>
      </c>
      <c r="B632" s="11">
        <v>48</v>
      </c>
      <c r="C632" s="3"/>
      <c r="D632" s="3"/>
      <c r="E632" s="5"/>
      <c r="F632" s="3"/>
      <c r="G632" s="3"/>
      <c r="H632" s="5"/>
      <c r="I632" s="5"/>
      <c r="J632" s="5"/>
      <c r="K632" s="5"/>
      <c r="L632" s="6"/>
      <c r="M632" s="6"/>
      <c r="N632" s="7"/>
    </row>
    <row x14ac:dyDescent="0.25" r="633" customHeight="1" ht="18.75">
      <c r="A633" s="10" t="s">
        <v>700</v>
      </c>
      <c r="B633" s="11">
        <v>48</v>
      </c>
      <c r="C633" s="3"/>
      <c r="D633" s="3"/>
      <c r="E633" s="5"/>
      <c r="F633" s="3"/>
      <c r="G633" s="3"/>
      <c r="H633" s="5"/>
      <c r="I633" s="5"/>
      <c r="J633" s="5"/>
      <c r="K633" s="5"/>
      <c r="L633" s="6"/>
      <c r="M633" s="6"/>
      <c r="N633" s="7"/>
    </row>
    <row x14ac:dyDescent="0.25" r="634" customHeight="1" ht="18.75">
      <c r="A634" s="10" t="s">
        <v>701</v>
      </c>
      <c r="B634" s="11">
        <v>48</v>
      </c>
      <c r="C634" s="3"/>
      <c r="D634" s="3"/>
      <c r="E634" s="5"/>
      <c r="F634" s="3"/>
      <c r="G634" s="3"/>
      <c r="H634" s="5"/>
      <c r="I634" s="5"/>
      <c r="J634" s="5"/>
      <c r="K634" s="5"/>
      <c r="L634" s="6"/>
      <c r="M634" s="6"/>
      <c r="N634" s="7"/>
    </row>
    <row x14ac:dyDescent="0.25" r="635" customHeight="1" ht="18.75">
      <c r="A635" s="10" t="s">
        <v>702</v>
      </c>
      <c r="B635" s="11">
        <v>48</v>
      </c>
      <c r="C635" s="3"/>
      <c r="D635" s="3"/>
      <c r="E635" s="5"/>
      <c r="F635" s="3"/>
      <c r="G635" s="3"/>
      <c r="H635" s="5"/>
      <c r="I635" s="5"/>
      <c r="J635" s="5"/>
      <c r="K635" s="5"/>
      <c r="L635" s="6"/>
      <c r="M635" s="6"/>
      <c r="N635" s="7"/>
    </row>
    <row x14ac:dyDescent="0.25" r="636" customHeight="1" ht="18.75">
      <c r="A636" s="10" t="s">
        <v>703</v>
      </c>
      <c r="B636" s="11">
        <v>48</v>
      </c>
      <c r="C636" s="3"/>
      <c r="D636" s="3"/>
      <c r="E636" s="5"/>
      <c r="F636" s="3"/>
      <c r="G636" s="3"/>
      <c r="H636" s="5"/>
      <c r="I636" s="5"/>
      <c r="J636" s="5"/>
      <c r="K636" s="5"/>
      <c r="L636" s="6"/>
      <c r="M636" s="6"/>
      <c r="N636" s="7"/>
    </row>
    <row x14ac:dyDescent="0.25" r="637" customHeight="1" ht="18.75">
      <c r="A637" s="10" t="s">
        <v>704</v>
      </c>
      <c r="B637" s="11">
        <v>48</v>
      </c>
      <c r="C637" s="3"/>
      <c r="D637" s="3"/>
      <c r="E637" s="5"/>
      <c r="F637" s="3"/>
      <c r="G637" s="3"/>
      <c r="H637" s="5"/>
      <c r="I637" s="5"/>
      <c r="J637" s="5"/>
      <c r="K637" s="5"/>
      <c r="L637" s="6"/>
      <c r="M637" s="6"/>
      <c r="N637" s="7"/>
    </row>
    <row x14ac:dyDescent="0.25" r="638" customHeight="1" ht="18.75">
      <c r="A638" s="10" t="s">
        <v>705</v>
      </c>
      <c r="B638" s="11">
        <v>48</v>
      </c>
      <c r="C638" s="3"/>
      <c r="D638" s="3"/>
      <c r="E638" s="5"/>
      <c r="F638" s="3"/>
      <c r="G638" s="3"/>
      <c r="H638" s="5"/>
      <c r="I638" s="5"/>
      <c r="J638" s="5"/>
      <c r="K638" s="5"/>
      <c r="L638" s="6"/>
      <c r="M638" s="6"/>
      <c r="N638" s="7"/>
    </row>
    <row x14ac:dyDescent="0.25" r="639" customHeight="1" ht="18.75">
      <c r="A639" s="10" t="s">
        <v>706</v>
      </c>
      <c r="B639" s="11">
        <v>48</v>
      </c>
      <c r="C639" s="3"/>
      <c r="D639" s="3"/>
      <c r="E639" s="5"/>
      <c r="F639" s="3"/>
      <c r="G639" s="3"/>
      <c r="H639" s="5"/>
      <c r="I639" s="5"/>
      <c r="J639" s="5"/>
      <c r="K639" s="5"/>
      <c r="L639" s="6"/>
      <c r="M639" s="6"/>
      <c r="N639" s="7"/>
    </row>
    <row x14ac:dyDescent="0.25" r="640" customHeight="1" ht="18.75">
      <c r="A640" s="10" t="s">
        <v>707</v>
      </c>
      <c r="B640" s="11">
        <v>48</v>
      </c>
      <c r="C640" s="3"/>
      <c r="D640" s="3"/>
      <c r="E640" s="5"/>
      <c r="F640" s="3"/>
      <c r="G640" s="3"/>
      <c r="H640" s="5"/>
      <c r="I640" s="5"/>
      <c r="J640" s="5"/>
      <c r="K640" s="5"/>
      <c r="L640" s="6"/>
      <c r="M640" s="6"/>
      <c r="N640" s="7"/>
    </row>
    <row x14ac:dyDescent="0.25" r="641" customHeight="1" ht="18.75">
      <c r="A641" s="10" t="s">
        <v>708</v>
      </c>
      <c r="B641" s="11">
        <v>48</v>
      </c>
      <c r="C641" s="3"/>
      <c r="D641" s="3"/>
      <c r="E641" s="5"/>
      <c r="F641" s="3"/>
      <c r="G641" s="3"/>
      <c r="H641" s="5"/>
      <c r="I641" s="5"/>
      <c r="J641" s="5"/>
      <c r="K641" s="5"/>
      <c r="L641" s="6"/>
      <c r="M641" s="6"/>
      <c r="N641" s="7"/>
    </row>
    <row x14ac:dyDescent="0.25" r="642" customHeight="1" ht="18.75">
      <c r="A642" s="10" t="s">
        <v>709</v>
      </c>
      <c r="B642" s="11">
        <v>48</v>
      </c>
      <c r="C642" s="3"/>
      <c r="D642" s="3"/>
      <c r="E642" s="5"/>
      <c r="F642" s="3"/>
      <c r="G642" s="3"/>
      <c r="H642" s="5"/>
      <c r="I642" s="5"/>
      <c r="J642" s="5"/>
      <c r="K642" s="5"/>
      <c r="L642" s="6"/>
      <c r="M642" s="6"/>
      <c r="N642" s="7"/>
    </row>
    <row x14ac:dyDescent="0.25" r="643" customHeight="1" ht="18.75">
      <c r="A643" s="10" t="s">
        <v>710</v>
      </c>
      <c r="B643" s="11">
        <v>48</v>
      </c>
      <c r="C643" s="3"/>
      <c r="D643" s="3"/>
      <c r="E643" s="5"/>
      <c r="F643" s="3"/>
      <c r="G643" s="3"/>
      <c r="H643" s="5"/>
      <c r="I643" s="5"/>
      <c r="J643" s="5"/>
      <c r="K643" s="5"/>
      <c r="L643" s="6"/>
      <c r="M643" s="6"/>
      <c r="N643" s="7"/>
    </row>
    <row x14ac:dyDescent="0.25" r="644" customHeight="1" ht="18.75">
      <c r="A644" s="10" t="s">
        <v>711</v>
      </c>
      <c r="B644" s="11">
        <v>48</v>
      </c>
      <c r="C644" s="3"/>
      <c r="D644" s="3"/>
      <c r="E644" s="5"/>
      <c r="F644" s="3"/>
      <c r="G644" s="3"/>
      <c r="H644" s="5"/>
      <c r="I644" s="5"/>
      <c r="J644" s="5"/>
      <c r="K644" s="5"/>
      <c r="L644" s="6"/>
      <c r="M644" s="6"/>
      <c r="N644" s="7"/>
    </row>
    <row x14ac:dyDescent="0.25" r="645" customHeight="1" ht="18.75">
      <c r="A645" s="10" t="s">
        <v>712</v>
      </c>
      <c r="B645" s="11">
        <v>48</v>
      </c>
      <c r="C645" s="3"/>
      <c r="D645" s="3"/>
      <c r="E645" s="5"/>
      <c r="F645" s="3"/>
      <c r="G645" s="3"/>
      <c r="H645" s="5"/>
      <c r="I645" s="5"/>
      <c r="J645" s="5"/>
      <c r="K645" s="5"/>
      <c r="L645" s="6"/>
      <c r="M645" s="6"/>
      <c r="N645" s="7"/>
    </row>
    <row x14ac:dyDescent="0.25" r="646" customHeight="1" ht="18.75">
      <c r="A646" s="10" t="s">
        <v>713</v>
      </c>
      <c r="B646" s="11">
        <v>48</v>
      </c>
      <c r="C646" s="3"/>
      <c r="D646" s="3"/>
      <c r="E646" s="5"/>
      <c r="F646" s="3"/>
      <c r="G646" s="3"/>
      <c r="H646" s="5"/>
      <c r="I646" s="5"/>
      <c r="J646" s="5"/>
      <c r="K646" s="5"/>
      <c r="L646" s="6"/>
      <c r="M646" s="6"/>
      <c r="N646" s="7"/>
    </row>
    <row x14ac:dyDescent="0.25" r="647" customHeight="1" ht="18.75">
      <c r="A647" s="10" t="s">
        <v>714</v>
      </c>
      <c r="B647" s="11">
        <v>48</v>
      </c>
      <c r="C647" s="3"/>
      <c r="D647" s="3"/>
      <c r="E647" s="5"/>
      <c r="F647" s="3"/>
      <c r="G647" s="3"/>
      <c r="H647" s="5"/>
      <c r="I647" s="5"/>
      <c r="J647" s="5"/>
      <c r="K647" s="5"/>
      <c r="L647" s="6"/>
      <c r="M647" s="6"/>
      <c r="N647" s="7"/>
    </row>
    <row x14ac:dyDescent="0.25" r="648" customHeight="1" ht="18.75">
      <c r="A648" s="10" t="s">
        <v>715</v>
      </c>
      <c r="B648" s="11">
        <v>49</v>
      </c>
      <c r="C648" s="3"/>
      <c r="D648" s="3"/>
      <c r="E648" s="5"/>
      <c r="F648" s="3"/>
      <c r="G648" s="3"/>
      <c r="H648" s="5"/>
      <c r="I648" s="5"/>
      <c r="J648" s="5"/>
      <c r="K648" s="5"/>
      <c r="L648" s="6"/>
      <c r="M648" s="6"/>
      <c r="N648" s="7"/>
    </row>
    <row x14ac:dyDescent="0.25" r="649" customHeight="1" ht="18.75">
      <c r="A649" s="10" t="s">
        <v>716</v>
      </c>
      <c r="B649" s="11">
        <v>49</v>
      </c>
      <c r="C649" s="3"/>
      <c r="D649" s="3"/>
      <c r="E649" s="5"/>
      <c r="F649" s="3"/>
      <c r="G649" s="3"/>
      <c r="H649" s="5"/>
      <c r="I649" s="5"/>
      <c r="J649" s="5"/>
      <c r="K649" s="5"/>
      <c r="L649" s="6"/>
      <c r="M649" s="6"/>
      <c r="N649" s="7"/>
    </row>
    <row x14ac:dyDescent="0.25" r="650" customHeight="1" ht="18.75">
      <c r="A650" s="10" t="s">
        <v>717</v>
      </c>
      <c r="B650" s="11">
        <v>49</v>
      </c>
      <c r="C650" s="3"/>
      <c r="D650" s="3"/>
      <c r="E650" s="5"/>
      <c r="F650" s="3"/>
      <c r="G650" s="3"/>
      <c r="H650" s="5"/>
      <c r="I650" s="5"/>
      <c r="J650" s="5"/>
      <c r="K650" s="5"/>
      <c r="L650" s="6"/>
      <c r="M650" s="6"/>
      <c r="N650" s="7"/>
    </row>
    <row x14ac:dyDescent="0.25" r="651" customHeight="1" ht="18.75">
      <c r="A651" s="10" t="s">
        <v>718</v>
      </c>
      <c r="B651" s="11">
        <v>49</v>
      </c>
      <c r="C651" s="3"/>
      <c r="D651" s="3"/>
      <c r="E651" s="5"/>
      <c r="F651" s="3"/>
      <c r="G651" s="3"/>
      <c r="H651" s="5"/>
      <c r="I651" s="5"/>
      <c r="J651" s="5"/>
      <c r="K651" s="5"/>
      <c r="L651" s="6"/>
      <c r="M651" s="6"/>
      <c r="N651" s="7"/>
    </row>
    <row x14ac:dyDescent="0.25" r="652" customHeight="1" ht="18.75">
      <c r="A652" s="10" t="s">
        <v>719</v>
      </c>
      <c r="B652" s="11">
        <v>49</v>
      </c>
      <c r="C652" s="3"/>
      <c r="D652" s="3"/>
      <c r="E652" s="5"/>
      <c r="F652" s="3"/>
      <c r="G652" s="3"/>
      <c r="H652" s="5"/>
      <c r="I652" s="5"/>
      <c r="J652" s="5"/>
      <c r="K652" s="5"/>
      <c r="L652" s="6"/>
      <c r="M652" s="6"/>
      <c r="N652" s="7"/>
    </row>
    <row x14ac:dyDescent="0.25" r="653" customHeight="1" ht="18.75">
      <c r="A653" s="10" t="s">
        <v>720</v>
      </c>
      <c r="B653" s="11">
        <v>49</v>
      </c>
      <c r="C653" s="3"/>
      <c r="D653" s="3"/>
      <c r="E653" s="5"/>
      <c r="F653" s="3"/>
      <c r="G653" s="3"/>
      <c r="H653" s="5"/>
      <c r="I653" s="5"/>
      <c r="J653" s="5"/>
      <c r="K653" s="5"/>
      <c r="L653" s="6"/>
      <c r="M653" s="6"/>
      <c r="N653" s="7"/>
    </row>
    <row x14ac:dyDescent="0.25" r="654" customHeight="1" ht="18.75">
      <c r="A654" s="10" t="s">
        <v>721</v>
      </c>
      <c r="B654" s="11">
        <v>49</v>
      </c>
      <c r="C654" s="3"/>
      <c r="D654" s="3"/>
      <c r="E654" s="5"/>
      <c r="F654" s="3"/>
      <c r="G654" s="3"/>
      <c r="H654" s="5"/>
      <c r="I654" s="5"/>
      <c r="J654" s="5"/>
      <c r="K654" s="5"/>
      <c r="L654" s="6"/>
      <c r="M654" s="6"/>
      <c r="N654" s="7"/>
    </row>
    <row x14ac:dyDescent="0.25" r="655" customHeight="1" ht="18.75">
      <c r="A655" s="10" t="s">
        <v>722</v>
      </c>
      <c r="B655" s="11">
        <v>49</v>
      </c>
      <c r="C655" s="3"/>
      <c r="D655" s="3"/>
      <c r="E655" s="5"/>
      <c r="F655" s="3"/>
      <c r="G655" s="3"/>
      <c r="H655" s="5"/>
      <c r="I655" s="5"/>
      <c r="J655" s="5"/>
      <c r="K655" s="5"/>
      <c r="L655" s="6"/>
      <c r="M655" s="6"/>
      <c r="N655" s="7"/>
    </row>
    <row x14ac:dyDescent="0.25" r="656" customHeight="1" ht="18.75">
      <c r="A656" s="10" t="s">
        <v>723</v>
      </c>
      <c r="B656" s="11">
        <v>49</v>
      </c>
      <c r="C656" s="3"/>
      <c r="D656" s="3"/>
      <c r="E656" s="5"/>
      <c r="F656" s="3"/>
      <c r="G656" s="3"/>
      <c r="H656" s="5"/>
      <c r="I656" s="5"/>
      <c r="J656" s="5"/>
      <c r="K656" s="5"/>
      <c r="L656" s="6"/>
      <c r="M656" s="6"/>
      <c r="N656" s="7"/>
    </row>
    <row x14ac:dyDescent="0.25" r="657" customHeight="1" ht="18.75">
      <c r="A657" s="10" t="s">
        <v>724</v>
      </c>
      <c r="B657" s="11">
        <v>49</v>
      </c>
      <c r="C657" s="3"/>
      <c r="D657" s="3"/>
      <c r="E657" s="5"/>
      <c r="F657" s="3"/>
      <c r="G657" s="3"/>
      <c r="H657" s="5"/>
      <c r="I657" s="5"/>
      <c r="J657" s="5"/>
      <c r="K657" s="5"/>
      <c r="L657" s="6"/>
      <c r="M657" s="6"/>
      <c r="N657" s="7"/>
    </row>
    <row x14ac:dyDescent="0.25" r="658" customHeight="1" ht="18.75">
      <c r="A658" s="10" t="s">
        <v>725</v>
      </c>
      <c r="B658" s="11">
        <v>49</v>
      </c>
      <c r="C658" s="3"/>
      <c r="D658" s="3"/>
      <c r="E658" s="5"/>
      <c r="F658" s="3"/>
      <c r="G658" s="3"/>
      <c r="H658" s="5"/>
      <c r="I658" s="5"/>
      <c r="J658" s="5"/>
      <c r="K658" s="5"/>
      <c r="L658" s="6"/>
      <c r="M658" s="6"/>
      <c r="N658" s="7"/>
    </row>
    <row x14ac:dyDescent="0.25" r="659" customHeight="1" ht="18.75">
      <c r="A659" s="10" t="s">
        <v>726</v>
      </c>
      <c r="B659" s="11">
        <v>49</v>
      </c>
      <c r="C659" s="3"/>
      <c r="D659" s="3"/>
      <c r="E659" s="5"/>
      <c r="F659" s="3"/>
      <c r="G659" s="3"/>
      <c r="H659" s="5"/>
      <c r="I659" s="5"/>
      <c r="J659" s="5"/>
      <c r="K659" s="5"/>
      <c r="L659" s="6"/>
      <c r="M659" s="6"/>
      <c r="N659" s="7"/>
    </row>
    <row x14ac:dyDescent="0.25" r="660" customHeight="1" ht="18.75">
      <c r="A660" s="10" t="s">
        <v>727</v>
      </c>
      <c r="B660" s="11">
        <v>49</v>
      </c>
      <c r="C660" s="3"/>
      <c r="D660" s="3"/>
      <c r="E660" s="5"/>
      <c r="F660" s="3"/>
      <c r="G660" s="3"/>
      <c r="H660" s="5"/>
      <c r="I660" s="5"/>
      <c r="J660" s="5"/>
      <c r="K660" s="5"/>
      <c r="L660" s="6"/>
      <c r="M660" s="6"/>
      <c r="N660" s="7"/>
    </row>
    <row x14ac:dyDescent="0.25" r="661" customHeight="1" ht="18.75">
      <c r="A661" s="10" t="s">
        <v>728</v>
      </c>
      <c r="B661" s="11">
        <v>49</v>
      </c>
      <c r="C661" s="3"/>
      <c r="D661" s="3"/>
      <c r="E661" s="5"/>
      <c r="F661" s="3"/>
      <c r="G661" s="3"/>
      <c r="H661" s="5"/>
      <c r="I661" s="5"/>
      <c r="J661" s="5"/>
      <c r="K661" s="5"/>
      <c r="L661" s="6"/>
      <c r="M661" s="6"/>
      <c r="N661" s="7"/>
    </row>
    <row x14ac:dyDescent="0.25" r="662" customHeight="1" ht="18.75">
      <c r="A662" s="10" t="s">
        <v>729</v>
      </c>
      <c r="B662" s="11">
        <v>49</v>
      </c>
      <c r="C662" s="3"/>
      <c r="D662" s="3"/>
      <c r="E662" s="5"/>
      <c r="F662" s="3"/>
      <c r="G662" s="3"/>
      <c r="H662" s="5"/>
      <c r="I662" s="5"/>
      <c r="J662" s="5"/>
      <c r="K662" s="5"/>
      <c r="L662" s="6"/>
      <c r="M662" s="6"/>
      <c r="N662" s="7"/>
    </row>
    <row x14ac:dyDescent="0.25" r="663" customHeight="1" ht="18.75">
      <c r="A663" s="10" t="s">
        <v>730</v>
      </c>
      <c r="B663" s="11">
        <v>49</v>
      </c>
      <c r="C663" s="3"/>
      <c r="D663" s="3"/>
      <c r="E663" s="5"/>
      <c r="F663" s="3"/>
      <c r="G663" s="3"/>
      <c r="H663" s="5"/>
      <c r="I663" s="5"/>
      <c r="J663" s="5"/>
      <c r="K663" s="5"/>
      <c r="L663" s="6"/>
      <c r="M663" s="6"/>
      <c r="N663" s="7"/>
    </row>
    <row x14ac:dyDescent="0.25" r="664" customHeight="1" ht="18.75">
      <c r="A664" s="10" t="s">
        <v>731</v>
      </c>
      <c r="B664" s="11">
        <v>49</v>
      </c>
      <c r="C664" s="3"/>
      <c r="D664" s="3"/>
      <c r="E664" s="5"/>
      <c r="F664" s="3"/>
      <c r="G664" s="3"/>
      <c r="H664" s="5"/>
      <c r="I664" s="5"/>
      <c r="J664" s="5"/>
      <c r="K664" s="5"/>
      <c r="L664" s="6"/>
      <c r="M664" s="6"/>
      <c r="N664" s="7"/>
    </row>
    <row x14ac:dyDescent="0.25" r="665" customHeight="1" ht="18.75">
      <c r="A665" s="10" t="s">
        <v>732</v>
      </c>
      <c r="B665" s="11">
        <v>49</v>
      </c>
      <c r="C665" s="3"/>
      <c r="D665" s="3"/>
      <c r="E665" s="5"/>
      <c r="F665" s="3"/>
      <c r="G665" s="3"/>
      <c r="H665" s="5"/>
      <c r="I665" s="5"/>
      <c r="J665" s="5"/>
      <c r="K665" s="5"/>
      <c r="L665" s="6"/>
      <c r="M665" s="6"/>
      <c r="N665" s="7"/>
    </row>
    <row x14ac:dyDescent="0.25" r="666" customHeight="1" ht="18.75">
      <c r="A666" s="10" t="s">
        <v>733</v>
      </c>
      <c r="B666" s="11">
        <v>49</v>
      </c>
      <c r="C666" s="3"/>
      <c r="D666" s="3"/>
      <c r="E666" s="5"/>
      <c r="F666" s="3"/>
      <c r="G666" s="3"/>
      <c r="H666" s="5"/>
      <c r="I666" s="5"/>
      <c r="J666" s="5"/>
      <c r="K666" s="5"/>
      <c r="L666" s="6"/>
      <c r="M666" s="6"/>
      <c r="N666" s="7"/>
    </row>
    <row x14ac:dyDescent="0.25" r="667" customHeight="1" ht="18.75">
      <c r="A667" s="10" t="s">
        <v>734</v>
      </c>
      <c r="B667" s="11">
        <v>49</v>
      </c>
      <c r="C667" s="3"/>
      <c r="D667" s="3"/>
      <c r="E667" s="5"/>
      <c r="F667" s="3"/>
      <c r="G667" s="3"/>
      <c r="H667" s="5"/>
      <c r="I667" s="5"/>
      <c r="J667" s="5"/>
      <c r="K667" s="5"/>
      <c r="L667" s="6"/>
      <c r="M667" s="6"/>
      <c r="N667" s="7"/>
    </row>
    <row x14ac:dyDescent="0.25" r="668" customHeight="1" ht="18.75">
      <c r="A668" s="10" t="s">
        <v>735</v>
      </c>
      <c r="B668" s="11">
        <v>50</v>
      </c>
      <c r="C668" s="3"/>
      <c r="D668" s="3"/>
      <c r="E668" s="5"/>
      <c r="F668" s="3"/>
      <c r="G668" s="3"/>
      <c r="H668" s="5"/>
      <c r="I668" s="5"/>
      <c r="J668" s="5"/>
      <c r="K668" s="5"/>
      <c r="L668" s="6"/>
      <c r="M668" s="6"/>
      <c r="N668" s="7"/>
    </row>
    <row x14ac:dyDescent="0.25" r="669" customHeight="1" ht="18.75">
      <c r="A669" s="10" t="s">
        <v>736</v>
      </c>
      <c r="B669" s="11">
        <v>50</v>
      </c>
      <c r="C669" s="3"/>
      <c r="D669" s="3"/>
      <c r="E669" s="5"/>
      <c r="F669" s="3"/>
      <c r="G669" s="3"/>
      <c r="H669" s="5"/>
      <c r="I669" s="5"/>
      <c r="J669" s="5"/>
      <c r="K669" s="5"/>
      <c r="L669" s="6"/>
      <c r="M669" s="6"/>
      <c r="N669" s="7"/>
    </row>
    <row x14ac:dyDescent="0.25" r="670" customHeight="1" ht="18.75">
      <c r="A670" s="10" t="s">
        <v>737</v>
      </c>
      <c r="B670" s="11">
        <v>50</v>
      </c>
      <c r="C670" s="3"/>
      <c r="D670" s="3"/>
      <c r="E670" s="5"/>
      <c r="F670" s="3"/>
      <c r="G670" s="3"/>
      <c r="H670" s="5"/>
      <c r="I670" s="5"/>
      <c r="J670" s="5"/>
      <c r="K670" s="5"/>
      <c r="L670" s="6"/>
      <c r="M670" s="6"/>
      <c r="N670" s="7"/>
    </row>
    <row x14ac:dyDescent="0.25" r="671" customHeight="1" ht="18.75">
      <c r="A671" s="10" t="s">
        <v>738</v>
      </c>
      <c r="B671" s="11">
        <v>50</v>
      </c>
      <c r="C671" s="3"/>
      <c r="D671" s="3"/>
      <c r="E671" s="5"/>
      <c r="F671" s="3"/>
      <c r="G671" s="3"/>
      <c r="H671" s="5"/>
      <c r="I671" s="5"/>
      <c r="J671" s="5"/>
      <c r="K671" s="5"/>
      <c r="L671" s="6"/>
      <c r="M671" s="6"/>
      <c r="N671" s="7"/>
    </row>
    <row x14ac:dyDescent="0.25" r="672" customHeight="1" ht="18.75">
      <c r="A672" s="10" t="s">
        <v>739</v>
      </c>
      <c r="B672" s="11">
        <v>50</v>
      </c>
      <c r="C672" s="3"/>
      <c r="D672" s="3"/>
      <c r="E672" s="5"/>
      <c r="F672" s="3"/>
      <c r="G672" s="3"/>
      <c r="H672" s="5"/>
      <c r="I672" s="5"/>
      <c r="J672" s="5"/>
      <c r="K672" s="5"/>
      <c r="L672" s="6"/>
      <c r="M672" s="6"/>
      <c r="N672" s="7"/>
    </row>
    <row x14ac:dyDescent="0.25" r="673" customHeight="1" ht="18.75">
      <c r="A673" s="10" t="s">
        <v>740</v>
      </c>
      <c r="B673" s="11">
        <v>50</v>
      </c>
      <c r="C673" s="3"/>
      <c r="D673" s="3"/>
      <c r="E673" s="5"/>
      <c r="F673" s="3"/>
      <c r="G673" s="3"/>
      <c r="H673" s="5"/>
      <c r="I673" s="5"/>
      <c r="J673" s="5"/>
      <c r="K673" s="5"/>
      <c r="L673" s="6"/>
      <c r="M673" s="6"/>
      <c r="N673" s="7"/>
    </row>
    <row x14ac:dyDescent="0.25" r="674" customHeight="1" ht="18.75">
      <c r="A674" s="10" t="s">
        <v>741</v>
      </c>
      <c r="B674" s="11">
        <v>50</v>
      </c>
      <c r="C674" s="3"/>
      <c r="D674" s="3"/>
      <c r="E674" s="5"/>
      <c r="F674" s="3"/>
      <c r="G674" s="3"/>
      <c r="H674" s="5"/>
      <c r="I674" s="5"/>
      <c r="J674" s="5"/>
      <c r="K674" s="5"/>
      <c r="L674" s="6"/>
      <c r="M674" s="6"/>
      <c r="N674" s="7"/>
    </row>
    <row x14ac:dyDescent="0.25" r="675" customHeight="1" ht="18.75">
      <c r="A675" s="10" t="s">
        <v>742</v>
      </c>
      <c r="B675" s="11">
        <v>50</v>
      </c>
      <c r="C675" s="3"/>
      <c r="D675" s="3"/>
      <c r="E675" s="5"/>
      <c r="F675" s="3"/>
      <c r="G675" s="3"/>
      <c r="H675" s="5"/>
      <c r="I675" s="5"/>
      <c r="J675" s="5"/>
      <c r="K675" s="5"/>
      <c r="L675" s="6"/>
      <c r="M675" s="6"/>
      <c r="N675" s="7"/>
    </row>
    <row x14ac:dyDescent="0.25" r="676" customHeight="1" ht="18.75">
      <c r="A676" s="10" t="s">
        <v>743</v>
      </c>
      <c r="B676" s="11">
        <v>50</v>
      </c>
      <c r="C676" s="3"/>
      <c r="D676" s="3"/>
      <c r="E676" s="5"/>
      <c r="F676" s="3"/>
      <c r="G676" s="3"/>
      <c r="H676" s="5"/>
      <c r="I676" s="5"/>
      <c r="J676" s="5"/>
      <c r="K676" s="5"/>
      <c r="L676" s="6"/>
      <c r="M676" s="6"/>
      <c r="N676" s="7"/>
    </row>
    <row x14ac:dyDescent="0.25" r="677" customHeight="1" ht="18.75">
      <c r="A677" s="10" t="s">
        <v>744</v>
      </c>
      <c r="B677" s="11">
        <v>50</v>
      </c>
      <c r="C677" s="3"/>
      <c r="D677" s="3"/>
      <c r="E677" s="5"/>
      <c r="F677" s="3"/>
      <c r="G677" s="3"/>
      <c r="H677" s="5"/>
      <c r="I677" s="5"/>
      <c r="J677" s="5"/>
      <c r="K677" s="5"/>
      <c r="L677" s="6"/>
      <c r="M677" s="6"/>
      <c r="N677" s="7"/>
    </row>
    <row x14ac:dyDescent="0.25" r="678" customHeight="1" ht="18.75">
      <c r="A678" s="10" t="s">
        <v>745</v>
      </c>
      <c r="B678" s="11">
        <v>50</v>
      </c>
      <c r="C678" s="3"/>
      <c r="D678" s="3"/>
      <c r="E678" s="5"/>
      <c r="F678" s="3"/>
      <c r="G678" s="3"/>
      <c r="H678" s="5"/>
      <c r="I678" s="5"/>
      <c r="J678" s="5"/>
      <c r="K678" s="5"/>
      <c r="L678" s="6"/>
      <c r="M678" s="6"/>
      <c r="N678" s="7"/>
    </row>
    <row x14ac:dyDescent="0.25" r="679" customHeight="1" ht="18.75">
      <c r="A679" s="10" t="s">
        <v>746</v>
      </c>
      <c r="B679" s="11">
        <v>50</v>
      </c>
      <c r="C679" s="3"/>
      <c r="D679" s="3"/>
      <c r="E679" s="5"/>
      <c r="F679" s="3"/>
      <c r="G679" s="3"/>
      <c r="H679" s="5"/>
      <c r="I679" s="5"/>
      <c r="J679" s="5"/>
      <c r="K679" s="5"/>
      <c r="L679" s="6"/>
      <c r="M679" s="6"/>
      <c r="N679" s="7"/>
    </row>
    <row x14ac:dyDescent="0.25" r="680" customHeight="1" ht="18.75">
      <c r="A680" s="10" t="s">
        <v>747</v>
      </c>
      <c r="B680" s="11">
        <v>50</v>
      </c>
      <c r="C680" s="3"/>
      <c r="D680" s="3"/>
      <c r="E680" s="5"/>
      <c r="F680" s="3"/>
      <c r="G680" s="3"/>
      <c r="H680" s="5"/>
      <c r="I680" s="5"/>
      <c r="J680" s="5"/>
      <c r="K680" s="5"/>
      <c r="L680" s="6"/>
      <c r="M680" s="6"/>
      <c r="N680" s="7"/>
    </row>
    <row x14ac:dyDescent="0.25" r="681" customHeight="1" ht="18.75">
      <c r="A681" s="10" t="s">
        <v>748</v>
      </c>
      <c r="B681" s="11">
        <v>50</v>
      </c>
      <c r="C681" s="3"/>
      <c r="D681" s="3"/>
      <c r="E681" s="5"/>
      <c r="F681" s="3"/>
      <c r="G681" s="3"/>
      <c r="H681" s="5"/>
      <c r="I681" s="5"/>
      <c r="J681" s="5"/>
      <c r="K681" s="5"/>
      <c r="L681" s="6"/>
      <c r="M681" s="6"/>
      <c r="N681" s="7"/>
    </row>
    <row x14ac:dyDescent="0.25" r="682" customHeight="1" ht="18.75">
      <c r="A682" s="10" t="s">
        <v>749</v>
      </c>
      <c r="B682" s="11">
        <v>50</v>
      </c>
      <c r="C682" s="3"/>
      <c r="D682" s="3"/>
      <c r="E682" s="5"/>
      <c r="F682" s="3"/>
      <c r="G682" s="3"/>
      <c r="H682" s="5"/>
      <c r="I682" s="5"/>
      <c r="J682" s="5"/>
      <c r="K682" s="5"/>
      <c r="L682" s="6"/>
      <c r="M682" s="6"/>
      <c r="N682" s="7"/>
    </row>
    <row x14ac:dyDescent="0.25" r="683" customHeight="1" ht="18.75">
      <c r="A683" s="10" t="s">
        <v>750</v>
      </c>
      <c r="B683" s="11">
        <v>50</v>
      </c>
      <c r="C683" s="3"/>
      <c r="D683" s="3"/>
      <c r="E683" s="5"/>
      <c r="F683" s="3"/>
      <c r="G683" s="3"/>
      <c r="H683" s="5"/>
      <c r="I683" s="5"/>
      <c r="J683" s="5"/>
      <c r="K683" s="5"/>
      <c r="L683" s="6"/>
      <c r="M683" s="6"/>
      <c r="N683" s="7"/>
    </row>
    <row x14ac:dyDescent="0.25" r="684" customHeight="1" ht="18.75">
      <c r="A684" s="10" t="s">
        <v>751</v>
      </c>
      <c r="B684" s="11">
        <v>50</v>
      </c>
      <c r="C684" s="3"/>
      <c r="D684" s="3"/>
      <c r="E684" s="5"/>
      <c r="F684" s="3"/>
      <c r="G684" s="3"/>
      <c r="H684" s="5"/>
      <c r="I684" s="5"/>
      <c r="J684" s="5"/>
      <c r="K684" s="5"/>
      <c r="L684" s="6"/>
      <c r="M684" s="6"/>
      <c r="N684" s="7"/>
    </row>
    <row x14ac:dyDescent="0.25" r="685" customHeight="1" ht="18.75">
      <c r="A685" s="10" t="s">
        <v>752</v>
      </c>
      <c r="B685" s="11">
        <v>50</v>
      </c>
      <c r="C685" s="3"/>
      <c r="D685" s="3"/>
      <c r="E685" s="5"/>
      <c r="F685" s="3"/>
      <c r="G685" s="3"/>
      <c r="H685" s="5"/>
      <c r="I685" s="5"/>
      <c r="J685" s="5"/>
      <c r="K685" s="5"/>
      <c r="L685" s="6"/>
      <c r="M685" s="6"/>
      <c r="N685" s="7"/>
    </row>
    <row x14ac:dyDescent="0.25" r="686" customHeight="1" ht="18.75">
      <c r="A686" s="10" t="s">
        <v>753</v>
      </c>
      <c r="B686" s="11">
        <v>50</v>
      </c>
      <c r="C686" s="3"/>
      <c r="D686" s="3"/>
      <c r="E686" s="5"/>
      <c r="F686" s="3"/>
      <c r="G686" s="3"/>
      <c r="H686" s="5"/>
      <c r="I686" s="5"/>
      <c r="J686" s="5"/>
      <c r="K686" s="5"/>
      <c r="L686" s="6"/>
      <c r="M686" s="6"/>
      <c r="N686" s="7"/>
    </row>
    <row x14ac:dyDescent="0.25" r="687" customHeight="1" ht="18.75">
      <c r="A687" s="10" t="s">
        <v>754</v>
      </c>
      <c r="B687" s="11">
        <v>50</v>
      </c>
      <c r="C687" s="3"/>
      <c r="D687" s="3"/>
      <c r="E687" s="5"/>
      <c r="F687" s="3"/>
      <c r="G687" s="3"/>
      <c r="H687" s="5"/>
      <c r="I687" s="5"/>
      <c r="J687" s="5"/>
      <c r="K687" s="5"/>
      <c r="L687" s="6"/>
      <c r="M687" s="6"/>
      <c r="N687" s="7"/>
    </row>
    <row x14ac:dyDescent="0.25" r="688" customHeight="1" ht="18.75">
      <c r="A688" s="10" t="s">
        <v>755</v>
      </c>
      <c r="B688" s="11">
        <v>51</v>
      </c>
      <c r="C688" s="3"/>
      <c r="D688" s="3"/>
      <c r="E688" s="5"/>
      <c r="F688" s="3"/>
      <c r="G688" s="3"/>
      <c r="H688" s="5"/>
      <c r="I688" s="5"/>
      <c r="J688" s="5"/>
      <c r="K688" s="5"/>
      <c r="L688" s="6"/>
      <c r="M688" s="6"/>
      <c r="N688" s="7"/>
    </row>
    <row x14ac:dyDescent="0.25" r="689" customHeight="1" ht="18.75">
      <c r="A689" s="10" t="s">
        <v>756</v>
      </c>
      <c r="B689" s="11">
        <v>51</v>
      </c>
      <c r="C689" s="3"/>
      <c r="D689" s="3"/>
      <c r="E689" s="5"/>
      <c r="F689" s="3"/>
      <c r="G689" s="3"/>
      <c r="H689" s="5"/>
      <c r="I689" s="5"/>
      <c r="J689" s="5"/>
      <c r="K689" s="5"/>
      <c r="L689" s="6"/>
      <c r="M689" s="6"/>
      <c r="N689" s="7"/>
    </row>
    <row x14ac:dyDescent="0.25" r="690" customHeight="1" ht="18.75">
      <c r="A690" s="10" t="s">
        <v>757</v>
      </c>
      <c r="B690" s="11">
        <v>51</v>
      </c>
      <c r="C690" s="3"/>
      <c r="D690" s="3"/>
      <c r="E690" s="5"/>
      <c r="F690" s="3"/>
      <c r="G690" s="3"/>
      <c r="H690" s="5"/>
      <c r="I690" s="5"/>
      <c r="J690" s="5"/>
      <c r="K690" s="5"/>
      <c r="L690" s="6"/>
      <c r="M690" s="6"/>
      <c r="N690" s="7"/>
    </row>
    <row x14ac:dyDescent="0.25" r="691" customHeight="1" ht="18.75">
      <c r="A691" s="10" t="s">
        <v>758</v>
      </c>
      <c r="B691" s="11">
        <v>51</v>
      </c>
      <c r="C691" s="3"/>
      <c r="D691" s="3"/>
      <c r="E691" s="5"/>
      <c r="F691" s="3"/>
      <c r="G691" s="3"/>
      <c r="H691" s="5"/>
      <c r="I691" s="5"/>
      <c r="J691" s="5"/>
      <c r="K691" s="5"/>
      <c r="L691" s="6"/>
      <c r="M691" s="6"/>
      <c r="N691" s="7"/>
    </row>
    <row x14ac:dyDescent="0.25" r="692" customHeight="1" ht="18.75">
      <c r="A692" s="10" t="s">
        <v>759</v>
      </c>
      <c r="B692" s="11">
        <v>51</v>
      </c>
      <c r="C692" s="3"/>
      <c r="D692" s="3"/>
      <c r="E692" s="5"/>
      <c r="F692" s="3"/>
      <c r="G692" s="3"/>
      <c r="H692" s="5"/>
      <c r="I692" s="5"/>
      <c r="J692" s="5"/>
      <c r="K692" s="5"/>
      <c r="L692" s="6"/>
      <c r="M692" s="6"/>
      <c r="N692" s="7"/>
    </row>
    <row x14ac:dyDescent="0.25" r="693" customHeight="1" ht="18.75">
      <c r="A693" s="10" t="s">
        <v>760</v>
      </c>
      <c r="B693" s="11">
        <v>51</v>
      </c>
      <c r="C693" s="3"/>
      <c r="D693" s="3"/>
      <c r="E693" s="5"/>
      <c r="F693" s="3"/>
      <c r="G693" s="3"/>
      <c r="H693" s="5"/>
      <c r="I693" s="5"/>
      <c r="J693" s="5"/>
      <c r="K693" s="5"/>
      <c r="L693" s="6"/>
      <c r="M693" s="6"/>
      <c r="N693" s="7"/>
    </row>
    <row x14ac:dyDescent="0.25" r="694" customHeight="1" ht="18.75">
      <c r="A694" s="10" t="s">
        <v>761</v>
      </c>
      <c r="B694" s="11">
        <v>51</v>
      </c>
      <c r="C694" s="3"/>
      <c r="D694" s="3"/>
      <c r="E694" s="5"/>
      <c r="F694" s="3"/>
      <c r="G694" s="3"/>
      <c r="H694" s="5"/>
      <c r="I694" s="5"/>
      <c r="J694" s="5"/>
      <c r="K694" s="5"/>
      <c r="L694" s="6"/>
      <c r="M694" s="6"/>
      <c r="N694" s="7"/>
    </row>
    <row x14ac:dyDescent="0.25" r="695" customHeight="1" ht="18.75">
      <c r="A695" s="10" t="s">
        <v>762</v>
      </c>
      <c r="B695" s="11">
        <v>51</v>
      </c>
      <c r="C695" s="3"/>
      <c r="D695" s="3"/>
      <c r="E695" s="5"/>
      <c r="F695" s="3"/>
      <c r="G695" s="3"/>
      <c r="H695" s="5"/>
      <c r="I695" s="5"/>
      <c r="J695" s="5"/>
      <c r="K695" s="5"/>
      <c r="L695" s="6"/>
      <c r="M695" s="6"/>
      <c r="N695" s="7"/>
    </row>
    <row x14ac:dyDescent="0.25" r="696" customHeight="1" ht="18.75">
      <c r="A696" s="10" t="s">
        <v>763</v>
      </c>
      <c r="B696" s="11">
        <v>51</v>
      </c>
      <c r="C696" s="3"/>
      <c r="D696" s="3"/>
      <c r="E696" s="5"/>
      <c r="F696" s="3"/>
      <c r="G696" s="3"/>
      <c r="H696" s="5"/>
      <c r="I696" s="5"/>
      <c r="J696" s="5"/>
      <c r="K696" s="5"/>
      <c r="L696" s="6"/>
      <c r="M696" s="6"/>
      <c r="N696" s="7"/>
    </row>
    <row x14ac:dyDescent="0.25" r="697" customHeight="1" ht="18.75">
      <c r="A697" s="10" t="s">
        <v>764</v>
      </c>
      <c r="B697" s="11">
        <v>51</v>
      </c>
      <c r="C697" s="3"/>
      <c r="D697" s="3"/>
      <c r="E697" s="5"/>
      <c r="F697" s="3"/>
      <c r="G697" s="3"/>
      <c r="H697" s="5"/>
      <c r="I697" s="5"/>
      <c r="J697" s="5"/>
      <c r="K697" s="5"/>
      <c r="L697" s="6"/>
      <c r="M697" s="6"/>
      <c r="N697" s="7"/>
    </row>
    <row x14ac:dyDescent="0.25" r="698" customHeight="1" ht="18.75">
      <c r="A698" s="10" t="s">
        <v>765</v>
      </c>
      <c r="B698" s="11">
        <v>51</v>
      </c>
      <c r="C698" s="3"/>
      <c r="D698" s="3"/>
      <c r="E698" s="5"/>
      <c r="F698" s="3"/>
      <c r="G698" s="3"/>
      <c r="H698" s="5"/>
      <c r="I698" s="5"/>
      <c r="J698" s="5"/>
      <c r="K698" s="5"/>
      <c r="L698" s="6"/>
      <c r="M698" s="6"/>
      <c r="N698" s="7"/>
    </row>
    <row x14ac:dyDescent="0.25" r="699" customHeight="1" ht="18.75">
      <c r="A699" s="10" t="s">
        <v>766</v>
      </c>
      <c r="B699" s="11">
        <v>51</v>
      </c>
      <c r="C699" s="3"/>
      <c r="D699" s="3"/>
      <c r="E699" s="5"/>
      <c r="F699" s="3"/>
      <c r="G699" s="3"/>
      <c r="H699" s="5"/>
      <c r="I699" s="5"/>
      <c r="J699" s="5"/>
      <c r="K699" s="5"/>
      <c r="L699" s="6"/>
      <c r="M699" s="6"/>
      <c r="N699" s="7"/>
    </row>
    <row x14ac:dyDescent="0.25" r="700" customHeight="1" ht="18.75">
      <c r="A700" s="10" t="s">
        <v>767</v>
      </c>
      <c r="B700" s="11">
        <v>51</v>
      </c>
      <c r="C700" s="3"/>
      <c r="D700" s="3"/>
      <c r="E700" s="5"/>
      <c r="F700" s="3"/>
      <c r="G700" s="3"/>
      <c r="H700" s="5"/>
      <c r="I700" s="5"/>
      <c r="J700" s="5"/>
      <c r="K700" s="5"/>
      <c r="L700" s="6"/>
      <c r="M700" s="6"/>
      <c r="N700" s="7"/>
    </row>
    <row x14ac:dyDescent="0.25" r="701" customHeight="1" ht="18.75">
      <c r="A701" s="10" t="s">
        <v>768</v>
      </c>
      <c r="B701" s="11">
        <v>51</v>
      </c>
      <c r="C701" s="3"/>
      <c r="D701" s="3"/>
      <c r="E701" s="5"/>
      <c r="F701" s="3"/>
      <c r="G701" s="3"/>
      <c r="H701" s="5"/>
      <c r="I701" s="5"/>
      <c r="J701" s="5"/>
      <c r="K701" s="5"/>
      <c r="L701" s="6"/>
      <c r="M701" s="6"/>
      <c r="N701" s="7"/>
    </row>
    <row x14ac:dyDescent="0.25" r="702" customHeight="1" ht="18.75">
      <c r="A702" s="10" t="s">
        <v>769</v>
      </c>
      <c r="B702" s="11">
        <v>51</v>
      </c>
      <c r="C702" s="3"/>
      <c r="D702" s="3"/>
      <c r="E702" s="5"/>
      <c r="F702" s="3"/>
      <c r="G702" s="3"/>
      <c r="H702" s="5"/>
      <c r="I702" s="5"/>
      <c r="J702" s="5"/>
      <c r="K702" s="5"/>
      <c r="L702" s="6"/>
      <c r="M702" s="6"/>
      <c r="N702" s="7"/>
    </row>
    <row x14ac:dyDescent="0.25" r="703" customHeight="1" ht="18.75">
      <c r="A703" s="10" t="s">
        <v>770</v>
      </c>
      <c r="B703" s="11">
        <v>51</v>
      </c>
      <c r="C703" s="3"/>
      <c r="D703" s="3"/>
      <c r="E703" s="5"/>
      <c r="F703" s="3"/>
      <c r="G703" s="3"/>
      <c r="H703" s="5"/>
      <c r="I703" s="5"/>
      <c r="J703" s="5"/>
      <c r="K703" s="5"/>
      <c r="L703" s="6"/>
      <c r="M703" s="6"/>
      <c r="N703" s="7"/>
    </row>
    <row x14ac:dyDescent="0.25" r="704" customHeight="1" ht="18.75">
      <c r="A704" s="10" t="s">
        <v>771</v>
      </c>
      <c r="B704" s="11">
        <v>51</v>
      </c>
      <c r="C704" s="3"/>
      <c r="D704" s="3"/>
      <c r="E704" s="5"/>
      <c r="F704" s="3"/>
      <c r="G704" s="3"/>
      <c r="H704" s="5"/>
      <c r="I704" s="5"/>
      <c r="J704" s="5"/>
      <c r="K704" s="5"/>
      <c r="L704" s="6"/>
      <c r="M704" s="6"/>
      <c r="N704" s="7"/>
    </row>
    <row x14ac:dyDescent="0.25" r="705" customHeight="1" ht="18.75">
      <c r="A705" s="10" t="s">
        <v>772</v>
      </c>
      <c r="B705" s="11">
        <v>51</v>
      </c>
      <c r="C705" s="3"/>
      <c r="D705" s="3"/>
      <c r="E705" s="5"/>
      <c r="F705" s="3"/>
      <c r="G705" s="3"/>
      <c r="H705" s="5"/>
      <c r="I705" s="5"/>
      <c r="J705" s="5"/>
      <c r="K705" s="5"/>
      <c r="L705" s="6"/>
      <c r="M705" s="6"/>
      <c r="N705" s="7"/>
    </row>
    <row x14ac:dyDescent="0.25" r="706" customHeight="1" ht="18.75">
      <c r="A706" s="10" t="s">
        <v>773</v>
      </c>
      <c r="B706" s="11">
        <v>51</v>
      </c>
      <c r="C706" s="3"/>
      <c r="D706" s="3"/>
      <c r="E706" s="5"/>
      <c r="F706" s="3"/>
      <c r="G706" s="3"/>
      <c r="H706" s="5"/>
      <c r="I706" s="5"/>
      <c r="J706" s="5"/>
      <c r="K706" s="5"/>
      <c r="L706" s="6"/>
      <c r="M706" s="6"/>
      <c r="N706" s="7"/>
    </row>
    <row x14ac:dyDescent="0.25" r="707" customHeight="1" ht="18.75">
      <c r="A707" s="10" t="s">
        <v>774</v>
      </c>
      <c r="B707" s="11">
        <v>51</v>
      </c>
      <c r="C707" s="3"/>
      <c r="D707" s="3"/>
      <c r="E707" s="5"/>
      <c r="F707" s="3"/>
      <c r="G707" s="3"/>
      <c r="H707" s="5"/>
      <c r="I707" s="5"/>
      <c r="J707" s="5"/>
      <c r="K707" s="5"/>
      <c r="L707" s="6"/>
      <c r="M707" s="6"/>
      <c r="N707" s="7"/>
    </row>
    <row x14ac:dyDescent="0.25" r="708" customHeight="1" ht="18.75">
      <c r="A708" s="10" t="s">
        <v>775</v>
      </c>
      <c r="B708" s="11">
        <v>51</v>
      </c>
      <c r="C708" s="3"/>
      <c r="D708" s="3"/>
      <c r="E708" s="5"/>
      <c r="F708" s="3"/>
      <c r="G708" s="3"/>
      <c r="H708" s="5"/>
      <c r="I708" s="5"/>
      <c r="J708" s="5"/>
      <c r="K708" s="5"/>
      <c r="L708" s="6"/>
      <c r="M708" s="6"/>
      <c r="N708" s="7"/>
    </row>
    <row x14ac:dyDescent="0.25" r="709" customHeight="1" ht="18.75">
      <c r="A709" s="10" t="s">
        <v>776</v>
      </c>
      <c r="B709" s="11">
        <v>51</v>
      </c>
      <c r="C709" s="3"/>
      <c r="D709" s="3"/>
      <c r="E709" s="5"/>
      <c r="F709" s="3"/>
      <c r="G709" s="3"/>
      <c r="H709" s="5"/>
      <c r="I709" s="5"/>
      <c r="J709" s="5"/>
      <c r="K709" s="5"/>
      <c r="L709" s="6"/>
      <c r="M709" s="6"/>
      <c r="N709" s="7"/>
    </row>
    <row x14ac:dyDescent="0.25" r="710" customHeight="1" ht="18.75">
      <c r="A710" s="10" t="s">
        <v>777</v>
      </c>
      <c r="B710" s="11">
        <v>51</v>
      </c>
      <c r="C710" s="3"/>
      <c r="D710" s="3"/>
      <c r="E710" s="5"/>
      <c r="F710" s="3"/>
      <c r="G710" s="3"/>
      <c r="H710" s="5"/>
      <c r="I710" s="5"/>
      <c r="J710" s="5"/>
      <c r="K710" s="5"/>
      <c r="L710" s="6"/>
      <c r="M710" s="6"/>
      <c r="N710" s="7"/>
    </row>
    <row x14ac:dyDescent="0.25" r="711" customHeight="1" ht="18.75">
      <c r="A711" s="10" t="s">
        <v>778</v>
      </c>
      <c r="B711" s="11">
        <v>51</v>
      </c>
      <c r="C711" s="3"/>
      <c r="D711" s="3"/>
      <c r="E711" s="5"/>
      <c r="F711" s="3"/>
      <c r="G711" s="3"/>
      <c r="H711" s="5"/>
      <c r="I711" s="5"/>
      <c r="J711" s="5"/>
      <c r="K711" s="5"/>
      <c r="L711" s="6"/>
      <c r="M711" s="6"/>
      <c r="N711" s="7"/>
    </row>
    <row x14ac:dyDescent="0.25" r="712" customHeight="1" ht="18.75">
      <c r="A712" s="10" t="s">
        <v>779</v>
      </c>
      <c r="B712" s="19">
        <v>51.5</v>
      </c>
      <c r="C712" s="3"/>
      <c r="D712" s="3"/>
      <c r="E712" s="5"/>
      <c r="F712" s="3"/>
      <c r="G712" s="3"/>
      <c r="H712" s="5"/>
      <c r="I712" s="5"/>
      <c r="J712" s="5"/>
      <c r="K712" s="5"/>
      <c r="L712" s="6"/>
      <c r="M712" s="6"/>
      <c r="N712" s="7"/>
    </row>
    <row x14ac:dyDescent="0.25" r="713" customHeight="1" ht="18.75">
      <c r="A713" s="10" t="s">
        <v>780</v>
      </c>
      <c r="B713" s="11">
        <v>52</v>
      </c>
      <c r="C713" s="3"/>
      <c r="D713" s="3"/>
      <c r="E713" s="5"/>
      <c r="F713" s="3"/>
      <c r="G713" s="3"/>
      <c r="H713" s="5"/>
      <c r="I713" s="5"/>
      <c r="J713" s="5"/>
      <c r="K713" s="5"/>
      <c r="L713" s="6"/>
      <c r="M713" s="6"/>
      <c r="N713" s="7"/>
    </row>
    <row x14ac:dyDescent="0.25" r="714" customHeight="1" ht="18.75">
      <c r="A714" s="10" t="s">
        <v>781</v>
      </c>
      <c r="B714" s="11">
        <v>52</v>
      </c>
      <c r="C714" s="3"/>
      <c r="D714" s="3"/>
      <c r="E714" s="5"/>
      <c r="F714" s="3"/>
      <c r="G714" s="3"/>
      <c r="H714" s="5"/>
      <c r="I714" s="5"/>
      <c r="J714" s="5"/>
      <c r="K714" s="5"/>
      <c r="L714" s="6"/>
      <c r="M714" s="6"/>
      <c r="N714" s="7"/>
    </row>
    <row x14ac:dyDescent="0.25" r="715" customHeight="1" ht="18.75">
      <c r="A715" s="10" t="s">
        <v>782</v>
      </c>
      <c r="B715" s="11">
        <v>52</v>
      </c>
      <c r="C715" s="3"/>
      <c r="D715" s="3"/>
      <c r="E715" s="5"/>
      <c r="F715" s="3"/>
      <c r="G715" s="3"/>
      <c r="H715" s="5"/>
      <c r="I715" s="5"/>
      <c r="J715" s="5"/>
      <c r="K715" s="5"/>
      <c r="L715" s="6"/>
      <c r="M715" s="6"/>
      <c r="N715" s="7"/>
    </row>
    <row x14ac:dyDescent="0.25" r="716" customHeight="1" ht="18.75">
      <c r="A716" s="10" t="s">
        <v>783</v>
      </c>
      <c r="B716" s="11">
        <v>52</v>
      </c>
      <c r="C716" s="3"/>
      <c r="D716" s="3"/>
      <c r="E716" s="5"/>
      <c r="F716" s="3"/>
      <c r="G716" s="3"/>
      <c r="H716" s="5"/>
      <c r="I716" s="5"/>
      <c r="J716" s="5"/>
      <c r="K716" s="5"/>
      <c r="L716" s="6"/>
      <c r="M716" s="6"/>
      <c r="N716" s="7"/>
    </row>
    <row x14ac:dyDescent="0.25" r="717" customHeight="1" ht="18.75">
      <c r="A717" s="10" t="s">
        <v>784</v>
      </c>
      <c r="B717" s="11">
        <v>52</v>
      </c>
      <c r="C717" s="3"/>
      <c r="D717" s="3"/>
      <c r="E717" s="5"/>
      <c r="F717" s="3"/>
      <c r="G717" s="3"/>
      <c r="H717" s="5"/>
      <c r="I717" s="5"/>
      <c r="J717" s="5"/>
      <c r="K717" s="5"/>
      <c r="L717" s="6"/>
      <c r="M717" s="6"/>
      <c r="N717" s="7"/>
    </row>
    <row x14ac:dyDescent="0.25" r="718" customHeight="1" ht="18.75">
      <c r="A718" s="10" t="s">
        <v>785</v>
      </c>
      <c r="B718" s="11">
        <v>52</v>
      </c>
      <c r="C718" s="3"/>
      <c r="D718" s="3"/>
      <c r="E718" s="5"/>
      <c r="F718" s="3"/>
      <c r="G718" s="3"/>
      <c r="H718" s="5"/>
      <c r="I718" s="5"/>
      <c r="J718" s="5"/>
      <c r="K718" s="5"/>
      <c r="L718" s="6"/>
      <c r="M718" s="6"/>
      <c r="N718" s="7"/>
    </row>
    <row x14ac:dyDescent="0.25" r="719" customHeight="1" ht="18.75">
      <c r="A719" s="10" t="s">
        <v>786</v>
      </c>
      <c r="B719" s="11">
        <v>52</v>
      </c>
      <c r="C719" s="3"/>
      <c r="D719" s="3"/>
      <c r="E719" s="5"/>
      <c r="F719" s="3"/>
      <c r="G719" s="3"/>
      <c r="H719" s="5"/>
      <c r="I719" s="5"/>
      <c r="J719" s="5"/>
      <c r="K719" s="5"/>
      <c r="L719" s="6"/>
      <c r="M719" s="6"/>
      <c r="N719" s="7"/>
    </row>
    <row x14ac:dyDescent="0.25" r="720" customHeight="1" ht="18.75">
      <c r="A720" s="10" t="s">
        <v>787</v>
      </c>
      <c r="B720" s="11">
        <v>52</v>
      </c>
      <c r="C720" s="3"/>
      <c r="D720" s="3"/>
      <c r="E720" s="5"/>
      <c r="F720" s="3"/>
      <c r="G720" s="3"/>
      <c r="H720" s="5"/>
      <c r="I720" s="5"/>
      <c r="J720" s="5"/>
      <c r="K720" s="5"/>
      <c r="L720" s="6"/>
      <c r="M720" s="6"/>
      <c r="N720" s="7"/>
    </row>
    <row x14ac:dyDescent="0.25" r="721" customHeight="1" ht="18.75">
      <c r="A721" s="10" t="s">
        <v>788</v>
      </c>
      <c r="B721" s="11">
        <v>52</v>
      </c>
      <c r="C721" s="3"/>
      <c r="D721" s="3"/>
      <c r="E721" s="5"/>
      <c r="F721" s="3"/>
      <c r="G721" s="3"/>
      <c r="H721" s="5"/>
      <c r="I721" s="5"/>
      <c r="J721" s="5"/>
      <c r="K721" s="5"/>
      <c r="L721" s="6"/>
      <c r="M721" s="6"/>
      <c r="N721" s="7"/>
    </row>
    <row x14ac:dyDescent="0.25" r="722" customHeight="1" ht="18.75">
      <c r="A722" s="10" t="s">
        <v>789</v>
      </c>
      <c r="B722" s="11">
        <v>52</v>
      </c>
      <c r="C722" s="3"/>
      <c r="D722" s="3"/>
      <c r="E722" s="5"/>
      <c r="F722" s="3"/>
      <c r="G722" s="3"/>
      <c r="H722" s="5"/>
      <c r="I722" s="5"/>
      <c r="J722" s="5"/>
      <c r="K722" s="5"/>
      <c r="L722" s="6"/>
      <c r="M722" s="6"/>
      <c r="N722" s="7"/>
    </row>
    <row x14ac:dyDescent="0.25" r="723" customHeight="1" ht="18.75">
      <c r="A723" s="10" t="s">
        <v>790</v>
      </c>
      <c r="B723" s="11">
        <v>52</v>
      </c>
      <c r="C723" s="3"/>
      <c r="D723" s="3"/>
      <c r="E723" s="5"/>
      <c r="F723" s="3"/>
      <c r="G723" s="3"/>
      <c r="H723" s="5"/>
      <c r="I723" s="5"/>
      <c r="J723" s="5"/>
      <c r="K723" s="5"/>
      <c r="L723" s="6"/>
      <c r="M723" s="6"/>
      <c r="N723" s="7"/>
    </row>
    <row x14ac:dyDescent="0.25" r="724" customHeight="1" ht="18.75">
      <c r="A724" s="10" t="s">
        <v>791</v>
      </c>
      <c r="B724" s="11">
        <v>52</v>
      </c>
      <c r="C724" s="3"/>
      <c r="D724" s="3"/>
      <c r="E724" s="5"/>
      <c r="F724" s="3"/>
      <c r="G724" s="3"/>
      <c r="H724" s="5"/>
      <c r="I724" s="5"/>
      <c r="J724" s="5"/>
      <c r="K724" s="5"/>
      <c r="L724" s="6"/>
      <c r="M724" s="6"/>
      <c r="N724" s="7"/>
    </row>
    <row x14ac:dyDescent="0.25" r="725" customHeight="1" ht="18.75">
      <c r="A725" s="10" t="s">
        <v>792</v>
      </c>
      <c r="B725" s="11">
        <v>52</v>
      </c>
      <c r="C725" s="3"/>
      <c r="D725" s="3"/>
      <c r="E725" s="5"/>
      <c r="F725" s="3"/>
      <c r="G725" s="3"/>
      <c r="H725" s="5"/>
      <c r="I725" s="5"/>
      <c r="J725" s="5"/>
      <c r="K725" s="5"/>
      <c r="L725" s="6"/>
      <c r="M725" s="6"/>
      <c r="N725" s="7"/>
    </row>
    <row x14ac:dyDescent="0.25" r="726" customHeight="1" ht="18.75">
      <c r="A726" s="10" t="s">
        <v>793</v>
      </c>
      <c r="B726" s="11">
        <v>52</v>
      </c>
      <c r="C726" s="3"/>
      <c r="D726" s="3"/>
      <c r="E726" s="5"/>
      <c r="F726" s="3"/>
      <c r="G726" s="3"/>
      <c r="H726" s="5"/>
      <c r="I726" s="5"/>
      <c r="J726" s="5"/>
      <c r="K726" s="5"/>
      <c r="L726" s="6"/>
      <c r="M726" s="6"/>
      <c r="N726" s="7"/>
    </row>
    <row x14ac:dyDescent="0.25" r="727" customHeight="1" ht="18.75">
      <c r="A727" s="10" t="s">
        <v>794</v>
      </c>
      <c r="B727" s="11">
        <v>52</v>
      </c>
      <c r="C727" s="3"/>
      <c r="D727" s="3"/>
      <c r="E727" s="5"/>
      <c r="F727" s="3"/>
      <c r="G727" s="3"/>
      <c r="H727" s="5"/>
      <c r="I727" s="5"/>
      <c r="J727" s="5"/>
      <c r="K727" s="5"/>
      <c r="L727" s="6"/>
      <c r="M727" s="6"/>
      <c r="N727" s="7"/>
    </row>
    <row x14ac:dyDescent="0.25" r="728" customHeight="1" ht="18.75">
      <c r="A728" s="10" t="s">
        <v>795</v>
      </c>
      <c r="B728" s="11">
        <v>52</v>
      </c>
      <c r="C728" s="3"/>
      <c r="D728" s="3"/>
      <c r="E728" s="5"/>
      <c r="F728" s="3"/>
      <c r="G728" s="3"/>
      <c r="H728" s="5"/>
      <c r="I728" s="5"/>
      <c r="J728" s="5"/>
      <c r="K728" s="5"/>
      <c r="L728" s="6"/>
      <c r="M728" s="6"/>
      <c r="N728" s="7"/>
    </row>
    <row x14ac:dyDescent="0.25" r="729" customHeight="1" ht="18.75">
      <c r="A729" s="10" t="s">
        <v>796</v>
      </c>
      <c r="B729" s="11">
        <v>52</v>
      </c>
      <c r="C729" s="3"/>
      <c r="D729" s="3"/>
      <c r="E729" s="5"/>
      <c r="F729" s="3"/>
      <c r="G729" s="3"/>
      <c r="H729" s="5"/>
      <c r="I729" s="5"/>
      <c r="J729" s="5"/>
      <c r="K729" s="5"/>
      <c r="L729" s="6"/>
      <c r="M729" s="6"/>
      <c r="N729" s="7"/>
    </row>
    <row x14ac:dyDescent="0.25" r="730" customHeight="1" ht="18.75">
      <c r="A730" s="10" t="s">
        <v>797</v>
      </c>
      <c r="B730" s="11">
        <v>52</v>
      </c>
      <c r="C730" s="3"/>
      <c r="D730" s="3"/>
      <c r="E730" s="5"/>
      <c r="F730" s="3"/>
      <c r="G730" s="3"/>
      <c r="H730" s="5"/>
      <c r="I730" s="5"/>
      <c r="J730" s="5"/>
      <c r="K730" s="5"/>
      <c r="L730" s="6"/>
      <c r="M730" s="6"/>
      <c r="N730" s="7"/>
    </row>
    <row x14ac:dyDescent="0.25" r="731" customHeight="1" ht="18.75">
      <c r="A731" s="10" t="s">
        <v>798</v>
      </c>
      <c r="B731" s="11">
        <v>52</v>
      </c>
      <c r="C731" s="3"/>
      <c r="D731" s="3"/>
      <c r="E731" s="5"/>
      <c r="F731" s="3"/>
      <c r="G731" s="3"/>
      <c r="H731" s="5"/>
      <c r="I731" s="5"/>
      <c r="J731" s="5"/>
      <c r="K731" s="5"/>
      <c r="L731" s="6"/>
      <c r="M731" s="6"/>
      <c r="N731" s="7"/>
    </row>
    <row x14ac:dyDescent="0.25" r="732" customHeight="1" ht="18.75">
      <c r="A732" s="10" t="s">
        <v>799</v>
      </c>
      <c r="B732" s="11">
        <v>52</v>
      </c>
      <c r="C732" s="3"/>
      <c r="D732" s="3"/>
      <c r="E732" s="5"/>
      <c r="F732" s="3"/>
      <c r="G732" s="3"/>
      <c r="H732" s="5"/>
      <c r="I732" s="5"/>
      <c r="J732" s="5"/>
      <c r="K732" s="5"/>
      <c r="L732" s="6"/>
      <c r="M732" s="6"/>
      <c r="N732" s="7"/>
    </row>
    <row x14ac:dyDescent="0.25" r="733" customHeight="1" ht="18.75">
      <c r="A733" s="10" t="s">
        <v>800</v>
      </c>
      <c r="B733" s="11">
        <v>52</v>
      </c>
      <c r="C733" s="3"/>
      <c r="D733" s="3"/>
      <c r="E733" s="5"/>
      <c r="F733" s="3"/>
      <c r="G733" s="3"/>
      <c r="H733" s="5"/>
      <c r="I733" s="5"/>
      <c r="J733" s="5"/>
      <c r="K733" s="5"/>
      <c r="L733" s="6"/>
      <c r="M733" s="6"/>
      <c r="N733" s="7"/>
    </row>
    <row x14ac:dyDescent="0.25" r="734" customHeight="1" ht="18.75">
      <c r="A734" s="10" t="s">
        <v>801</v>
      </c>
      <c r="B734" s="11">
        <v>52</v>
      </c>
      <c r="C734" s="3"/>
      <c r="D734" s="3"/>
      <c r="E734" s="5"/>
      <c r="F734" s="3"/>
      <c r="G734" s="3"/>
      <c r="H734" s="5"/>
      <c r="I734" s="5"/>
      <c r="J734" s="5"/>
      <c r="K734" s="5"/>
      <c r="L734" s="6"/>
      <c r="M734" s="6"/>
      <c r="N734" s="7"/>
    </row>
    <row x14ac:dyDescent="0.25" r="735" customHeight="1" ht="18.75">
      <c r="A735" s="10" t="s">
        <v>802</v>
      </c>
      <c r="B735" s="11">
        <v>52</v>
      </c>
      <c r="C735" s="3"/>
      <c r="D735" s="3"/>
      <c r="E735" s="5"/>
      <c r="F735" s="3"/>
      <c r="G735" s="3"/>
      <c r="H735" s="5"/>
      <c r="I735" s="5"/>
      <c r="J735" s="5"/>
      <c r="K735" s="5"/>
      <c r="L735" s="6"/>
      <c r="M735" s="6"/>
      <c r="N735" s="7"/>
    </row>
    <row x14ac:dyDescent="0.25" r="736" customHeight="1" ht="18.75">
      <c r="A736" s="10" t="s">
        <v>803</v>
      </c>
      <c r="B736" s="11">
        <v>52</v>
      </c>
      <c r="C736" s="3"/>
      <c r="D736" s="3"/>
      <c r="E736" s="5"/>
      <c r="F736" s="3"/>
      <c r="G736" s="3"/>
      <c r="H736" s="5"/>
      <c r="I736" s="5"/>
      <c r="J736" s="5"/>
      <c r="K736" s="5"/>
      <c r="L736" s="6"/>
      <c r="M736" s="6"/>
      <c r="N736" s="7"/>
    </row>
    <row x14ac:dyDescent="0.25" r="737" customHeight="1" ht="18.75">
      <c r="A737" s="10" t="s">
        <v>804</v>
      </c>
      <c r="B737" s="11">
        <v>52</v>
      </c>
      <c r="C737" s="3"/>
      <c r="D737" s="3"/>
      <c r="E737" s="5"/>
      <c r="F737" s="3"/>
      <c r="G737" s="3"/>
      <c r="H737" s="5"/>
      <c r="I737" s="5"/>
      <c r="J737" s="5"/>
      <c r="K737" s="5"/>
      <c r="L737" s="6"/>
      <c r="M737" s="6"/>
      <c r="N737" s="7"/>
    </row>
    <row x14ac:dyDescent="0.25" r="738" customHeight="1" ht="18.75">
      <c r="A738" s="10" t="s">
        <v>805</v>
      </c>
      <c r="B738" s="11">
        <v>52</v>
      </c>
      <c r="C738" s="3"/>
      <c r="D738" s="3"/>
      <c r="E738" s="5"/>
      <c r="F738" s="3"/>
      <c r="G738" s="3"/>
      <c r="H738" s="5"/>
      <c r="I738" s="5"/>
      <c r="J738" s="5"/>
      <c r="K738" s="5"/>
      <c r="L738" s="6"/>
      <c r="M738" s="6"/>
      <c r="N738" s="7"/>
    </row>
    <row x14ac:dyDescent="0.25" r="739" customHeight="1" ht="18.75">
      <c r="A739" s="10" t="s">
        <v>806</v>
      </c>
      <c r="B739" s="11">
        <v>52</v>
      </c>
      <c r="C739" s="3"/>
      <c r="D739" s="3"/>
      <c r="E739" s="5"/>
      <c r="F739" s="3"/>
      <c r="G739" s="3"/>
      <c r="H739" s="5"/>
      <c r="I739" s="5"/>
      <c r="J739" s="5"/>
      <c r="K739" s="5"/>
      <c r="L739" s="6"/>
      <c r="M739" s="6"/>
      <c r="N739" s="7"/>
    </row>
    <row x14ac:dyDescent="0.25" r="740" customHeight="1" ht="18.75">
      <c r="A740" s="10" t="s">
        <v>807</v>
      </c>
      <c r="B740" s="11">
        <v>52</v>
      </c>
      <c r="C740" s="3"/>
      <c r="D740" s="3"/>
      <c r="E740" s="5"/>
      <c r="F740" s="3"/>
      <c r="G740" s="3"/>
      <c r="H740" s="5"/>
      <c r="I740" s="5"/>
      <c r="J740" s="5"/>
      <c r="K740" s="5"/>
      <c r="L740" s="6"/>
      <c r="M740" s="6"/>
      <c r="N740" s="7"/>
    </row>
    <row x14ac:dyDescent="0.25" r="741" customHeight="1" ht="18.75">
      <c r="A741" s="10" t="s">
        <v>808</v>
      </c>
      <c r="B741" s="11">
        <v>52</v>
      </c>
      <c r="C741" s="3"/>
      <c r="D741" s="3"/>
      <c r="E741" s="5"/>
      <c r="F741" s="3"/>
      <c r="G741" s="3"/>
      <c r="H741" s="5"/>
      <c r="I741" s="5"/>
      <c r="J741" s="5"/>
      <c r="K741" s="5"/>
      <c r="L741" s="6"/>
      <c r="M741" s="6"/>
      <c r="N741" s="7"/>
    </row>
    <row x14ac:dyDescent="0.25" r="742" customHeight="1" ht="18.75">
      <c r="A742" s="10" t="s">
        <v>809</v>
      </c>
      <c r="B742" s="11">
        <v>53</v>
      </c>
      <c r="C742" s="3"/>
      <c r="D742" s="3"/>
      <c r="E742" s="5"/>
      <c r="F742" s="3"/>
      <c r="G742" s="3"/>
      <c r="H742" s="5"/>
      <c r="I742" s="5"/>
      <c r="J742" s="5"/>
      <c r="K742" s="5"/>
      <c r="L742" s="6"/>
      <c r="M742" s="6"/>
      <c r="N742" s="7"/>
    </row>
    <row x14ac:dyDescent="0.25" r="743" customHeight="1" ht="18.75">
      <c r="A743" s="10" t="s">
        <v>810</v>
      </c>
      <c r="B743" s="11">
        <v>53</v>
      </c>
      <c r="C743" s="3"/>
      <c r="D743" s="3"/>
      <c r="E743" s="5"/>
      <c r="F743" s="3"/>
      <c r="G743" s="3"/>
      <c r="H743" s="5"/>
      <c r="I743" s="5"/>
      <c r="J743" s="5"/>
      <c r="K743" s="5"/>
      <c r="L743" s="6"/>
      <c r="M743" s="6"/>
      <c r="N743" s="7"/>
    </row>
    <row x14ac:dyDescent="0.25" r="744" customHeight="1" ht="18.75">
      <c r="A744" s="10" t="s">
        <v>811</v>
      </c>
      <c r="B744" s="11">
        <v>53</v>
      </c>
      <c r="C744" s="3"/>
      <c r="D744" s="3"/>
      <c r="E744" s="5"/>
      <c r="F744" s="3"/>
      <c r="G744" s="3"/>
      <c r="H744" s="5"/>
      <c r="I744" s="5"/>
      <c r="J744" s="5"/>
      <c r="K744" s="5"/>
      <c r="L744" s="6"/>
      <c r="M744" s="6"/>
      <c r="N744" s="7"/>
    </row>
    <row x14ac:dyDescent="0.25" r="745" customHeight="1" ht="18.75">
      <c r="A745" s="10" t="s">
        <v>812</v>
      </c>
      <c r="B745" s="11">
        <v>53</v>
      </c>
      <c r="C745" s="3"/>
      <c r="D745" s="3"/>
      <c r="E745" s="5"/>
      <c r="F745" s="3"/>
      <c r="G745" s="3"/>
      <c r="H745" s="5"/>
      <c r="I745" s="5"/>
      <c r="J745" s="5"/>
      <c r="K745" s="5"/>
      <c r="L745" s="6"/>
      <c r="M745" s="6"/>
      <c r="N745" s="7"/>
    </row>
    <row x14ac:dyDescent="0.25" r="746" customHeight="1" ht="18.75">
      <c r="A746" s="10" t="s">
        <v>813</v>
      </c>
      <c r="B746" s="11">
        <v>53</v>
      </c>
      <c r="C746" s="3"/>
      <c r="D746" s="3"/>
      <c r="E746" s="5"/>
      <c r="F746" s="3"/>
      <c r="G746" s="3"/>
      <c r="H746" s="5"/>
      <c r="I746" s="5"/>
      <c r="J746" s="5"/>
      <c r="K746" s="5"/>
      <c r="L746" s="6"/>
      <c r="M746" s="6"/>
      <c r="N746" s="7"/>
    </row>
    <row x14ac:dyDescent="0.25" r="747" customHeight="1" ht="18.75">
      <c r="A747" s="10" t="s">
        <v>814</v>
      </c>
      <c r="B747" s="11">
        <v>53</v>
      </c>
      <c r="C747" s="3"/>
      <c r="D747" s="3"/>
      <c r="E747" s="5"/>
      <c r="F747" s="3"/>
      <c r="G747" s="3"/>
      <c r="H747" s="5"/>
      <c r="I747" s="5"/>
      <c r="J747" s="5"/>
      <c r="K747" s="5"/>
      <c r="L747" s="6"/>
      <c r="M747" s="6"/>
      <c r="N747" s="7"/>
    </row>
    <row x14ac:dyDescent="0.25" r="748" customHeight="1" ht="18.75">
      <c r="A748" s="10" t="s">
        <v>815</v>
      </c>
      <c r="B748" s="11">
        <v>53</v>
      </c>
      <c r="C748" s="3"/>
      <c r="D748" s="3"/>
      <c r="E748" s="5"/>
      <c r="F748" s="3"/>
      <c r="G748" s="3"/>
      <c r="H748" s="5"/>
      <c r="I748" s="5"/>
      <c r="J748" s="5"/>
      <c r="K748" s="5"/>
      <c r="L748" s="6"/>
      <c r="M748" s="6"/>
      <c r="N748" s="7"/>
    </row>
    <row x14ac:dyDescent="0.25" r="749" customHeight="1" ht="18.75">
      <c r="A749" s="10" t="s">
        <v>816</v>
      </c>
      <c r="B749" s="11">
        <v>53</v>
      </c>
      <c r="C749" s="3"/>
      <c r="D749" s="3"/>
      <c r="E749" s="5"/>
      <c r="F749" s="3"/>
      <c r="G749" s="3"/>
      <c r="H749" s="5"/>
      <c r="I749" s="5"/>
      <c r="J749" s="5"/>
      <c r="K749" s="5"/>
      <c r="L749" s="6"/>
      <c r="M749" s="6"/>
      <c r="N749" s="7"/>
    </row>
    <row x14ac:dyDescent="0.25" r="750" customHeight="1" ht="18.75">
      <c r="A750" s="10" t="s">
        <v>817</v>
      </c>
      <c r="B750" s="11">
        <v>53</v>
      </c>
      <c r="C750" s="3"/>
      <c r="D750" s="3"/>
      <c r="E750" s="5"/>
      <c r="F750" s="3"/>
      <c r="G750" s="3"/>
      <c r="H750" s="5"/>
      <c r="I750" s="5"/>
      <c r="J750" s="5"/>
      <c r="K750" s="5"/>
      <c r="L750" s="6"/>
      <c r="M750" s="6"/>
      <c r="N750" s="7"/>
    </row>
    <row x14ac:dyDescent="0.25" r="751" customHeight="1" ht="18.75">
      <c r="A751" s="10" t="s">
        <v>818</v>
      </c>
      <c r="B751" s="11">
        <v>53</v>
      </c>
      <c r="C751" s="3"/>
      <c r="D751" s="3"/>
      <c r="E751" s="5"/>
      <c r="F751" s="3"/>
      <c r="G751" s="3"/>
      <c r="H751" s="5"/>
      <c r="I751" s="5"/>
      <c r="J751" s="5"/>
      <c r="K751" s="5"/>
      <c r="L751" s="6"/>
      <c r="M751" s="6"/>
      <c r="N751" s="7"/>
    </row>
    <row x14ac:dyDescent="0.25" r="752" customHeight="1" ht="18.75">
      <c r="A752" s="10" t="s">
        <v>819</v>
      </c>
      <c r="B752" s="11">
        <v>53</v>
      </c>
      <c r="C752" s="3"/>
      <c r="D752" s="3"/>
      <c r="E752" s="5"/>
      <c r="F752" s="3"/>
      <c r="G752" s="3"/>
      <c r="H752" s="5"/>
      <c r="I752" s="5"/>
      <c r="J752" s="5"/>
      <c r="K752" s="5"/>
      <c r="L752" s="6"/>
      <c r="M752" s="6"/>
      <c r="N752" s="7"/>
    </row>
    <row x14ac:dyDescent="0.25" r="753" customHeight="1" ht="18.75">
      <c r="A753" s="10" t="s">
        <v>820</v>
      </c>
      <c r="B753" s="11">
        <v>53</v>
      </c>
      <c r="C753" s="3"/>
      <c r="D753" s="3"/>
      <c r="E753" s="5"/>
      <c r="F753" s="3"/>
      <c r="G753" s="3"/>
      <c r="H753" s="5"/>
      <c r="I753" s="5"/>
      <c r="J753" s="5"/>
      <c r="K753" s="5"/>
      <c r="L753" s="6"/>
      <c r="M753" s="6"/>
      <c r="N753" s="7"/>
    </row>
    <row x14ac:dyDescent="0.25" r="754" customHeight="1" ht="18.75">
      <c r="A754" s="10" t="s">
        <v>821</v>
      </c>
      <c r="B754" s="11">
        <v>53</v>
      </c>
      <c r="C754" s="3"/>
      <c r="D754" s="3"/>
      <c r="E754" s="5"/>
      <c r="F754" s="3"/>
      <c r="G754" s="3"/>
      <c r="H754" s="5"/>
      <c r="I754" s="5"/>
      <c r="J754" s="5"/>
      <c r="K754" s="5"/>
      <c r="L754" s="6"/>
      <c r="M754" s="6"/>
      <c r="N754" s="7"/>
    </row>
    <row x14ac:dyDescent="0.25" r="755" customHeight="1" ht="18.75">
      <c r="A755" s="10" t="s">
        <v>822</v>
      </c>
      <c r="B755" s="11">
        <v>53</v>
      </c>
      <c r="C755" s="3"/>
      <c r="D755" s="3"/>
      <c r="E755" s="5"/>
      <c r="F755" s="3"/>
      <c r="G755" s="3"/>
      <c r="H755" s="5"/>
      <c r="I755" s="5"/>
      <c r="J755" s="5"/>
      <c r="K755" s="5"/>
      <c r="L755" s="6"/>
      <c r="M755" s="6"/>
      <c r="N755" s="7"/>
    </row>
    <row x14ac:dyDescent="0.25" r="756" customHeight="1" ht="18.75">
      <c r="A756" s="10" t="s">
        <v>823</v>
      </c>
      <c r="B756" s="11">
        <v>53</v>
      </c>
      <c r="C756" s="3"/>
      <c r="D756" s="3"/>
      <c r="E756" s="5"/>
      <c r="F756" s="3"/>
      <c r="G756" s="3"/>
      <c r="H756" s="5"/>
      <c r="I756" s="5"/>
      <c r="J756" s="5"/>
      <c r="K756" s="5"/>
      <c r="L756" s="6"/>
      <c r="M756" s="6"/>
      <c r="N756" s="7"/>
    </row>
    <row x14ac:dyDescent="0.25" r="757" customHeight="1" ht="18.75">
      <c r="A757" s="10" t="s">
        <v>824</v>
      </c>
      <c r="B757" s="11">
        <v>53</v>
      </c>
      <c r="C757" s="3"/>
      <c r="D757" s="3"/>
      <c r="E757" s="5"/>
      <c r="F757" s="3"/>
      <c r="G757" s="3"/>
      <c r="H757" s="5"/>
      <c r="I757" s="5"/>
      <c r="J757" s="5"/>
      <c r="K757" s="5"/>
      <c r="L757" s="6"/>
      <c r="M757" s="6"/>
      <c r="N757" s="7"/>
    </row>
    <row x14ac:dyDescent="0.25" r="758" customHeight="1" ht="18.75">
      <c r="A758" s="10" t="s">
        <v>825</v>
      </c>
      <c r="B758" s="11">
        <v>53</v>
      </c>
      <c r="C758" s="3"/>
      <c r="D758" s="3"/>
      <c r="E758" s="5"/>
      <c r="F758" s="3"/>
      <c r="G758" s="3"/>
      <c r="H758" s="5"/>
      <c r="I758" s="5"/>
      <c r="J758" s="5"/>
      <c r="K758" s="5"/>
      <c r="L758" s="6"/>
      <c r="M758" s="6"/>
      <c r="N758" s="7"/>
    </row>
    <row x14ac:dyDescent="0.25" r="759" customHeight="1" ht="18.75">
      <c r="A759" s="10" t="s">
        <v>826</v>
      </c>
      <c r="B759" s="11">
        <v>53</v>
      </c>
      <c r="C759" s="3"/>
      <c r="D759" s="3"/>
      <c r="E759" s="5"/>
      <c r="F759" s="3"/>
      <c r="G759" s="3"/>
      <c r="H759" s="5"/>
      <c r="I759" s="5"/>
      <c r="J759" s="5"/>
      <c r="K759" s="5"/>
      <c r="L759" s="6"/>
      <c r="M759" s="6"/>
      <c r="N759" s="7"/>
    </row>
    <row x14ac:dyDescent="0.25" r="760" customHeight="1" ht="18.75">
      <c r="A760" s="10" t="s">
        <v>827</v>
      </c>
      <c r="B760" s="11">
        <v>53</v>
      </c>
      <c r="C760" s="3"/>
      <c r="D760" s="3"/>
      <c r="E760" s="5"/>
      <c r="F760" s="3"/>
      <c r="G760" s="3"/>
      <c r="H760" s="5"/>
      <c r="I760" s="5"/>
      <c r="J760" s="5"/>
      <c r="K760" s="5"/>
      <c r="L760" s="6"/>
      <c r="M760" s="6"/>
      <c r="N760" s="7"/>
    </row>
    <row x14ac:dyDescent="0.25" r="761" customHeight="1" ht="18.75">
      <c r="A761" s="10" t="s">
        <v>828</v>
      </c>
      <c r="B761" s="11">
        <v>53</v>
      </c>
      <c r="C761" s="3"/>
      <c r="D761" s="3"/>
      <c r="E761" s="5"/>
      <c r="F761" s="3"/>
      <c r="G761" s="3"/>
      <c r="H761" s="5"/>
      <c r="I761" s="5"/>
      <c r="J761" s="5"/>
      <c r="K761" s="5"/>
      <c r="L761" s="6"/>
      <c r="M761" s="6"/>
      <c r="N761" s="7"/>
    </row>
    <row x14ac:dyDescent="0.25" r="762" customHeight="1" ht="18.75">
      <c r="A762" s="10" t="s">
        <v>829</v>
      </c>
      <c r="B762" s="11">
        <v>53</v>
      </c>
      <c r="C762" s="3"/>
      <c r="D762" s="3"/>
      <c r="E762" s="5"/>
      <c r="F762" s="3"/>
      <c r="G762" s="3"/>
      <c r="H762" s="5"/>
      <c r="I762" s="5"/>
      <c r="J762" s="5"/>
      <c r="K762" s="5"/>
      <c r="L762" s="6"/>
      <c r="M762" s="6"/>
      <c r="N762" s="7"/>
    </row>
    <row x14ac:dyDescent="0.25" r="763" customHeight="1" ht="18.75">
      <c r="A763" s="10" t="s">
        <v>830</v>
      </c>
      <c r="B763" s="11">
        <v>53</v>
      </c>
      <c r="C763" s="3"/>
      <c r="D763" s="3"/>
      <c r="E763" s="5"/>
      <c r="F763" s="3"/>
      <c r="G763" s="3"/>
      <c r="H763" s="5"/>
      <c r="I763" s="5"/>
      <c r="J763" s="5"/>
      <c r="K763" s="5"/>
      <c r="L763" s="6"/>
      <c r="M763" s="6"/>
      <c r="N763" s="7"/>
    </row>
    <row x14ac:dyDescent="0.25" r="764" customHeight="1" ht="18.75">
      <c r="A764" s="10" t="s">
        <v>831</v>
      </c>
      <c r="B764" s="11">
        <v>54</v>
      </c>
      <c r="C764" s="3"/>
      <c r="D764" s="3"/>
      <c r="E764" s="5"/>
      <c r="F764" s="3"/>
      <c r="G764" s="3"/>
      <c r="H764" s="5"/>
      <c r="I764" s="5"/>
      <c r="J764" s="5"/>
      <c r="K764" s="5"/>
      <c r="L764" s="6"/>
      <c r="M764" s="6"/>
      <c r="N764" s="7"/>
    </row>
    <row x14ac:dyDescent="0.25" r="765" customHeight="1" ht="18.75">
      <c r="A765" s="10" t="s">
        <v>832</v>
      </c>
      <c r="B765" s="11">
        <v>54</v>
      </c>
      <c r="C765" s="3"/>
      <c r="D765" s="3"/>
      <c r="E765" s="5"/>
      <c r="F765" s="3"/>
      <c r="G765" s="3"/>
      <c r="H765" s="5"/>
      <c r="I765" s="5"/>
      <c r="J765" s="5"/>
      <c r="K765" s="5"/>
      <c r="L765" s="6"/>
      <c r="M765" s="6"/>
      <c r="N765" s="7"/>
    </row>
    <row x14ac:dyDescent="0.25" r="766" customHeight="1" ht="18.75">
      <c r="A766" s="10" t="s">
        <v>833</v>
      </c>
      <c r="B766" s="11">
        <v>54</v>
      </c>
      <c r="C766" s="3"/>
      <c r="D766" s="3"/>
      <c r="E766" s="5"/>
      <c r="F766" s="3"/>
      <c r="G766" s="3"/>
      <c r="H766" s="5"/>
      <c r="I766" s="5"/>
      <c r="J766" s="5"/>
      <c r="K766" s="5"/>
      <c r="L766" s="6"/>
      <c r="M766" s="6"/>
      <c r="N766" s="7"/>
    </row>
    <row x14ac:dyDescent="0.25" r="767" customHeight="1" ht="18.75">
      <c r="A767" s="10" t="s">
        <v>834</v>
      </c>
      <c r="B767" s="11">
        <v>54</v>
      </c>
      <c r="C767" s="3"/>
      <c r="D767" s="3"/>
      <c r="E767" s="5"/>
      <c r="F767" s="3"/>
      <c r="G767" s="3"/>
      <c r="H767" s="5"/>
      <c r="I767" s="5"/>
      <c r="J767" s="5"/>
      <c r="K767" s="5"/>
      <c r="L767" s="6"/>
      <c r="M767" s="6"/>
      <c r="N767" s="7"/>
    </row>
    <row x14ac:dyDescent="0.25" r="768" customHeight="1" ht="18.75">
      <c r="A768" s="10" t="s">
        <v>835</v>
      </c>
      <c r="B768" s="11">
        <v>54</v>
      </c>
      <c r="C768" s="3"/>
      <c r="D768" s="3"/>
      <c r="E768" s="5"/>
      <c r="F768" s="3"/>
      <c r="G768" s="3"/>
      <c r="H768" s="5"/>
      <c r="I768" s="5"/>
      <c r="J768" s="5"/>
      <c r="K768" s="5"/>
      <c r="L768" s="6"/>
      <c r="M768" s="6"/>
      <c r="N768" s="7"/>
    </row>
    <row x14ac:dyDescent="0.25" r="769" customHeight="1" ht="18.75">
      <c r="A769" s="10" t="s">
        <v>836</v>
      </c>
      <c r="B769" s="11">
        <v>54</v>
      </c>
      <c r="C769" s="3"/>
      <c r="D769" s="3"/>
      <c r="E769" s="5"/>
      <c r="F769" s="3"/>
      <c r="G769" s="3"/>
      <c r="H769" s="5"/>
      <c r="I769" s="5"/>
      <c r="J769" s="5"/>
      <c r="K769" s="5"/>
      <c r="L769" s="6"/>
      <c r="M769" s="6"/>
      <c r="N769" s="7"/>
    </row>
    <row x14ac:dyDescent="0.25" r="770" customHeight="1" ht="18.75">
      <c r="A770" s="10" t="s">
        <v>837</v>
      </c>
      <c r="B770" s="11">
        <v>54</v>
      </c>
      <c r="C770" s="3"/>
      <c r="D770" s="3"/>
      <c r="E770" s="5"/>
      <c r="F770" s="3"/>
      <c r="G770" s="3"/>
      <c r="H770" s="5"/>
      <c r="I770" s="5"/>
      <c r="J770" s="5"/>
      <c r="K770" s="5"/>
      <c r="L770" s="6"/>
      <c r="M770" s="6"/>
      <c r="N770" s="7"/>
    </row>
    <row x14ac:dyDescent="0.25" r="771" customHeight="1" ht="18.75">
      <c r="A771" s="10" t="s">
        <v>838</v>
      </c>
      <c r="B771" s="11">
        <v>54</v>
      </c>
      <c r="C771" s="3"/>
      <c r="D771" s="3"/>
      <c r="E771" s="5"/>
      <c r="F771" s="3"/>
      <c r="G771" s="3"/>
      <c r="H771" s="5"/>
      <c r="I771" s="5"/>
      <c r="J771" s="5"/>
      <c r="K771" s="5"/>
      <c r="L771" s="6"/>
      <c r="M771" s="6"/>
      <c r="N771" s="7"/>
    </row>
    <row x14ac:dyDescent="0.25" r="772" customHeight="1" ht="18.75">
      <c r="A772" s="10" t="s">
        <v>839</v>
      </c>
      <c r="B772" s="11">
        <v>54</v>
      </c>
      <c r="C772" s="3"/>
      <c r="D772" s="3"/>
      <c r="E772" s="5"/>
      <c r="F772" s="3"/>
      <c r="G772" s="3"/>
      <c r="H772" s="5"/>
      <c r="I772" s="5"/>
      <c r="J772" s="5"/>
      <c r="K772" s="5"/>
      <c r="L772" s="6"/>
      <c r="M772" s="6"/>
      <c r="N772" s="7"/>
    </row>
    <row x14ac:dyDescent="0.25" r="773" customHeight="1" ht="18.75">
      <c r="A773" s="10" t="s">
        <v>840</v>
      </c>
      <c r="B773" s="11">
        <v>54</v>
      </c>
      <c r="C773" s="3"/>
      <c r="D773" s="3"/>
      <c r="E773" s="5"/>
      <c r="F773" s="3"/>
      <c r="G773" s="3"/>
      <c r="H773" s="5"/>
      <c r="I773" s="5"/>
      <c r="J773" s="5"/>
      <c r="K773" s="5"/>
      <c r="L773" s="6"/>
      <c r="M773" s="6"/>
      <c r="N773" s="7"/>
    </row>
    <row x14ac:dyDescent="0.25" r="774" customHeight="1" ht="18.75">
      <c r="A774" s="10" t="s">
        <v>841</v>
      </c>
      <c r="B774" s="11">
        <v>54</v>
      </c>
      <c r="C774" s="3"/>
      <c r="D774" s="3"/>
      <c r="E774" s="5"/>
      <c r="F774" s="3"/>
      <c r="G774" s="3"/>
      <c r="H774" s="5"/>
      <c r="I774" s="5"/>
      <c r="J774" s="5"/>
      <c r="K774" s="5"/>
      <c r="L774" s="6"/>
      <c r="M774" s="6"/>
      <c r="N774" s="7"/>
    </row>
    <row x14ac:dyDescent="0.25" r="775" customHeight="1" ht="18.75">
      <c r="A775" s="10" t="s">
        <v>842</v>
      </c>
      <c r="B775" s="11">
        <v>54</v>
      </c>
      <c r="C775" s="3"/>
      <c r="D775" s="3"/>
      <c r="E775" s="5"/>
      <c r="F775" s="3"/>
      <c r="G775" s="3"/>
      <c r="H775" s="5"/>
      <c r="I775" s="5"/>
      <c r="J775" s="5"/>
      <c r="K775" s="5"/>
      <c r="L775" s="6"/>
      <c r="M775" s="6"/>
      <c r="N775" s="7"/>
    </row>
    <row x14ac:dyDescent="0.25" r="776" customHeight="1" ht="18.75">
      <c r="A776" s="10" t="s">
        <v>843</v>
      </c>
      <c r="B776" s="11">
        <v>54</v>
      </c>
      <c r="C776" s="3"/>
      <c r="D776" s="3"/>
      <c r="E776" s="5"/>
      <c r="F776" s="3"/>
      <c r="G776" s="3"/>
      <c r="H776" s="5"/>
      <c r="I776" s="5"/>
      <c r="J776" s="5"/>
      <c r="K776" s="5"/>
      <c r="L776" s="6"/>
      <c r="M776" s="6"/>
      <c r="N776" s="7"/>
    </row>
    <row x14ac:dyDescent="0.25" r="777" customHeight="1" ht="18.75">
      <c r="A777" s="10" t="s">
        <v>844</v>
      </c>
      <c r="B777" s="11">
        <v>54</v>
      </c>
      <c r="C777" s="3"/>
      <c r="D777" s="3"/>
      <c r="E777" s="5"/>
      <c r="F777" s="3"/>
      <c r="G777" s="3"/>
      <c r="H777" s="5"/>
      <c r="I777" s="5"/>
      <c r="J777" s="5"/>
      <c r="K777" s="5"/>
      <c r="L777" s="6"/>
      <c r="M777" s="6"/>
      <c r="N777" s="7"/>
    </row>
    <row x14ac:dyDescent="0.25" r="778" customHeight="1" ht="18.75">
      <c r="A778" s="10" t="s">
        <v>845</v>
      </c>
      <c r="B778" s="11">
        <v>54</v>
      </c>
      <c r="C778" s="3"/>
      <c r="D778" s="3"/>
      <c r="E778" s="5"/>
      <c r="F778" s="3"/>
      <c r="G778" s="3"/>
      <c r="H778" s="5"/>
      <c r="I778" s="5"/>
      <c r="J778" s="5"/>
      <c r="K778" s="5"/>
      <c r="L778" s="6"/>
      <c r="M778" s="6"/>
      <c r="N778" s="7"/>
    </row>
    <row x14ac:dyDescent="0.25" r="779" customHeight="1" ht="18.75">
      <c r="A779" s="10" t="s">
        <v>846</v>
      </c>
      <c r="B779" s="11">
        <v>54</v>
      </c>
      <c r="C779" s="3"/>
      <c r="D779" s="3"/>
      <c r="E779" s="5"/>
      <c r="F779" s="3"/>
      <c r="G779" s="3"/>
      <c r="H779" s="5"/>
      <c r="I779" s="5"/>
      <c r="J779" s="5"/>
      <c r="K779" s="5"/>
      <c r="L779" s="6"/>
      <c r="M779" s="6"/>
      <c r="N779" s="7"/>
    </row>
    <row x14ac:dyDescent="0.25" r="780" customHeight="1" ht="18.75">
      <c r="A780" s="10" t="s">
        <v>847</v>
      </c>
      <c r="B780" s="11">
        <v>54</v>
      </c>
      <c r="C780" s="3"/>
      <c r="D780" s="3"/>
      <c r="E780" s="5"/>
      <c r="F780" s="3"/>
      <c r="G780" s="3"/>
      <c r="H780" s="5"/>
      <c r="I780" s="5"/>
      <c r="J780" s="5"/>
      <c r="K780" s="5"/>
      <c r="L780" s="6"/>
      <c r="M780" s="6"/>
      <c r="N780" s="7"/>
    </row>
    <row x14ac:dyDescent="0.25" r="781" customHeight="1" ht="18.75">
      <c r="A781" s="10" t="s">
        <v>848</v>
      </c>
      <c r="B781" s="11">
        <v>54</v>
      </c>
      <c r="C781" s="3"/>
      <c r="D781" s="3"/>
      <c r="E781" s="5"/>
      <c r="F781" s="3"/>
      <c r="G781" s="3"/>
      <c r="H781" s="5"/>
      <c r="I781" s="5"/>
      <c r="J781" s="5"/>
      <c r="K781" s="5"/>
      <c r="L781" s="6"/>
      <c r="M781" s="6"/>
      <c r="N781" s="7"/>
    </row>
    <row x14ac:dyDescent="0.25" r="782" customHeight="1" ht="18.75">
      <c r="A782" s="10" t="s">
        <v>849</v>
      </c>
      <c r="B782" s="11">
        <v>54</v>
      </c>
      <c r="C782" s="3"/>
      <c r="D782" s="3"/>
      <c r="E782" s="5"/>
      <c r="F782" s="3"/>
      <c r="G782" s="3"/>
      <c r="H782" s="5"/>
      <c r="I782" s="5"/>
      <c r="J782" s="5"/>
      <c r="K782" s="5"/>
      <c r="L782" s="6"/>
      <c r="M782" s="6"/>
      <c r="N782" s="7"/>
    </row>
    <row x14ac:dyDescent="0.25" r="783" customHeight="1" ht="18.75">
      <c r="A783" s="10" t="s">
        <v>850</v>
      </c>
      <c r="B783" s="11">
        <v>54</v>
      </c>
      <c r="C783" s="3"/>
      <c r="D783" s="3"/>
      <c r="E783" s="5"/>
      <c r="F783" s="3"/>
      <c r="G783" s="3"/>
      <c r="H783" s="5"/>
      <c r="I783" s="5"/>
      <c r="J783" s="5"/>
      <c r="K783" s="5"/>
      <c r="L783" s="6"/>
      <c r="M783" s="6"/>
      <c r="N783" s="7"/>
    </row>
    <row x14ac:dyDescent="0.25" r="784" customHeight="1" ht="18.75">
      <c r="A784" s="10" t="s">
        <v>851</v>
      </c>
      <c r="B784" s="11">
        <v>54</v>
      </c>
      <c r="C784" s="3"/>
      <c r="D784" s="3"/>
      <c r="E784" s="5"/>
      <c r="F784" s="3"/>
      <c r="G784" s="3"/>
      <c r="H784" s="5"/>
      <c r="I784" s="5"/>
      <c r="J784" s="5"/>
      <c r="K784" s="5"/>
      <c r="L784" s="6"/>
      <c r="M784" s="6"/>
      <c r="N784" s="7"/>
    </row>
    <row x14ac:dyDescent="0.25" r="785" customHeight="1" ht="18.75">
      <c r="A785" s="10" t="s">
        <v>852</v>
      </c>
      <c r="B785" s="11">
        <v>54</v>
      </c>
      <c r="C785" s="3"/>
      <c r="D785" s="3"/>
      <c r="E785" s="5"/>
      <c r="F785" s="3"/>
      <c r="G785" s="3"/>
      <c r="H785" s="5"/>
      <c r="I785" s="5"/>
      <c r="J785" s="5"/>
      <c r="K785" s="5"/>
      <c r="L785" s="6"/>
      <c r="M785" s="6"/>
      <c r="N785" s="7"/>
    </row>
    <row x14ac:dyDescent="0.25" r="786" customHeight="1" ht="18.75">
      <c r="A786" s="10" t="s">
        <v>853</v>
      </c>
      <c r="B786" s="11">
        <v>54</v>
      </c>
      <c r="C786" s="3"/>
      <c r="D786" s="3"/>
      <c r="E786" s="5"/>
      <c r="F786" s="3"/>
      <c r="G786" s="3"/>
      <c r="H786" s="5"/>
      <c r="I786" s="5"/>
      <c r="J786" s="5"/>
      <c r="K786" s="5"/>
      <c r="L786" s="6"/>
      <c r="M786" s="6"/>
      <c r="N786" s="7"/>
    </row>
    <row x14ac:dyDescent="0.25" r="787" customHeight="1" ht="18.75">
      <c r="A787" s="10" t="s">
        <v>854</v>
      </c>
      <c r="B787" s="11">
        <v>54</v>
      </c>
      <c r="C787" s="3"/>
      <c r="D787" s="3"/>
      <c r="E787" s="5"/>
      <c r="F787" s="3"/>
      <c r="G787" s="3"/>
      <c r="H787" s="5"/>
      <c r="I787" s="5"/>
      <c r="J787" s="5"/>
      <c r="K787" s="5"/>
      <c r="L787" s="6"/>
      <c r="M787" s="6"/>
      <c r="N787" s="7"/>
    </row>
    <row x14ac:dyDescent="0.25" r="788" customHeight="1" ht="18.75">
      <c r="A788" s="10" t="s">
        <v>855</v>
      </c>
      <c r="B788" s="11">
        <v>55</v>
      </c>
      <c r="C788" s="3"/>
      <c r="D788" s="3"/>
      <c r="E788" s="5"/>
      <c r="F788" s="3"/>
      <c r="G788" s="3"/>
      <c r="H788" s="5"/>
      <c r="I788" s="5"/>
      <c r="J788" s="5"/>
      <c r="K788" s="5"/>
      <c r="L788" s="6"/>
      <c r="M788" s="6"/>
      <c r="N788" s="7"/>
    </row>
    <row x14ac:dyDescent="0.25" r="789" customHeight="1" ht="18.75">
      <c r="A789" s="10" t="s">
        <v>856</v>
      </c>
      <c r="B789" s="11">
        <v>55</v>
      </c>
      <c r="C789" s="3"/>
      <c r="D789" s="3"/>
      <c r="E789" s="5"/>
      <c r="F789" s="3"/>
      <c r="G789" s="3"/>
      <c r="H789" s="5"/>
      <c r="I789" s="5"/>
      <c r="J789" s="5"/>
      <c r="K789" s="5"/>
      <c r="L789" s="6"/>
      <c r="M789" s="6"/>
      <c r="N789" s="7"/>
    </row>
    <row x14ac:dyDescent="0.25" r="790" customHeight="1" ht="18.75">
      <c r="A790" s="10" t="s">
        <v>857</v>
      </c>
      <c r="B790" s="11">
        <v>55</v>
      </c>
      <c r="C790" s="3"/>
      <c r="D790" s="3"/>
      <c r="E790" s="5"/>
      <c r="F790" s="3"/>
      <c r="G790" s="3"/>
      <c r="H790" s="5"/>
      <c r="I790" s="5"/>
      <c r="J790" s="5"/>
      <c r="K790" s="5"/>
      <c r="L790" s="6"/>
      <c r="M790" s="6"/>
      <c r="N790" s="7"/>
    </row>
    <row x14ac:dyDescent="0.25" r="791" customHeight="1" ht="18.75">
      <c r="A791" s="10" t="s">
        <v>858</v>
      </c>
      <c r="B791" s="11">
        <v>55</v>
      </c>
      <c r="C791" s="3"/>
      <c r="D791" s="3"/>
      <c r="E791" s="5"/>
      <c r="F791" s="3"/>
      <c r="G791" s="3"/>
      <c r="H791" s="5"/>
      <c r="I791" s="5"/>
      <c r="J791" s="5"/>
      <c r="K791" s="5"/>
      <c r="L791" s="6"/>
      <c r="M791" s="6"/>
      <c r="N791" s="7"/>
    </row>
    <row x14ac:dyDescent="0.25" r="792" customHeight="1" ht="18.75">
      <c r="A792" s="10" t="s">
        <v>859</v>
      </c>
      <c r="B792" s="11">
        <v>55</v>
      </c>
      <c r="C792" s="3"/>
      <c r="D792" s="3"/>
      <c r="E792" s="5"/>
      <c r="F792" s="3"/>
      <c r="G792" s="3"/>
      <c r="H792" s="5"/>
      <c r="I792" s="5"/>
      <c r="J792" s="5"/>
      <c r="K792" s="5"/>
      <c r="L792" s="6"/>
      <c r="M792" s="6"/>
      <c r="N792" s="7"/>
    </row>
    <row x14ac:dyDescent="0.25" r="793" customHeight="1" ht="18.75">
      <c r="A793" s="10" t="s">
        <v>860</v>
      </c>
      <c r="B793" s="11">
        <v>55</v>
      </c>
      <c r="C793" s="3"/>
      <c r="D793" s="3"/>
      <c r="E793" s="5"/>
      <c r="F793" s="3"/>
      <c r="G793" s="3"/>
      <c r="H793" s="5"/>
      <c r="I793" s="5"/>
      <c r="J793" s="5"/>
      <c r="K793" s="5"/>
      <c r="L793" s="6"/>
      <c r="M793" s="6"/>
      <c r="N793" s="7"/>
    </row>
    <row x14ac:dyDescent="0.25" r="794" customHeight="1" ht="18.75">
      <c r="A794" s="10" t="s">
        <v>861</v>
      </c>
      <c r="B794" s="11">
        <v>55</v>
      </c>
      <c r="C794" s="3"/>
      <c r="D794" s="3"/>
      <c r="E794" s="5"/>
      <c r="F794" s="3"/>
      <c r="G794" s="3"/>
      <c r="H794" s="5"/>
      <c r="I794" s="5"/>
      <c r="J794" s="5"/>
      <c r="K794" s="5"/>
      <c r="L794" s="6"/>
      <c r="M794" s="6"/>
      <c r="N794" s="7"/>
    </row>
    <row x14ac:dyDescent="0.25" r="795" customHeight="1" ht="18.75">
      <c r="A795" s="10" t="s">
        <v>862</v>
      </c>
      <c r="B795" s="11">
        <v>55</v>
      </c>
      <c r="C795" s="3"/>
      <c r="D795" s="3"/>
      <c r="E795" s="5"/>
      <c r="F795" s="3"/>
      <c r="G795" s="3"/>
      <c r="H795" s="5"/>
      <c r="I795" s="5"/>
      <c r="J795" s="5"/>
      <c r="K795" s="5"/>
      <c r="L795" s="6"/>
      <c r="M795" s="6"/>
      <c r="N795" s="7"/>
    </row>
    <row x14ac:dyDescent="0.25" r="796" customHeight="1" ht="18.75">
      <c r="A796" s="10" t="s">
        <v>863</v>
      </c>
      <c r="B796" s="11">
        <v>55</v>
      </c>
      <c r="C796" s="3"/>
      <c r="D796" s="3"/>
      <c r="E796" s="5"/>
      <c r="F796" s="3"/>
      <c r="G796" s="3"/>
      <c r="H796" s="5"/>
      <c r="I796" s="5"/>
      <c r="J796" s="5"/>
      <c r="K796" s="5"/>
      <c r="L796" s="6"/>
      <c r="M796" s="6"/>
      <c r="N796" s="7"/>
    </row>
    <row x14ac:dyDescent="0.25" r="797" customHeight="1" ht="18.75">
      <c r="A797" s="10" t="s">
        <v>864</v>
      </c>
      <c r="B797" s="11">
        <v>55</v>
      </c>
      <c r="C797" s="3"/>
      <c r="D797" s="3"/>
      <c r="E797" s="5"/>
      <c r="F797" s="3"/>
      <c r="G797" s="3"/>
      <c r="H797" s="5"/>
      <c r="I797" s="5"/>
      <c r="J797" s="5"/>
      <c r="K797" s="5"/>
      <c r="L797" s="6"/>
      <c r="M797" s="6"/>
      <c r="N797" s="7"/>
    </row>
    <row x14ac:dyDescent="0.25" r="798" customHeight="1" ht="18.75">
      <c r="A798" s="10" t="s">
        <v>865</v>
      </c>
      <c r="B798" s="11">
        <v>55</v>
      </c>
      <c r="C798" s="3"/>
      <c r="D798" s="3"/>
      <c r="E798" s="5"/>
      <c r="F798" s="3"/>
      <c r="G798" s="3"/>
      <c r="H798" s="5"/>
      <c r="I798" s="5"/>
      <c r="J798" s="5"/>
      <c r="K798" s="5"/>
      <c r="L798" s="6"/>
      <c r="M798" s="6"/>
      <c r="N798" s="7"/>
    </row>
    <row x14ac:dyDescent="0.25" r="799" customHeight="1" ht="18.75">
      <c r="A799" s="10" t="s">
        <v>866</v>
      </c>
      <c r="B799" s="11">
        <v>55</v>
      </c>
      <c r="C799" s="3"/>
      <c r="D799" s="3"/>
      <c r="E799" s="5"/>
      <c r="F799" s="3"/>
      <c r="G799" s="3"/>
      <c r="H799" s="5"/>
      <c r="I799" s="5"/>
      <c r="J799" s="5"/>
      <c r="K799" s="5"/>
      <c r="L799" s="6"/>
      <c r="M799" s="6"/>
      <c r="N799" s="7"/>
    </row>
    <row x14ac:dyDescent="0.25" r="800" customHeight="1" ht="18.75">
      <c r="A800" s="10" t="s">
        <v>867</v>
      </c>
      <c r="B800" s="11">
        <v>55</v>
      </c>
      <c r="C800" s="3"/>
      <c r="D800" s="3"/>
      <c r="E800" s="5"/>
      <c r="F800" s="3"/>
      <c r="G800" s="3"/>
      <c r="H800" s="5"/>
      <c r="I800" s="5"/>
      <c r="J800" s="5"/>
      <c r="K800" s="5"/>
      <c r="L800" s="6"/>
      <c r="M800" s="6"/>
      <c r="N800" s="7"/>
    </row>
    <row x14ac:dyDescent="0.25" r="801" customHeight="1" ht="18.75">
      <c r="A801" s="10" t="s">
        <v>868</v>
      </c>
      <c r="B801" s="11">
        <v>55</v>
      </c>
      <c r="C801" s="3"/>
      <c r="D801" s="3"/>
      <c r="E801" s="5"/>
      <c r="F801" s="3"/>
      <c r="G801" s="3"/>
      <c r="H801" s="5"/>
      <c r="I801" s="5"/>
      <c r="J801" s="5"/>
      <c r="K801" s="5"/>
      <c r="L801" s="6"/>
      <c r="M801" s="6"/>
      <c r="N801" s="7"/>
    </row>
    <row x14ac:dyDescent="0.25" r="802" customHeight="1" ht="18.75">
      <c r="A802" s="10" t="s">
        <v>869</v>
      </c>
      <c r="B802" s="11">
        <v>55</v>
      </c>
      <c r="C802" s="3"/>
      <c r="D802" s="3"/>
      <c r="E802" s="5"/>
      <c r="F802" s="3"/>
      <c r="G802" s="3"/>
      <c r="H802" s="5"/>
      <c r="I802" s="5"/>
      <c r="J802" s="5"/>
      <c r="K802" s="5"/>
      <c r="L802" s="6"/>
      <c r="M802" s="6"/>
      <c r="N802" s="7"/>
    </row>
    <row x14ac:dyDescent="0.25" r="803" customHeight="1" ht="18.75">
      <c r="A803" s="10" t="s">
        <v>870</v>
      </c>
      <c r="B803" s="11">
        <v>55</v>
      </c>
      <c r="C803" s="3"/>
      <c r="D803" s="3"/>
      <c r="E803" s="5"/>
      <c r="F803" s="3"/>
      <c r="G803" s="3"/>
      <c r="H803" s="5"/>
      <c r="I803" s="5"/>
      <c r="J803" s="5"/>
      <c r="K803" s="5"/>
      <c r="L803" s="6"/>
      <c r="M803" s="6"/>
      <c r="N803" s="7"/>
    </row>
    <row x14ac:dyDescent="0.25" r="804" customHeight="1" ht="18.75">
      <c r="A804" s="10" t="s">
        <v>871</v>
      </c>
      <c r="B804" s="11">
        <v>55</v>
      </c>
      <c r="C804" s="3"/>
      <c r="D804" s="3"/>
      <c r="E804" s="5"/>
      <c r="F804" s="3"/>
      <c r="G804" s="3"/>
      <c r="H804" s="5"/>
      <c r="I804" s="5"/>
      <c r="J804" s="5"/>
      <c r="K804" s="5"/>
      <c r="L804" s="6"/>
      <c r="M804" s="6"/>
      <c r="N804" s="7"/>
    </row>
    <row x14ac:dyDescent="0.25" r="805" customHeight="1" ht="18.75">
      <c r="A805" s="10" t="s">
        <v>872</v>
      </c>
      <c r="B805" s="11">
        <v>55</v>
      </c>
      <c r="C805" s="3"/>
      <c r="D805" s="3"/>
      <c r="E805" s="5"/>
      <c r="F805" s="3"/>
      <c r="G805" s="3"/>
      <c r="H805" s="5"/>
      <c r="I805" s="5"/>
      <c r="J805" s="5"/>
      <c r="K805" s="5"/>
      <c r="L805" s="6"/>
      <c r="M805" s="6"/>
      <c r="N805" s="7"/>
    </row>
    <row x14ac:dyDescent="0.25" r="806" customHeight="1" ht="18.75">
      <c r="A806" s="10" t="s">
        <v>873</v>
      </c>
      <c r="B806" s="11">
        <v>55</v>
      </c>
      <c r="C806" s="3"/>
      <c r="D806" s="3"/>
      <c r="E806" s="5"/>
      <c r="F806" s="3"/>
      <c r="G806" s="3"/>
      <c r="H806" s="5"/>
      <c r="I806" s="5"/>
      <c r="J806" s="5"/>
      <c r="K806" s="5"/>
      <c r="L806" s="6"/>
      <c r="M806" s="6"/>
      <c r="N806" s="7"/>
    </row>
    <row x14ac:dyDescent="0.25" r="807" customHeight="1" ht="18.75">
      <c r="A807" s="10" t="s">
        <v>874</v>
      </c>
      <c r="B807" s="11">
        <v>55</v>
      </c>
      <c r="C807" s="3"/>
      <c r="D807" s="3"/>
      <c r="E807" s="5"/>
      <c r="F807" s="3"/>
      <c r="G807" s="3"/>
      <c r="H807" s="5"/>
      <c r="I807" s="5"/>
      <c r="J807" s="5"/>
      <c r="K807" s="5"/>
      <c r="L807" s="6"/>
      <c r="M807" s="6"/>
      <c r="N807" s="7"/>
    </row>
    <row x14ac:dyDescent="0.25" r="808" customHeight="1" ht="18.75">
      <c r="A808" s="10" t="s">
        <v>875</v>
      </c>
      <c r="B808" s="11">
        <v>55</v>
      </c>
      <c r="C808" s="3"/>
      <c r="D808" s="3"/>
      <c r="E808" s="5"/>
      <c r="F808" s="3"/>
      <c r="G808" s="3"/>
      <c r="H808" s="5"/>
      <c r="I808" s="5"/>
      <c r="J808" s="5"/>
      <c r="K808" s="5"/>
      <c r="L808" s="6"/>
      <c r="M808" s="6"/>
      <c r="N808" s="7"/>
    </row>
    <row x14ac:dyDescent="0.25" r="809" customHeight="1" ht="18.75">
      <c r="A809" s="10" t="s">
        <v>876</v>
      </c>
      <c r="B809" s="11">
        <v>55</v>
      </c>
      <c r="C809" s="3"/>
      <c r="D809" s="3"/>
      <c r="E809" s="5"/>
      <c r="F809" s="3"/>
      <c r="G809" s="3"/>
      <c r="H809" s="5"/>
      <c r="I809" s="5"/>
      <c r="J809" s="5"/>
      <c r="K809" s="5"/>
      <c r="L809" s="6"/>
      <c r="M809" s="6"/>
      <c r="N809" s="7"/>
    </row>
    <row x14ac:dyDescent="0.25" r="810" customHeight="1" ht="18.75">
      <c r="A810" s="10" t="s">
        <v>877</v>
      </c>
      <c r="B810" s="11">
        <v>55</v>
      </c>
      <c r="C810" s="3"/>
      <c r="D810" s="3"/>
      <c r="E810" s="5"/>
      <c r="F810" s="3"/>
      <c r="G810" s="3"/>
      <c r="H810" s="5"/>
      <c r="I810" s="5"/>
      <c r="J810" s="5"/>
      <c r="K810" s="5"/>
      <c r="L810" s="6"/>
      <c r="M810" s="6"/>
      <c r="N810" s="7"/>
    </row>
    <row x14ac:dyDescent="0.25" r="811" customHeight="1" ht="18.75">
      <c r="A811" s="10" t="s">
        <v>878</v>
      </c>
      <c r="B811" s="11">
        <v>55</v>
      </c>
      <c r="C811" s="3"/>
      <c r="D811" s="3"/>
      <c r="E811" s="5"/>
      <c r="F811" s="3"/>
      <c r="G811" s="3"/>
      <c r="H811" s="5"/>
      <c r="I811" s="5"/>
      <c r="J811" s="5"/>
      <c r="K811" s="5"/>
      <c r="L811" s="6"/>
      <c r="M811" s="6"/>
      <c r="N811" s="7"/>
    </row>
    <row x14ac:dyDescent="0.25" r="812" customHeight="1" ht="18.75">
      <c r="A812" s="10" t="s">
        <v>879</v>
      </c>
      <c r="B812" s="11">
        <v>55</v>
      </c>
      <c r="C812" s="3"/>
      <c r="D812" s="3"/>
      <c r="E812" s="5"/>
      <c r="F812" s="3"/>
      <c r="G812" s="3"/>
      <c r="H812" s="5"/>
      <c r="I812" s="5"/>
      <c r="J812" s="5"/>
      <c r="K812" s="5"/>
      <c r="L812" s="6"/>
      <c r="M812" s="6"/>
      <c r="N812" s="7"/>
    </row>
    <row x14ac:dyDescent="0.25" r="813" customHeight="1" ht="18.75">
      <c r="A813" s="10" t="s">
        <v>880</v>
      </c>
      <c r="B813" s="11">
        <v>55</v>
      </c>
      <c r="C813" s="3"/>
      <c r="D813" s="3"/>
      <c r="E813" s="5"/>
      <c r="F813" s="3"/>
      <c r="G813" s="3"/>
      <c r="H813" s="5"/>
      <c r="I813" s="5"/>
      <c r="J813" s="5"/>
      <c r="K813" s="5"/>
      <c r="L813" s="6"/>
      <c r="M813" s="6"/>
      <c r="N813" s="7"/>
    </row>
    <row x14ac:dyDescent="0.25" r="814" customHeight="1" ht="18.75">
      <c r="A814" s="10" t="s">
        <v>881</v>
      </c>
      <c r="B814" s="11">
        <v>55</v>
      </c>
      <c r="C814" s="3"/>
      <c r="D814" s="3"/>
      <c r="E814" s="5"/>
      <c r="F814" s="3"/>
      <c r="G814" s="3"/>
      <c r="H814" s="5"/>
      <c r="I814" s="5"/>
      <c r="J814" s="5"/>
      <c r="K814" s="5"/>
      <c r="L814" s="6"/>
      <c r="M814" s="6"/>
      <c r="N814" s="7"/>
    </row>
    <row x14ac:dyDescent="0.25" r="815" customHeight="1" ht="18.75">
      <c r="A815" s="10" t="s">
        <v>882</v>
      </c>
      <c r="B815" s="11">
        <v>55</v>
      </c>
      <c r="C815" s="3"/>
      <c r="D815" s="3"/>
      <c r="E815" s="5"/>
      <c r="F815" s="3"/>
      <c r="G815" s="3"/>
      <c r="H815" s="5"/>
      <c r="I815" s="5"/>
      <c r="J815" s="5"/>
      <c r="K815" s="5"/>
      <c r="L815" s="6"/>
      <c r="M815" s="6"/>
      <c r="N815" s="7"/>
    </row>
    <row x14ac:dyDescent="0.25" r="816" customHeight="1" ht="18.75">
      <c r="A816" s="10" t="s">
        <v>883</v>
      </c>
      <c r="B816" s="11">
        <v>55</v>
      </c>
      <c r="C816" s="3"/>
      <c r="D816" s="3"/>
      <c r="E816" s="5"/>
      <c r="F816" s="3"/>
      <c r="G816" s="3"/>
      <c r="H816" s="5"/>
      <c r="I816" s="5"/>
      <c r="J816" s="5"/>
      <c r="K816" s="5"/>
      <c r="L816" s="6"/>
      <c r="M816" s="6"/>
      <c r="N816" s="7"/>
    </row>
    <row x14ac:dyDescent="0.25" r="817" customHeight="1" ht="18.75">
      <c r="A817" s="10" t="s">
        <v>884</v>
      </c>
      <c r="B817" s="11">
        <v>55</v>
      </c>
      <c r="C817" s="3"/>
      <c r="D817" s="3"/>
      <c r="E817" s="5"/>
      <c r="F817" s="3"/>
      <c r="G817" s="3"/>
      <c r="H817" s="5"/>
      <c r="I817" s="5"/>
      <c r="J817" s="5"/>
      <c r="K817" s="5"/>
      <c r="L817" s="6"/>
      <c r="M817" s="6"/>
      <c r="N817" s="7"/>
    </row>
    <row x14ac:dyDescent="0.25" r="818" customHeight="1" ht="18.75">
      <c r="A818" s="10" t="s">
        <v>885</v>
      </c>
      <c r="B818" s="11">
        <v>55</v>
      </c>
      <c r="C818" s="3"/>
      <c r="D818" s="3"/>
      <c r="E818" s="5"/>
      <c r="F818" s="3"/>
      <c r="G818" s="3"/>
      <c r="H818" s="5"/>
      <c r="I818" s="5"/>
      <c r="J818" s="5"/>
      <c r="K818" s="5"/>
      <c r="L818" s="6"/>
      <c r="M818" s="6"/>
      <c r="N818" s="7"/>
    </row>
    <row x14ac:dyDescent="0.25" r="819" customHeight="1" ht="18.75">
      <c r="A819" s="10" t="s">
        <v>886</v>
      </c>
      <c r="B819" s="11">
        <v>55</v>
      </c>
      <c r="C819" s="3"/>
      <c r="D819" s="3"/>
      <c r="E819" s="5"/>
      <c r="F819" s="3"/>
      <c r="G819" s="3"/>
      <c r="H819" s="5"/>
      <c r="I819" s="5"/>
      <c r="J819" s="5"/>
      <c r="K819" s="5"/>
      <c r="L819" s="6"/>
      <c r="M819" s="6"/>
      <c r="N819" s="7"/>
    </row>
    <row x14ac:dyDescent="0.25" r="820" customHeight="1" ht="18.75">
      <c r="A820" s="10" t="s">
        <v>887</v>
      </c>
      <c r="B820" s="11">
        <v>55</v>
      </c>
      <c r="C820" s="3"/>
      <c r="D820" s="3"/>
      <c r="E820" s="5"/>
      <c r="F820" s="3"/>
      <c r="G820" s="3"/>
      <c r="H820" s="5"/>
      <c r="I820" s="5"/>
      <c r="J820" s="5"/>
      <c r="K820" s="5"/>
      <c r="L820" s="6"/>
      <c r="M820" s="6"/>
      <c r="N820" s="7"/>
    </row>
    <row x14ac:dyDescent="0.25" r="821" customHeight="1" ht="18.75">
      <c r="A821" s="10" t="s">
        <v>888</v>
      </c>
      <c r="B821" s="11">
        <v>55</v>
      </c>
      <c r="C821" s="3"/>
      <c r="D821" s="3"/>
      <c r="E821" s="5"/>
      <c r="F821" s="3"/>
      <c r="G821" s="3"/>
      <c r="H821" s="5"/>
      <c r="I821" s="5"/>
      <c r="J821" s="5"/>
      <c r="K821" s="5"/>
      <c r="L821" s="6"/>
      <c r="M821" s="6"/>
      <c r="N821" s="7"/>
    </row>
    <row x14ac:dyDescent="0.25" r="822" customHeight="1" ht="18.75">
      <c r="A822" s="10" t="s">
        <v>889</v>
      </c>
      <c r="B822" s="11">
        <v>55</v>
      </c>
      <c r="C822" s="3"/>
      <c r="D822" s="3"/>
      <c r="E822" s="5"/>
      <c r="F822" s="3"/>
      <c r="G822" s="3"/>
      <c r="H822" s="5"/>
      <c r="I822" s="5"/>
      <c r="J822" s="5"/>
      <c r="K822" s="5"/>
      <c r="L822" s="6"/>
      <c r="M822" s="6"/>
      <c r="N822" s="7"/>
    </row>
    <row x14ac:dyDescent="0.25" r="823" customHeight="1" ht="18.75">
      <c r="A823" s="10" t="s">
        <v>890</v>
      </c>
      <c r="B823" s="11">
        <v>55</v>
      </c>
      <c r="C823" s="3"/>
      <c r="D823" s="3"/>
      <c r="E823" s="5"/>
      <c r="F823" s="3"/>
      <c r="G823" s="3"/>
      <c r="H823" s="5"/>
      <c r="I823" s="5"/>
      <c r="J823" s="5"/>
      <c r="K823" s="5"/>
      <c r="L823" s="6"/>
      <c r="M823" s="6"/>
      <c r="N823" s="7"/>
    </row>
    <row x14ac:dyDescent="0.25" r="824" customHeight="1" ht="18.75">
      <c r="A824" s="10" t="s">
        <v>891</v>
      </c>
      <c r="B824" s="11">
        <v>55</v>
      </c>
      <c r="C824" s="3"/>
      <c r="D824" s="3"/>
      <c r="E824" s="5"/>
      <c r="F824" s="3"/>
      <c r="G824" s="3"/>
      <c r="H824" s="5"/>
      <c r="I824" s="5"/>
      <c r="J824" s="5"/>
      <c r="K824" s="5"/>
      <c r="L824" s="6"/>
      <c r="M824" s="6"/>
      <c r="N824" s="7"/>
    </row>
    <row x14ac:dyDescent="0.25" r="825" customHeight="1" ht="18.75">
      <c r="A825" s="10" t="s">
        <v>892</v>
      </c>
      <c r="B825" s="11">
        <v>55</v>
      </c>
      <c r="C825" s="3"/>
      <c r="D825" s="3"/>
      <c r="E825" s="5"/>
      <c r="F825" s="3"/>
      <c r="G825" s="3"/>
      <c r="H825" s="5"/>
      <c r="I825" s="5"/>
      <c r="J825" s="5"/>
      <c r="K825" s="5"/>
      <c r="L825" s="6"/>
      <c r="M825" s="6"/>
      <c r="N825" s="7"/>
    </row>
    <row x14ac:dyDescent="0.25" r="826" customHeight="1" ht="18.75">
      <c r="A826" s="10" t="s">
        <v>893</v>
      </c>
      <c r="B826" s="11">
        <v>55</v>
      </c>
      <c r="C826" s="3"/>
      <c r="D826" s="3"/>
      <c r="E826" s="5"/>
      <c r="F826" s="3"/>
      <c r="G826" s="3"/>
      <c r="H826" s="5"/>
      <c r="I826" s="5"/>
      <c r="J826" s="5"/>
      <c r="K826" s="5"/>
      <c r="L826" s="6"/>
      <c r="M826" s="6"/>
      <c r="N826" s="7"/>
    </row>
    <row x14ac:dyDescent="0.25" r="827" customHeight="1" ht="18.75">
      <c r="A827" s="10" t="s">
        <v>894</v>
      </c>
      <c r="B827" s="11">
        <v>55</v>
      </c>
      <c r="C827" s="3"/>
      <c r="D827" s="3"/>
      <c r="E827" s="5"/>
      <c r="F827" s="3"/>
      <c r="G827" s="3"/>
      <c r="H827" s="5"/>
      <c r="I827" s="5"/>
      <c r="J827" s="5"/>
      <c r="K827" s="5"/>
      <c r="L827" s="6"/>
      <c r="M827" s="6"/>
      <c r="N827" s="7"/>
    </row>
    <row x14ac:dyDescent="0.25" r="828" customHeight="1" ht="18.75">
      <c r="A828" s="10" t="s">
        <v>895</v>
      </c>
      <c r="B828" s="11">
        <v>55</v>
      </c>
      <c r="C828" s="3"/>
      <c r="D828" s="3"/>
      <c r="E828" s="5"/>
      <c r="F828" s="3"/>
      <c r="G828" s="3"/>
      <c r="H828" s="5"/>
      <c r="I828" s="5"/>
      <c r="J828" s="5"/>
      <c r="K828" s="5"/>
      <c r="L828" s="6"/>
      <c r="M828" s="6"/>
      <c r="N828" s="7"/>
    </row>
    <row x14ac:dyDescent="0.25" r="829" customHeight="1" ht="18.75">
      <c r="A829" s="10" t="s">
        <v>896</v>
      </c>
      <c r="B829" s="11">
        <v>55</v>
      </c>
      <c r="C829" s="3"/>
      <c r="D829" s="3"/>
      <c r="E829" s="5"/>
      <c r="F829" s="3"/>
      <c r="G829" s="3"/>
      <c r="H829" s="5"/>
      <c r="I829" s="5"/>
      <c r="J829" s="5"/>
      <c r="K829" s="5"/>
      <c r="L829" s="6"/>
      <c r="M829" s="6"/>
      <c r="N829" s="7"/>
    </row>
    <row x14ac:dyDescent="0.25" r="830" customHeight="1" ht="18.75">
      <c r="A830" s="10" t="s">
        <v>897</v>
      </c>
      <c r="B830" s="11">
        <v>55</v>
      </c>
      <c r="C830" s="3"/>
      <c r="D830" s="3"/>
      <c r="E830" s="5"/>
      <c r="F830" s="3"/>
      <c r="G830" s="3"/>
      <c r="H830" s="5"/>
      <c r="I830" s="5"/>
      <c r="J830" s="5"/>
      <c r="K830" s="5"/>
      <c r="L830" s="6"/>
      <c r="M830" s="6"/>
      <c r="N830" s="7"/>
    </row>
    <row x14ac:dyDescent="0.25" r="831" customHeight="1" ht="18.75">
      <c r="A831" s="10" t="s">
        <v>898</v>
      </c>
      <c r="B831" s="11">
        <v>55</v>
      </c>
      <c r="C831" s="3"/>
      <c r="D831" s="3"/>
      <c r="E831" s="5"/>
      <c r="F831" s="3"/>
      <c r="G831" s="3"/>
      <c r="H831" s="5"/>
      <c r="I831" s="5"/>
      <c r="J831" s="5"/>
      <c r="K831" s="5"/>
      <c r="L831" s="6"/>
      <c r="M831" s="6"/>
      <c r="N831" s="7"/>
    </row>
    <row x14ac:dyDescent="0.25" r="832" customHeight="1" ht="18.75">
      <c r="A832" s="10" t="s">
        <v>899</v>
      </c>
      <c r="B832" s="11">
        <v>55</v>
      </c>
      <c r="C832" s="3"/>
      <c r="D832" s="3"/>
      <c r="E832" s="5"/>
      <c r="F832" s="3"/>
      <c r="G832" s="3"/>
      <c r="H832" s="5"/>
      <c r="I832" s="5"/>
      <c r="J832" s="5"/>
      <c r="K832" s="5"/>
      <c r="L832" s="6"/>
      <c r="M832" s="6"/>
      <c r="N832" s="7"/>
    </row>
    <row x14ac:dyDescent="0.25" r="833" customHeight="1" ht="18.75">
      <c r="A833" s="10" t="s">
        <v>900</v>
      </c>
      <c r="B833" s="11">
        <v>55</v>
      </c>
      <c r="C833" s="3"/>
      <c r="D833" s="3"/>
      <c r="E833" s="5"/>
      <c r="F833" s="3"/>
      <c r="G833" s="3"/>
      <c r="H833" s="5"/>
      <c r="I833" s="5"/>
      <c r="J833" s="5"/>
      <c r="K833" s="5"/>
      <c r="L833" s="6"/>
      <c r="M833" s="6"/>
      <c r="N833" s="7"/>
    </row>
    <row x14ac:dyDescent="0.25" r="834" customHeight="1" ht="18.75">
      <c r="A834" s="10" t="s">
        <v>901</v>
      </c>
      <c r="B834" s="11">
        <v>55</v>
      </c>
      <c r="C834" s="3"/>
      <c r="D834" s="3"/>
      <c r="E834" s="5"/>
      <c r="F834" s="3"/>
      <c r="G834" s="3"/>
      <c r="H834" s="5"/>
      <c r="I834" s="5"/>
      <c r="J834" s="5"/>
      <c r="K834" s="5"/>
      <c r="L834" s="6"/>
      <c r="M834" s="6"/>
      <c r="N834" s="7"/>
    </row>
    <row x14ac:dyDescent="0.25" r="835" customHeight="1" ht="18.75">
      <c r="A835" s="10" t="s">
        <v>902</v>
      </c>
      <c r="B835" s="11">
        <v>55</v>
      </c>
      <c r="C835" s="3"/>
      <c r="D835" s="3"/>
      <c r="E835" s="5"/>
      <c r="F835" s="3"/>
      <c r="G835" s="3"/>
      <c r="H835" s="5"/>
      <c r="I835" s="5"/>
      <c r="J835" s="5"/>
      <c r="K835" s="5"/>
      <c r="L835" s="6"/>
      <c r="M835" s="6"/>
      <c r="N835" s="7"/>
    </row>
    <row x14ac:dyDescent="0.25" r="836" customHeight="1" ht="18.75">
      <c r="A836" s="10" t="s">
        <v>903</v>
      </c>
      <c r="B836" s="11">
        <v>55</v>
      </c>
      <c r="C836" s="3"/>
      <c r="D836" s="3"/>
      <c r="E836" s="5"/>
      <c r="F836" s="3"/>
      <c r="G836" s="3"/>
      <c r="H836" s="5"/>
      <c r="I836" s="5"/>
      <c r="J836" s="5"/>
      <c r="K836" s="5"/>
      <c r="L836" s="6"/>
      <c r="M836" s="6"/>
      <c r="N836" s="7"/>
    </row>
    <row x14ac:dyDescent="0.25" r="837" customHeight="1" ht="18.75">
      <c r="A837" s="10" t="s">
        <v>904</v>
      </c>
      <c r="B837" s="11">
        <v>56</v>
      </c>
      <c r="C837" s="3"/>
      <c r="D837" s="3"/>
      <c r="E837" s="5"/>
      <c r="F837" s="3"/>
      <c r="G837" s="3"/>
      <c r="H837" s="5"/>
      <c r="I837" s="5"/>
      <c r="J837" s="5"/>
      <c r="K837" s="5"/>
      <c r="L837" s="6"/>
      <c r="M837" s="6"/>
      <c r="N837" s="7"/>
    </row>
    <row x14ac:dyDescent="0.25" r="838" customHeight="1" ht="18.75">
      <c r="A838" s="10" t="s">
        <v>905</v>
      </c>
      <c r="B838" s="11">
        <v>56</v>
      </c>
      <c r="C838" s="3"/>
      <c r="D838" s="3"/>
      <c r="E838" s="5"/>
      <c r="F838" s="3"/>
      <c r="G838" s="3"/>
      <c r="H838" s="5"/>
      <c r="I838" s="5"/>
      <c r="J838" s="5"/>
      <c r="K838" s="5"/>
      <c r="L838" s="6"/>
      <c r="M838" s="6"/>
      <c r="N838" s="7"/>
    </row>
    <row x14ac:dyDescent="0.25" r="839" customHeight="1" ht="18.75">
      <c r="A839" s="10" t="s">
        <v>906</v>
      </c>
      <c r="B839" s="11">
        <v>56</v>
      </c>
      <c r="C839" s="3"/>
      <c r="D839" s="3"/>
      <c r="E839" s="5"/>
      <c r="F839" s="3"/>
      <c r="G839" s="3"/>
      <c r="H839" s="5"/>
      <c r="I839" s="5"/>
      <c r="J839" s="5"/>
      <c r="K839" s="5"/>
      <c r="L839" s="6"/>
      <c r="M839" s="6"/>
      <c r="N839" s="7"/>
    </row>
    <row x14ac:dyDescent="0.25" r="840" customHeight="1" ht="18.75">
      <c r="A840" s="10" t="s">
        <v>907</v>
      </c>
      <c r="B840" s="11">
        <v>56</v>
      </c>
      <c r="C840" s="3"/>
      <c r="D840" s="3"/>
      <c r="E840" s="5"/>
      <c r="F840" s="3"/>
      <c r="G840" s="3"/>
      <c r="H840" s="5"/>
      <c r="I840" s="5"/>
      <c r="J840" s="5"/>
      <c r="K840" s="5"/>
      <c r="L840" s="6"/>
      <c r="M840" s="6"/>
      <c r="N840" s="7"/>
    </row>
    <row x14ac:dyDescent="0.25" r="841" customHeight="1" ht="18.75">
      <c r="A841" s="10" t="s">
        <v>908</v>
      </c>
      <c r="B841" s="11">
        <v>56</v>
      </c>
      <c r="C841" s="3"/>
      <c r="D841" s="3"/>
      <c r="E841" s="5"/>
      <c r="F841" s="3"/>
      <c r="G841" s="3"/>
      <c r="H841" s="5"/>
      <c r="I841" s="5"/>
      <c r="J841" s="5"/>
      <c r="K841" s="5"/>
      <c r="L841" s="6"/>
      <c r="M841" s="6"/>
      <c r="N841" s="7"/>
    </row>
    <row x14ac:dyDescent="0.25" r="842" customHeight="1" ht="18.75">
      <c r="A842" s="10" t="s">
        <v>909</v>
      </c>
      <c r="B842" s="11">
        <v>56</v>
      </c>
      <c r="C842" s="3"/>
      <c r="D842" s="3"/>
      <c r="E842" s="5"/>
      <c r="F842" s="3"/>
      <c r="G842" s="3"/>
      <c r="H842" s="5"/>
      <c r="I842" s="5"/>
      <c r="J842" s="5"/>
      <c r="K842" s="5"/>
      <c r="L842" s="6"/>
      <c r="M842" s="6"/>
      <c r="N842" s="7"/>
    </row>
    <row x14ac:dyDescent="0.25" r="843" customHeight="1" ht="18.75">
      <c r="A843" s="10" t="s">
        <v>910</v>
      </c>
      <c r="B843" s="11">
        <v>56</v>
      </c>
      <c r="C843" s="3"/>
      <c r="D843" s="3"/>
      <c r="E843" s="5"/>
      <c r="F843" s="3"/>
      <c r="G843" s="3"/>
      <c r="H843" s="5"/>
      <c r="I843" s="5"/>
      <c r="J843" s="5"/>
      <c r="K843" s="5"/>
      <c r="L843" s="6"/>
      <c r="M843" s="6"/>
      <c r="N843" s="7"/>
    </row>
    <row x14ac:dyDescent="0.25" r="844" customHeight="1" ht="18.75">
      <c r="A844" s="10" t="s">
        <v>911</v>
      </c>
      <c r="B844" s="11">
        <v>56</v>
      </c>
      <c r="C844" s="3"/>
      <c r="D844" s="3"/>
      <c r="E844" s="5"/>
      <c r="F844" s="3"/>
      <c r="G844" s="3"/>
      <c r="H844" s="5"/>
      <c r="I844" s="5"/>
      <c r="J844" s="5"/>
      <c r="K844" s="5"/>
      <c r="L844" s="6"/>
      <c r="M844" s="6"/>
      <c r="N844" s="7"/>
    </row>
    <row x14ac:dyDescent="0.25" r="845" customHeight="1" ht="18.75">
      <c r="A845" s="10" t="s">
        <v>912</v>
      </c>
      <c r="B845" s="11">
        <v>56</v>
      </c>
      <c r="C845" s="3"/>
      <c r="D845" s="3"/>
      <c r="E845" s="5"/>
      <c r="F845" s="3"/>
      <c r="G845" s="3"/>
      <c r="H845" s="5"/>
      <c r="I845" s="5"/>
      <c r="J845" s="5"/>
      <c r="K845" s="5"/>
      <c r="L845" s="6"/>
      <c r="M845" s="6"/>
      <c r="N845" s="7"/>
    </row>
    <row x14ac:dyDescent="0.25" r="846" customHeight="1" ht="18.75">
      <c r="A846" s="10" t="s">
        <v>913</v>
      </c>
      <c r="B846" s="11">
        <v>56</v>
      </c>
      <c r="C846" s="3"/>
      <c r="D846" s="3"/>
      <c r="E846" s="5"/>
      <c r="F846" s="3"/>
      <c r="G846" s="3"/>
      <c r="H846" s="5"/>
      <c r="I846" s="5"/>
      <c r="J846" s="5"/>
      <c r="K846" s="5"/>
      <c r="L846" s="6"/>
      <c r="M846" s="6"/>
      <c r="N846" s="7"/>
    </row>
    <row x14ac:dyDescent="0.25" r="847" customHeight="1" ht="18.75">
      <c r="A847" s="10" t="s">
        <v>914</v>
      </c>
      <c r="B847" s="11">
        <v>56</v>
      </c>
      <c r="C847" s="3"/>
      <c r="D847" s="3"/>
      <c r="E847" s="5"/>
      <c r="F847" s="3"/>
      <c r="G847" s="3"/>
      <c r="H847" s="5"/>
      <c r="I847" s="5"/>
      <c r="J847" s="5"/>
      <c r="K847" s="5"/>
      <c r="L847" s="6"/>
      <c r="M847" s="6"/>
      <c r="N847" s="7"/>
    </row>
    <row x14ac:dyDescent="0.25" r="848" customHeight="1" ht="18.75">
      <c r="A848" s="10" t="s">
        <v>915</v>
      </c>
      <c r="B848" s="11">
        <v>56</v>
      </c>
      <c r="C848" s="3"/>
      <c r="D848" s="3"/>
      <c r="E848" s="5"/>
      <c r="F848" s="3"/>
      <c r="G848" s="3"/>
      <c r="H848" s="5"/>
      <c r="I848" s="5"/>
      <c r="J848" s="5"/>
      <c r="K848" s="5"/>
      <c r="L848" s="6"/>
      <c r="M848" s="6"/>
      <c r="N848" s="7"/>
    </row>
    <row x14ac:dyDescent="0.25" r="849" customHeight="1" ht="18.75">
      <c r="A849" s="10" t="s">
        <v>916</v>
      </c>
      <c r="B849" s="11">
        <v>56</v>
      </c>
      <c r="C849" s="3"/>
      <c r="D849" s="3"/>
      <c r="E849" s="5"/>
      <c r="F849" s="3"/>
      <c r="G849" s="3"/>
      <c r="H849" s="5"/>
      <c r="I849" s="5"/>
      <c r="J849" s="5"/>
      <c r="K849" s="5"/>
      <c r="L849" s="6"/>
      <c r="M849" s="6"/>
      <c r="N849" s="7"/>
    </row>
    <row x14ac:dyDescent="0.25" r="850" customHeight="1" ht="18.75">
      <c r="A850" s="10" t="s">
        <v>917</v>
      </c>
      <c r="B850" s="11">
        <v>56</v>
      </c>
      <c r="C850" s="3"/>
      <c r="D850" s="3"/>
      <c r="E850" s="5"/>
      <c r="F850" s="3"/>
      <c r="G850" s="3"/>
      <c r="H850" s="5"/>
      <c r="I850" s="5"/>
      <c r="J850" s="5"/>
      <c r="K850" s="5"/>
      <c r="L850" s="6"/>
      <c r="M850" s="6"/>
      <c r="N850" s="7"/>
    </row>
    <row x14ac:dyDescent="0.25" r="851" customHeight="1" ht="18.75">
      <c r="A851" s="10" t="s">
        <v>918</v>
      </c>
      <c r="B851" s="11">
        <v>56</v>
      </c>
      <c r="C851" s="3"/>
      <c r="D851" s="3"/>
      <c r="E851" s="5"/>
      <c r="F851" s="3"/>
      <c r="G851" s="3"/>
      <c r="H851" s="5"/>
      <c r="I851" s="5"/>
      <c r="J851" s="5"/>
      <c r="K851" s="5"/>
      <c r="L851" s="6"/>
      <c r="M851" s="6"/>
      <c r="N851" s="7"/>
    </row>
    <row x14ac:dyDescent="0.25" r="852" customHeight="1" ht="18.75">
      <c r="A852" s="10" t="s">
        <v>919</v>
      </c>
      <c r="B852" s="11">
        <v>56</v>
      </c>
      <c r="C852" s="3"/>
      <c r="D852" s="3"/>
      <c r="E852" s="5"/>
      <c r="F852" s="3"/>
      <c r="G852" s="3"/>
      <c r="H852" s="5"/>
      <c r="I852" s="5"/>
      <c r="J852" s="5"/>
      <c r="K852" s="5"/>
      <c r="L852" s="6"/>
      <c r="M852" s="6"/>
      <c r="N852" s="7"/>
    </row>
    <row x14ac:dyDescent="0.25" r="853" customHeight="1" ht="18.75">
      <c r="A853" s="10" t="s">
        <v>920</v>
      </c>
      <c r="B853" s="11">
        <v>57</v>
      </c>
      <c r="C853" s="3"/>
      <c r="D853" s="3"/>
      <c r="E853" s="5"/>
      <c r="F853" s="3"/>
      <c r="G853" s="3"/>
      <c r="H853" s="5"/>
      <c r="I853" s="5"/>
      <c r="J853" s="5"/>
      <c r="K853" s="5"/>
      <c r="L853" s="6"/>
      <c r="M853" s="6"/>
      <c r="N853" s="7"/>
    </row>
    <row x14ac:dyDescent="0.25" r="854" customHeight="1" ht="18.75">
      <c r="A854" s="10" t="s">
        <v>921</v>
      </c>
      <c r="B854" s="11">
        <v>57</v>
      </c>
      <c r="C854" s="3"/>
      <c r="D854" s="3"/>
      <c r="E854" s="5"/>
      <c r="F854" s="3"/>
      <c r="G854" s="3"/>
      <c r="H854" s="5"/>
      <c r="I854" s="5"/>
      <c r="J854" s="5"/>
      <c r="K854" s="5"/>
      <c r="L854" s="6"/>
      <c r="M854" s="6"/>
      <c r="N854" s="7"/>
    </row>
    <row x14ac:dyDescent="0.25" r="855" customHeight="1" ht="18.75">
      <c r="A855" s="10" t="s">
        <v>922</v>
      </c>
      <c r="B855" s="11">
        <v>57</v>
      </c>
      <c r="C855" s="3"/>
      <c r="D855" s="3"/>
      <c r="E855" s="5"/>
      <c r="F855" s="3"/>
      <c r="G855" s="3"/>
      <c r="H855" s="5"/>
      <c r="I855" s="5"/>
      <c r="J855" s="5"/>
      <c r="K855" s="5"/>
      <c r="L855" s="6"/>
      <c r="M855" s="6"/>
      <c r="N855" s="7"/>
    </row>
    <row x14ac:dyDescent="0.25" r="856" customHeight="1" ht="18.75">
      <c r="A856" s="10" t="s">
        <v>923</v>
      </c>
      <c r="B856" s="11">
        <v>57</v>
      </c>
      <c r="C856" s="3"/>
      <c r="D856" s="3"/>
      <c r="E856" s="5"/>
      <c r="F856" s="3"/>
      <c r="G856" s="3"/>
      <c r="H856" s="5"/>
      <c r="I856" s="5"/>
      <c r="J856" s="5"/>
      <c r="K856" s="5"/>
      <c r="L856" s="6"/>
      <c r="M856" s="6"/>
      <c r="N856" s="7"/>
    </row>
    <row x14ac:dyDescent="0.25" r="857" customHeight="1" ht="18.75">
      <c r="A857" s="10" t="s">
        <v>924</v>
      </c>
      <c r="B857" s="11">
        <v>57</v>
      </c>
      <c r="C857" s="3"/>
      <c r="D857" s="3"/>
      <c r="E857" s="5"/>
      <c r="F857" s="3"/>
      <c r="G857" s="3"/>
      <c r="H857" s="5"/>
      <c r="I857" s="5"/>
      <c r="J857" s="5"/>
      <c r="K857" s="5"/>
      <c r="L857" s="6"/>
      <c r="M857" s="6"/>
      <c r="N857" s="7"/>
    </row>
    <row x14ac:dyDescent="0.25" r="858" customHeight="1" ht="18.75">
      <c r="A858" s="10" t="s">
        <v>925</v>
      </c>
      <c r="B858" s="11">
        <v>57</v>
      </c>
      <c r="C858" s="3"/>
      <c r="D858" s="3"/>
      <c r="E858" s="5"/>
      <c r="F858" s="3"/>
      <c r="G858" s="3"/>
      <c r="H858" s="5"/>
      <c r="I858" s="5"/>
      <c r="J858" s="5"/>
      <c r="K858" s="5"/>
      <c r="L858" s="6"/>
      <c r="M858" s="6"/>
      <c r="N858" s="7"/>
    </row>
    <row x14ac:dyDescent="0.25" r="859" customHeight="1" ht="18.75">
      <c r="A859" s="10" t="s">
        <v>926</v>
      </c>
      <c r="B859" s="11">
        <v>57</v>
      </c>
      <c r="C859" s="3"/>
      <c r="D859" s="3"/>
      <c r="E859" s="5"/>
      <c r="F859" s="3"/>
      <c r="G859" s="3"/>
      <c r="H859" s="5"/>
      <c r="I859" s="5"/>
      <c r="J859" s="5"/>
      <c r="K859" s="5"/>
      <c r="L859" s="6"/>
      <c r="M859" s="6"/>
      <c r="N859" s="7"/>
    </row>
    <row x14ac:dyDescent="0.25" r="860" customHeight="1" ht="18.75">
      <c r="A860" s="10" t="s">
        <v>927</v>
      </c>
      <c r="B860" s="11">
        <v>57</v>
      </c>
      <c r="C860" s="3"/>
      <c r="D860" s="3"/>
      <c r="E860" s="5"/>
      <c r="F860" s="3"/>
      <c r="G860" s="3"/>
      <c r="H860" s="5"/>
      <c r="I860" s="5"/>
      <c r="J860" s="5"/>
      <c r="K860" s="5"/>
      <c r="L860" s="6"/>
      <c r="M860" s="6"/>
      <c r="N860" s="7"/>
    </row>
    <row x14ac:dyDescent="0.25" r="861" customHeight="1" ht="18.75">
      <c r="A861" s="10" t="s">
        <v>928</v>
      </c>
      <c r="B861" s="11">
        <v>57</v>
      </c>
      <c r="C861" s="3"/>
      <c r="D861" s="3"/>
      <c r="E861" s="5"/>
      <c r="F861" s="3"/>
      <c r="G861" s="3"/>
      <c r="H861" s="5"/>
      <c r="I861" s="5"/>
      <c r="J861" s="5"/>
      <c r="K861" s="5"/>
      <c r="L861" s="6"/>
      <c r="M861" s="6"/>
      <c r="N861" s="7"/>
    </row>
    <row x14ac:dyDescent="0.25" r="862" customHeight="1" ht="18.75">
      <c r="A862" s="10" t="s">
        <v>929</v>
      </c>
      <c r="B862" s="11">
        <v>57</v>
      </c>
      <c r="C862" s="3"/>
      <c r="D862" s="3"/>
      <c r="E862" s="5"/>
      <c r="F862" s="3"/>
      <c r="G862" s="3"/>
      <c r="H862" s="5"/>
      <c r="I862" s="5"/>
      <c r="J862" s="5"/>
      <c r="K862" s="5"/>
      <c r="L862" s="6"/>
      <c r="M862" s="6"/>
      <c r="N862" s="7"/>
    </row>
    <row x14ac:dyDescent="0.25" r="863" customHeight="1" ht="18.75">
      <c r="A863" s="10" t="s">
        <v>930</v>
      </c>
      <c r="B863" s="11">
        <v>57</v>
      </c>
      <c r="C863" s="3"/>
      <c r="D863" s="3"/>
      <c r="E863" s="5"/>
      <c r="F863" s="3"/>
      <c r="G863" s="3"/>
      <c r="H863" s="5"/>
      <c r="I863" s="5"/>
      <c r="J863" s="5"/>
      <c r="K863" s="5"/>
      <c r="L863" s="6"/>
      <c r="M863" s="6"/>
      <c r="N863" s="7"/>
    </row>
    <row x14ac:dyDescent="0.25" r="864" customHeight="1" ht="18.75">
      <c r="A864" s="10" t="s">
        <v>931</v>
      </c>
      <c r="B864" s="11">
        <v>57</v>
      </c>
      <c r="C864" s="3"/>
      <c r="D864" s="3"/>
      <c r="E864" s="5"/>
      <c r="F864" s="3"/>
      <c r="G864" s="3"/>
      <c r="H864" s="5"/>
      <c r="I864" s="5"/>
      <c r="J864" s="5"/>
      <c r="K864" s="5"/>
      <c r="L864" s="6"/>
      <c r="M864" s="6"/>
      <c r="N864" s="7"/>
    </row>
    <row x14ac:dyDescent="0.25" r="865" customHeight="1" ht="18.75">
      <c r="A865" s="10" t="s">
        <v>932</v>
      </c>
      <c r="B865" s="11">
        <v>57</v>
      </c>
      <c r="C865" s="3"/>
      <c r="D865" s="3"/>
      <c r="E865" s="5"/>
      <c r="F865" s="3"/>
      <c r="G865" s="3"/>
      <c r="H865" s="5"/>
      <c r="I865" s="5"/>
      <c r="J865" s="5"/>
      <c r="K865" s="5"/>
      <c r="L865" s="6"/>
      <c r="M865" s="6"/>
      <c r="N865" s="7"/>
    </row>
    <row x14ac:dyDescent="0.25" r="866" customHeight="1" ht="18.75">
      <c r="A866" s="10" t="s">
        <v>933</v>
      </c>
      <c r="B866" s="11">
        <v>57</v>
      </c>
      <c r="C866" s="3"/>
      <c r="D866" s="3"/>
      <c r="E866" s="5"/>
      <c r="F866" s="3"/>
      <c r="G866" s="3"/>
      <c r="H866" s="5"/>
      <c r="I866" s="5"/>
      <c r="J866" s="5"/>
      <c r="K866" s="5"/>
      <c r="L866" s="6"/>
      <c r="M866" s="6"/>
      <c r="N866" s="7"/>
    </row>
    <row x14ac:dyDescent="0.25" r="867" customHeight="1" ht="18.75">
      <c r="A867" s="10" t="s">
        <v>934</v>
      </c>
      <c r="B867" s="11">
        <v>57</v>
      </c>
      <c r="C867" s="3"/>
      <c r="D867" s="3"/>
      <c r="E867" s="5"/>
      <c r="F867" s="3"/>
      <c r="G867" s="3"/>
      <c r="H867" s="5"/>
      <c r="I867" s="5"/>
      <c r="J867" s="5"/>
      <c r="K867" s="5"/>
      <c r="L867" s="6"/>
      <c r="M867" s="6"/>
      <c r="N867" s="7"/>
    </row>
    <row x14ac:dyDescent="0.25" r="868" customHeight="1" ht="18.75">
      <c r="A868" s="10" t="s">
        <v>935</v>
      </c>
      <c r="B868" s="11">
        <v>57</v>
      </c>
      <c r="C868" s="3"/>
      <c r="D868" s="3"/>
      <c r="E868" s="5"/>
      <c r="F868" s="3"/>
      <c r="G868" s="3"/>
      <c r="H868" s="5"/>
      <c r="I868" s="5"/>
      <c r="J868" s="5"/>
      <c r="K868" s="5"/>
      <c r="L868" s="6"/>
      <c r="M868" s="6"/>
      <c r="N868" s="7"/>
    </row>
    <row x14ac:dyDescent="0.25" r="869" customHeight="1" ht="18.75">
      <c r="A869" s="10" t="s">
        <v>936</v>
      </c>
      <c r="B869" s="11">
        <v>57</v>
      </c>
      <c r="C869" s="3"/>
      <c r="D869" s="3"/>
      <c r="E869" s="5"/>
      <c r="F869" s="3"/>
      <c r="G869" s="3"/>
      <c r="H869" s="5"/>
      <c r="I869" s="5"/>
      <c r="J869" s="5"/>
      <c r="K869" s="5"/>
      <c r="L869" s="6"/>
      <c r="M869" s="6"/>
      <c r="N869" s="7"/>
    </row>
    <row x14ac:dyDescent="0.25" r="870" customHeight="1" ht="18.75">
      <c r="A870" s="10" t="s">
        <v>937</v>
      </c>
      <c r="B870" s="11">
        <v>57</v>
      </c>
      <c r="C870" s="3"/>
      <c r="D870" s="3"/>
      <c r="E870" s="5"/>
      <c r="F870" s="3"/>
      <c r="G870" s="3"/>
      <c r="H870" s="5"/>
      <c r="I870" s="5"/>
      <c r="J870" s="5"/>
      <c r="K870" s="5"/>
      <c r="L870" s="6"/>
      <c r="M870" s="6"/>
      <c r="N870" s="7"/>
    </row>
    <row x14ac:dyDescent="0.25" r="871" customHeight="1" ht="18.75">
      <c r="A871" s="10" t="s">
        <v>938</v>
      </c>
      <c r="B871" s="11">
        <v>57</v>
      </c>
      <c r="C871" s="3"/>
      <c r="D871" s="3"/>
      <c r="E871" s="5"/>
      <c r="F871" s="3"/>
      <c r="G871" s="3"/>
      <c r="H871" s="5"/>
      <c r="I871" s="5"/>
      <c r="J871" s="5"/>
      <c r="K871" s="5"/>
      <c r="L871" s="6"/>
      <c r="M871" s="6"/>
      <c r="N871" s="7"/>
    </row>
    <row x14ac:dyDescent="0.25" r="872" customHeight="1" ht="18.75">
      <c r="A872" s="10" t="s">
        <v>939</v>
      </c>
      <c r="B872" s="11">
        <v>57</v>
      </c>
      <c r="C872" s="3"/>
      <c r="D872" s="3"/>
      <c r="E872" s="5"/>
      <c r="F872" s="3"/>
      <c r="G872" s="3"/>
      <c r="H872" s="5"/>
      <c r="I872" s="5"/>
      <c r="J872" s="5"/>
      <c r="K872" s="5"/>
      <c r="L872" s="6"/>
      <c r="M872" s="6"/>
      <c r="N872" s="7"/>
    </row>
    <row x14ac:dyDescent="0.25" r="873" customHeight="1" ht="18.75">
      <c r="A873" s="10" t="s">
        <v>940</v>
      </c>
      <c r="B873" s="11">
        <v>58</v>
      </c>
      <c r="C873" s="3"/>
      <c r="D873" s="3"/>
      <c r="E873" s="5"/>
      <c r="F873" s="3"/>
      <c r="G873" s="3"/>
      <c r="H873" s="5"/>
      <c r="I873" s="5"/>
      <c r="J873" s="5"/>
      <c r="K873" s="5"/>
      <c r="L873" s="6"/>
      <c r="M873" s="6"/>
      <c r="N873" s="7"/>
    </row>
    <row x14ac:dyDescent="0.25" r="874" customHeight="1" ht="18.75">
      <c r="A874" s="10" t="s">
        <v>941</v>
      </c>
      <c r="B874" s="11">
        <v>58</v>
      </c>
      <c r="C874" s="3"/>
      <c r="D874" s="3"/>
      <c r="E874" s="5"/>
      <c r="F874" s="3"/>
      <c r="G874" s="3"/>
      <c r="H874" s="5"/>
      <c r="I874" s="5"/>
      <c r="J874" s="5"/>
      <c r="K874" s="5"/>
      <c r="L874" s="6"/>
      <c r="M874" s="6"/>
      <c r="N874" s="7"/>
    </row>
    <row x14ac:dyDescent="0.25" r="875" customHeight="1" ht="18.75">
      <c r="A875" s="10" t="s">
        <v>942</v>
      </c>
      <c r="B875" s="11">
        <v>58</v>
      </c>
      <c r="C875" s="3"/>
      <c r="D875" s="3"/>
      <c r="E875" s="5"/>
      <c r="F875" s="3"/>
      <c r="G875" s="3"/>
      <c r="H875" s="5"/>
      <c r="I875" s="5"/>
      <c r="J875" s="5"/>
      <c r="K875" s="5"/>
      <c r="L875" s="6"/>
      <c r="M875" s="6"/>
      <c r="N875" s="7"/>
    </row>
    <row x14ac:dyDescent="0.25" r="876" customHeight="1" ht="18.75">
      <c r="A876" s="10" t="s">
        <v>943</v>
      </c>
      <c r="B876" s="11">
        <v>58</v>
      </c>
      <c r="C876" s="3"/>
      <c r="D876" s="3"/>
      <c r="E876" s="5"/>
      <c r="F876" s="3"/>
      <c r="G876" s="3"/>
      <c r="H876" s="5"/>
      <c r="I876" s="5"/>
      <c r="J876" s="5"/>
      <c r="K876" s="5"/>
      <c r="L876" s="6"/>
      <c r="M876" s="6"/>
      <c r="N876" s="7"/>
    </row>
    <row x14ac:dyDescent="0.25" r="877" customHeight="1" ht="18.75">
      <c r="A877" s="10" t="s">
        <v>944</v>
      </c>
      <c r="B877" s="11">
        <v>58</v>
      </c>
      <c r="C877" s="3"/>
      <c r="D877" s="3"/>
      <c r="E877" s="5"/>
      <c r="F877" s="3"/>
      <c r="G877" s="3"/>
      <c r="H877" s="5"/>
      <c r="I877" s="5"/>
      <c r="J877" s="5"/>
      <c r="K877" s="5"/>
      <c r="L877" s="6"/>
      <c r="M877" s="6"/>
      <c r="N877" s="7"/>
    </row>
    <row x14ac:dyDescent="0.25" r="878" customHeight="1" ht="18.75">
      <c r="A878" s="10" t="s">
        <v>945</v>
      </c>
      <c r="B878" s="11">
        <v>58</v>
      </c>
      <c r="C878" s="3"/>
      <c r="D878" s="3"/>
      <c r="E878" s="5"/>
      <c r="F878" s="3"/>
      <c r="G878" s="3"/>
      <c r="H878" s="5"/>
      <c r="I878" s="5"/>
      <c r="J878" s="5"/>
      <c r="K878" s="5"/>
      <c r="L878" s="6"/>
      <c r="M878" s="6"/>
      <c r="N878" s="7"/>
    </row>
    <row x14ac:dyDescent="0.25" r="879" customHeight="1" ht="18.75">
      <c r="A879" s="10" t="s">
        <v>946</v>
      </c>
      <c r="B879" s="11">
        <v>58</v>
      </c>
      <c r="C879" s="3"/>
      <c r="D879" s="3"/>
      <c r="E879" s="5"/>
      <c r="F879" s="3"/>
      <c r="G879" s="3"/>
      <c r="H879" s="5"/>
      <c r="I879" s="5"/>
      <c r="J879" s="5"/>
      <c r="K879" s="5"/>
      <c r="L879" s="6"/>
      <c r="M879" s="6"/>
      <c r="N879" s="7"/>
    </row>
    <row x14ac:dyDescent="0.25" r="880" customHeight="1" ht="18.75">
      <c r="A880" s="10" t="s">
        <v>947</v>
      </c>
      <c r="B880" s="11">
        <v>58</v>
      </c>
      <c r="C880" s="3"/>
      <c r="D880" s="3"/>
      <c r="E880" s="5"/>
      <c r="F880" s="3"/>
      <c r="G880" s="3"/>
      <c r="H880" s="5"/>
      <c r="I880" s="5"/>
      <c r="J880" s="5"/>
      <c r="K880" s="5"/>
      <c r="L880" s="6"/>
      <c r="M880" s="6"/>
      <c r="N880" s="7"/>
    </row>
    <row x14ac:dyDescent="0.25" r="881" customHeight="1" ht="18.75">
      <c r="A881" s="10" t="s">
        <v>948</v>
      </c>
      <c r="B881" s="11">
        <v>58</v>
      </c>
      <c r="C881" s="3"/>
      <c r="D881" s="3"/>
      <c r="E881" s="5"/>
      <c r="F881" s="3"/>
      <c r="G881" s="3"/>
      <c r="H881" s="5"/>
      <c r="I881" s="5"/>
      <c r="J881" s="5"/>
      <c r="K881" s="5"/>
      <c r="L881" s="6"/>
      <c r="M881" s="6"/>
      <c r="N881" s="7"/>
    </row>
    <row x14ac:dyDescent="0.25" r="882" customHeight="1" ht="18.75">
      <c r="A882" s="10" t="s">
        <v>949</v>
      </c>
      <c r="B882" s="11">
        <v>58</v>
      </c>
      <c r="C882" s="3"/>
      <c r="D882" s="3"/>
      <c r="E882" s="5"/>
      <c r="F882" s="3"/>
      <c r="G882" s="3"/>
      <c r="H882" s="5"/>
      <c r="I882" s="5"/>
      <c r="J882" s="5"/>
      <c r="K882" s="5"/>
      <c r="L882" s="6"/>
      <c r="M882" s="6"/>
      <c r="N882" s="7"/>
    </row>
    <row x14ac:dyDescent="0.25" r="883" customHeight="1" ht="18.75">
      <c r="A883" s="10" t="s">
        <v>950</v>
      </c>
      <c r="B883" s="11">
        <v>58</v>
      </c>
      <c r="C883" s="3"/>
      <c r="D883" s="3"/>
      <c r="E883" s="5"/>
      <c r="F883" s="3"/>
      <c r="G883" s="3"/>
      <c r="H883" s="5"/>
      <c r="I883" s="5"/>
      <c r="J883" s="5"/>
      <c r="K883" s="5"/>
      <c r="L883" s="6"/>
      <c r="M883" s="6"/>
      <c r="N883" s="7"/>
    </row>
    <row x14ac:dyDescent="0.25" r="884" customHeight="1" ht="18.75">
      <c r="A884" s="10" t="s">
        <v>951</v>
      </c>
      <c r="B884" s="11">
        <v>58</v>
      </c>
      <c r="C884" s="3"/>
      <c r="D884" s="3"/>
      <c r="E884" s="5"/>
      <c r="F884" s="3"/>
      <c r="G884" s="3"/>
      <c r="H884" s="5"/>
      <c r="I884" s="5"/>
      <c r="J884" s="5"/>
      <c r="K884" s="5"/>
      <c r="L884" s="6"/>
      <c r="M884" s="6"/>
      <c r="N884" s="7"/>
    </row>
    <row x14ac:dyDescent="0.25" r="885" customHeight="1" ht="18.75">
      <c r="A885" s="10" t="s">
        <v>952</v>
      </c>
      <c r="B885" s="11">
        <v>58</v>
      </c>
      <c r="C885" s="3"/>
      <c r="D885" s="3"/>
      <c r="E885" s="5"/>
      <c r="F885" s="3"/>
      <c r="G885" s="3"/>
      <c r="H885" s="5"/>
      <c r="I885" s="5"/>
      <c r="J885" s="5"/>
      <c r="K885" s="5"/>
      <c r="L885" s="6"/>
      <c r="M885" s="6"/>
      <c r="N885" s="7"/>
    </row>
    <row x14ac:dyDescent="0.25" r="886" customHeight="1" ht="18.75">
      <c r="A886" s="10" t="s">
        <v>953</v>
      </c>
      <c r="B886" s="11">
        <v>58</v>
      </c>
      <c r="C886" s="3"/>
      <c r="D886" s="3"/>
      <c r="E886" s="5"/>
      <c r="F886" s="3"/>
      <c r="G886" s="3"/>
      <c r="H886" s="5"/>
      <c r="I886" s="5"/>
      <c r="J886" s="5"/>
      <c r="K886" s="5"/>
      <c r="L886" s="6"/>
      <c r="M886" s="6"/>
      <c r="N886" s="7"/>
    </row>
    <row x14ac:dyDescent="0.25" r="887" customHeight="1" ht="18.75">
      <c r="A887" s="10" t="s">
        <v>954</v>
      </c>
      <c r="B887" s="11">
        <v>58</v>
      </c>
      <c r="C887" s="3"/>
      <c r="D887" s="3"/>
      <c r="E887" s="5"/>
      <c r="F887" s="3"/>
      <c r="G887" s="3"/>
      <c r="H887" s="5"/>
      <c r="I887" s="5"/>
      <c r="J887" s="5"/>
      <c r="K887" s="5"/>
      <c r="L887" s="6"/>
      <c r="M887" s="6"/>
      <c r="N887" s="7"/>
    </row>
    <row x14ac:dyDescent="0.25" r="888" customHeight="1" ht="18.75">
      <c r="A888" s="10" t="s">
        <v>955</v>
      </c>
      <c r="B888" s="11">
        <v>59</v>
      </c>
      <c r="C888" s="3"/>
      <c r="D888" s="3"/>
      <c r="E888" s="5"/>
      <c r="F888" s="3"/>
      <c r="G888" s="3"/>
      <c r="H888" s="5"/>
      <c r="I888" s="5"/>
      <c r="J888" s="5"/>
      <c r="K888" s="5"/>
      <c r="L888" s="6"/>
      <c r="M888" s="6"/>
      <c r="N888" s="7"/>
    </row>
    <row x14ac:dyDescent="0.25" r="889" customHeight="1" ht="18.75">
      <c r="A889" s="10" t="s">
        <v>956</v>
      </c>
      <c r="B889" s="11">
        <v>59</v>
      </c>
      <c r="C889" s="3"/>
      <c r="D889" s="3"/>
      <c r="E889" s="5"/>
      <c r="F889" s="3"/>
      <c r="G889" s="3"/>
      <c r="H889" s="5"/>
      <c r="I889" s="5"/>
      <c r="J889" s="5"/>
      <c r="K889" s="5"/>
      <c r="L889" s="6"/>
      <c r="M889" s="6"/>
      <c r="N889" s="7"/>
    </row>
    <row x14ac:dyDescent="0.25" r="890" customHeight="1" ht="18.75">
      <c r="A890" s="10" t="s">
        <v>957</v>
      </c>
      <c r="B890" s="11">
        <v>59</v>
      </c>
      <c r="C890" s="3"/>
      <c r="D890" s="3"/>
      <c r="E890" s="5"/>
      <c r="F890" s="3"/>
      <c r="G890" s="3"/>
      <c r="H890" s="5"/>
      <c r="I890" s="5"/>
      <c r="J890" s="5"/>
      <c r="K890" s="5"/>
      <c r="L890" s="6"/>
      <c r="M890" s="6"/>
      <c r="N890" s="7"/>
    </row>
    <row x14ac:dyDescent="0.25" r="891" customHeight="1" ht="18.75">
      <c r="A891" s="10" t="s">
        <v>958</v>
      </c>
      <c r="B891" s="11">
        <v>59</v>
      </c>
      <c r="C891" s="3"/>
      <c r="D891" s="3"/>
      <c r="E891" s="5"/>
      <c r="F891" s="3"/>
      <c r="G891" s="3"/>
      <c r="H891" s="5"/>
      <c r="I891" s="5"/>
      <c r="J891" s="5"/>
      <c r="K891" s="5"/>
      <c r="L891" s="6"/>
      <c r="M891" s="6"/>
      <c r="N891" s="7"/>
    </row>
    <row x14ac:dyDescent="0.25" r="892" customHeight="1" ht="18.75">
      <c r="A892" s="10" t="s">
        <v>959</v>
      </c>
      <c r="B892" s="11">
        <v>59</v>
      </c>
      <c r="C892" s="3"/>
      <c r="D892" s="3"/>
      <c r="E892" s="5"/>
      <c r="F892" s="3"/>
      <c r="G892" s="3"/>
      <c r="H892" s="5"/>
      <c r="I892" s="5"/>
      <c r="J892" s="5"/>
      <c r="K892" s="5"/>
      <c r="L892" s="6"/>
      <c r="M892" s="6"/>
      <c r="N892" s="7"/>
    </row>
    <row x14ac:dyDescent="0.25" r="893" customHeight="1" ht="18.75">
      <c r="A893" s="10" t="s">
        <v>960</v>
      </c>
      <c r="B893" s="11">
        <v>59</v>
      </c>
      <c r="C893" s="3"/>
      <c r="D893" s="3"/>
      <c r="E893" s="5"/>
      <c r="F893" s="3"/>
      <c r="G893" s="3"/>
      <c r="H893" s="5"/>
      <c r="I893" s="5"/>
      <c r="J893" s="5"/>
      <c r="K893" s="5"/>
      <c r="L893" s="6"/>
      <c r="M893" s="6"/>
      <c r="N893" s="7"/>
    </row>
    <row x14ac:dyDescent="0.25" r="894" customHeight="1" ht="18.75">
      <c r="A894" s="10" t="s">
        <v>961</v>
      </c>
      <c r="B894" s="11">
        <v>59</v>
      </c>
      <c r="C894" s="3"/>
      <c r="D894" s="3"/>
      <c r="E894" s="5"/>
      <c r="F894" s="3"/>
      <c r="G894" s="3"/>
      <c r="H894" s="5"/>
      <c r="I894" s="5"/>
      <c r="J894" s="5"/>
      <c r="K894" s="5"/>
      <c r="L894" s="6"/>
      <c r="M894" s="6"/>
      <c r="N894" s="7"/>
    </row>
    <row x14ac:dyDescent="0.25" r="895" customHeight="1" ht="18.75">
      <c r="A895" s="10" t="s">
        <v>962</v>
      </c>
      <c r="B895" s="11">
        <v>59</v>
      </c>
      <c r="C895" s="3"/>
      <c r="D895" s="3"/>
      <c r="E895" s="5"/>
      <c r="F895" s="3"/>
      <c r="G895" s="3"/>
      <c r="H895" s="5"/>
      <c r="I895" s="5"/>
      <c r="J895" s="5"/>
      <c r="K895" s="5"/>
      <c r="L895" s="6"/>
      <c r="M895" s="6"/>
      <c r="N895" s="7"/>
    </row>
    <row x14ac:dyDescent="0.25" r="896" customHeight="1" ht="18.75">
      <c r="A896" s="10" t="s">
        <v>963</v>
      </c>
      <c r="B896" s="11">
        <v>59</v>
      </c>
      <c r="C896" s="3"/>
      <c r="D896" s="3"/>
      <c r="E896" s="5"/>
      <c r="F896" s="3"/>
      <c r="G896" s="3"/>
      <c r="H896" s="5"/>
      <c r="I896" s="5"/>
      <c r="J896" s="5"/>
      <c r="K896" s="5"/>
      <c r="L896" s="6"/>
      <c r="M896" s="6"/>
      <c r="N896" s="7"/>
    </row>
    <row x14ac:dyDescent="0.25" r="897" customHeight="1" ht="18.75">
      <c r="A897" s="10" t="s">
        <v>964</v>
      </c>
      <c r="B897" s="11">
        <v>59</v>
      </c>
      <c r="C897" s="3"/>
      <c r="D897" s="3"/>
      <c r="E897" s="5"/>
      <c r="F897" s="3"/>
      <c r="G897" s="3"/>
      <c r="H897" s="5"/>
      <c r="I897" s="5"/>
      <c r="J897" s="5"/>
      <c r="K897" s="5"/>
      <c r="L897" s="6"/>
      <c r="M897" s="6"/>
      <c r="N897" s="7"/>
    </row>
    <row x14ac:dyDescent="0.25" r="898" customHeight="1" ht="18.75">
      <c r="A898" s="10" t="s">
        <v>965</v>
      </c>
      <c r="B898" s="11">
        <v>59</v>
      </c>
      <c r="C898" s="3"/>
      <c r="D898" s="3"/>
      <c r="E898" s="5"/>
      <c r="F898" s="3"/>
      <c r="G898" s="3"/>
      <c r="H898" s="5"/>
      <c r="I898" s="5"/>
      <c r="J898" s="5"/>
      <c r="K898" s="5"/>
      <c r="L898" s="6"/>
      <c r="M898" s="6"/>
      <c r="N898" s="7"/>
    </row>
    <row x14ac:dyDescent="0.25" r="899" customHeight="1" ht="18.75">
      <c r="A899" s="10" t="s">
        <v>966</v>
      </c>
      <c r="B899" s="11">
        <v>59</v>
      </c>
      <c r="C899" s="3"/>
      <c r="D899" s="3"/>
      <c r="E899" s="5"/>
      <c r="F899" s="3"/>
      <c r="G899" s="3"/>
      <c r="H899" s="5"/>
      <c r="I899" s="5"/>
      <c r="J899" s="5"/>
      <c r="K899" s="5"/>
      <c r="L899" s="6"/>
      <c r="M899" s="6"/>
      <c r="N899" s="7"/>
    </row>
    <row x14ac:dyDescent="0.25" r="900" customHeight="1" ht="18.75">
      <c r="A900" s="10" t="s">
        <v>967</v>
      </c>
      <c r="B900" s="11">
        <v>59</v>
      </c>
      <c r="C900" s="3"/>
      <c r="D900" s="3"/>
      <c r="E900" s="5"/>
      <c r="F900" s="3"/>
      <c r="G900" s="3"/>
      <c r="H900" s="5"/>
      <c r="I900" s="5"/>
      <c r="J900" s="5"/>
      <c r="K900" s="5"/>
      <c r="L900" s="6"/>
      <c r="M900" s="6"/>
      <c r="N900" s="7"/>
    </row>
    <row x14ac:dyDescent="0.25" r="901" customHeight="1" ht="18.75">
      <c r="A901" s="10" t="s">
        <v>968</v>
      </c>
      <c r="B901" s="11">
        <v>59</v>
      </c>
      <c r="C901" s="3"/>
      <c r="D901" s="3"/>
      <c r="E901" s="5"/>
      <c r="F901" s="3"/>
      <c r="G901" s="3"/>
      <c r="H901" s="5"/>
      <c r="I901" s="5"/>
      <c r="J901" s="5"/>
      <c r="K901" s="5"/>
      <c r="L901" s="6"/>
      <c r="M901" s="6"/>
      <c r="N901" s="7"/>
    </row>
    <row x14ac:dyDescent="0.25" r="902" customHeight="1" ht="18.75">
      <c r="A902" s="10" t="s">
        <v>969</v>
      </c>
      <c r="B902" s="11">
        <v>59</v>
      </c>
      <c r="C902" s="3"/>
      <c r="D902" s="3"/>
      <c r="E902" s="5"/>
      <c r="F902" s="3"/>
      <c r="G902" s="3"/>
      <c r="H902" s="5"/>
      <c r="I902" s="5"/>
      <c r="J902" s="5"/>
      <c r="K902" s="5"/>
      <c r="L902" s="6"/>
      <c r="M902" s="6"/>
      <c r="N902" s="7"/>
    </row>
    <row x14ac:dyDescent="0.25" r="903" customHeight="1" ht="18.75">
      <c r="A903" s="10" t="s">
        <v>970</v>
      </c>
      <c r="B903" s="11">
        <v>59</v>
      </c>
      <c r="C903" s="3"/>
      <c r="D903" s="3"/>
      <c r="E903" s="5"/>
      <c r="F903" s="3"/>
      <c r="G903" s="3"/>
      <c r="H903" s="5"/>
      <c r="I903" s="5"/>
      <c r="J903" s="5"/>
      <c r="K903" s="5"/>
      <c r="L903" s="6"/>
      <c r="M903" s="6"/>
      <c r="N903" s="7"/>
    </row>
    <row x14ac:dyDescent="0.25" r="904" customHeight="1" ht="18.75">
      <c r="A904" s="10" t="s">
        <v>971</v>
      </c>
      <c r="B904" s="11">
        <v>59</v>
      </c>
      <c r="C904" s="3"/>
      <c r="D904" s="3"/>
      <c r="E904" s="5"/>
      <c r="F904" s="3"/>
      <c r="G904" s="3"/>
      <c r="H904" s="5"/>
      <c r="I904" s="5"/>
      <c r="J904" s="5"/>
      <c r="K904" s="5"/>
      <c r="L904" s="6"/>
      <c r="M904" s="6"/>
      <c r="N904" s="7"/>
    </row>
    <row x14ac:dyDescent="0.25" r="905" customHeight="1" ht="18.75">
      <c r="A905" s="10" t="s">
        <v>972</v>
      </c>
      <c r="B905" s="11">
        <v>59</v>
      </c>
      <c r="C905" s="3"/>
      <c r="D905" s="3"/>
      <c r="E905" s="5"/>
      <c r="F905" s="3"/>
      <c r="G905" s="3"/>
      <c r="H905" s="5"/>
      <c r="I905" s="5"/>
      <c r="J905" s="5"/>
      <c r="K905" s="5"/>
      <c r="L905" s="6"/>
      <c r="M905" s="6"/>
      <c r="N905" s="7"/>
    </row>
    <row x14ac:dyDescent="0.25" r="906" customHeight="1" ht="18.75">
      <c r="A906" s="10" t="s">
        <v>973</v>
      </c>
      <c r="B906" s="11">
        <v>59</v>
      </c>
      <c r="C906" s="3"/>
      <c r="D906" s="3"/>
      <c r="E906" s="5"/>
      <c r="F906" s="3"/>
      <c r="G906" s="3"/>
      <c r="H906" s="5"/>
      <c r="I906" s="5"/>
      <c r="J906" s="5"/>
      <c r="K906" s="5"/>
      <c r="L906" s="6"/>
      <c r="M906" s="6"/>
      <c r="N906" s="7"/>
    </row>
    <row x14ac:dyDescent="0.25" r="907" customHeight="1" ht="18.75">
      <c r="A907" s="10" t="s">
        <v>974</v>
      </c>
      <c r="B907" s="11">
        <v>59</v>
      </c>
      <c r="C907" s="3"/>
      <c r="D907" s="3"/>
      <c r="E907" s="5"/>
      <c r="F907" s="3"/>
      <c r="G907" s="3"/>
      <c r="H907" s="5"/>
      <c r="I907" s="5"/>
      <c r="J907" s="5"/>
      <c r="K907" s="5"/>
      <c r="L907" s="6"/>
      <c r="M907" s="6"/>
      <c r="N907" s="7"/>
    </row>
    <row x14ac:dyDescent="0.25" r="908" customHeight="1" ht="18.75">
      <c r="A908" s="10" t="s">
        <v>975</v>
      </c>
      <c r="B908" s="11">
        <v>60</v>
      </c>
      <c r="C908" s="3"/>
      <c r="D908" s="3"/>
      <c r="E908" s="5"/>
      <c r="F908" s="3"/>
      <c r="G908" s="3"/>
      <c r="H908" s="5"/>
      <c r="I908" s="5"/>
      <c r="J908" s="5"/>
      <c r="K908" s="5"/>
      <c r="L908" s="6"/>
      <c r="M908" s="6"/>
      <c r="N908" s="7"/>
    </row>
    <row x14ac:dyDescent="0.25" r="909" customHeight="1" ht="18.75">
      <c r="A909" s="10" t="s">
        <v>976</v>
      </c>
      <c r="B909" s="11">
        <v>60</v>
      </c>
      <c r="C909" s="3"/>
      <c r="D909" s="3"/>
      <c r="E909" s="5"/>
      <c r="F909" s="3"/>
      <c r="G909" s="3"/>
      <c r="H909" s="5"/>
      <c r="I909" s="5"/>
      <c r="J909" s="5"/>
      <c r="K909" s="5"/>
      <c r="L909" s="6"/>
      <c r="M909" s="6"/>
      <c r="N909" s="7"/>
    </row>
    <row x14ac:dyDescent="0.25" r="910" customHeight="1" ht="18.75">
      <c r="A910" s="10" t="s">
        <v>977</v>
      </c>
      <c r="B910" s="11">
        <v>60</v>
      </c>
      <c r="C910" s="3"/>
      <c r="D910" s="3"/>
      <c r="E910" s="5"/>
      <c r="F910" s="3"/>
      <c r="G910" s="3"/>
      <c r="H910" s="5"/>
      <c r="I910" s="5"/>
      <c r="J910" s="5"/>
      <c r="K910" s="5"/>
      <c r="L910" s="6"/>
      <c r="M910" s="6"/>
      <c r="N910" s="7"/>
    </row>
    <row x14ac:dyDescent="0.25" r="911" customHeight="1" ht="18.75">
      <c r="A911" s="10" t="s">
        <v>978</v>
      </c>
      <c r="B911" s="11">
        <v>60</v>
      </c>
      <c r="C911" s="3"/>
      <c r="D911" s="3"/>
      <c r="E911" s="5"/>
      <c r="F911" s="3"/>
      <c r="G911" s="3"/>
      <c r="H911" s="5"/>
      <c r="I911" s="5"/>
      <c r="J911" s="5"/>
      <c r="K911" s="5"/>
      <c r="L911" s="6"/>
      <c r="M911" s="6"/>
      <c r="N911" s="7"/>
    </row>
    <row x14ac:dyDescent="0.25" r="912" customHeight="1" ht="18.75">
      <c r="A912" s="10" t="s">
        <v>979</v>
      </c>
      <c r="B912" s="11">
        <v>60</v>
      </c>
      <c r="C912" s="3"/>
      <c r="D912" s="3"/>
      <c r="E912" s="5"/>
      <c r="F912" s="3"/>
      <c r="G912" s="3"/>
      <c r="H912" s="5"/>
      <c r="I912" s="5"/>
      <c r="J912" s="5"/>
      <c r="K912" s="5"/>
      <c r="L912" s="6"/>
      <c r="M912" s="6"/>
      <c r="N912" s="7"/>
    </row>
    <row x14ac:dyDescent="0.25" r="913" customHeight="1" ht="18.75">
      <c r="A913" s="10" t="s">
        <v>980</v>
      </c>
      <c r="B913" s="11">
        <v>60</v>
      </c>
      <c r="C913" s="3"/>
      <c r="D913" s="3"/>
      <c r="E913" s="5"/>
      <c r="F913" s="3"/>
      <c r="G913" s="3"/>
      <c r="H913" s="5"/>
      <c r="I913" s="5"/>
      <c r="J913" s="5"/>
      <c r="K913" s="5"/>
      <c r="L913" s="6"/>
      <c r="M913" s="6"/>
      <c r="N913" s="7"/>
    </row>
    <row x14ac:dyDescent="0.25" r="914" customHeight="1" ht="18.75">
      <c r="A914" s="10" t="s">
        <v>981</v>
      </c>
      <c r="B914" s="11">
        <v>60</v>
      </c>
      <c r="C914" s="3"/>
      <c r="D914" s="3"/>
      <c r="E914" s="5"/>
      <c r="F914" s="3"/>
      <c r="G914" s="3"/>
      <c r="H914" s="5"/>
      <c r="I914" s="5"/>
      <c r="J914" s="5"/>
      <c r="K914" s="5"/>
      <c r="L914" s="6"/>
      <c r="M914" s="6"/>
      <c r="N914" s="7"/>
    </row>
    <row x14ac:dyDescent="0.25" r="915" customHeight="1" ht="18.75">
      <c r="A915" s="10" t="s">
        <v>982</v>
      </c>
      <c r="B915" s="11">
        <v>60</v>
      </c>
      <c r="C915" s="3"/>
      <c r="D915" s="3"/>
      <c r="E915" s="5"/>
      <c r="F915" s="3"/>
      <c r="G915" s="3"/>
      <c r="H915" s="5"/>
      <c r="I915" s="5"/>
      <c r="J915" s="5"/>
      <c r="K915" s="5"/>
      <c r="L915" s="6"/>
      <c r="M915" s="6"/>
      <c r="N915" s="7"/>
    </row>
    <row x14ac:dyDescent="0.25" r="916" customHeight="1" ht="18.75">
      <c r="A916" s="10" t="s">
        <v>983</v>
      </c>
      <c r="B916" s="11">
        <v>60</v>
      </c>
      <c r="C916" s="3"/>
      <c r="D916" s="3"/>
      <c r="E916" s="5"/>
      <c r="F916" s="3"/>
      <c r="G916" s="3"/>
      <c r="H916" s="5"/>
      <c r="I916" s="5"/>
      <c r="J916" s="5"/>
      <c r="K916" s="5"/>
      <c r="L916" s="6"/>
      <c r="M916" s="6"/>
      <c r="N916" s="7"/>
    </row>
    <row x14ac:dyDescent="0.25" r="917" customHeight="1" ht="18.75">
      <c r="A917" s="10" t="s">
        <v>984</v>
      </c>
      <c r="B917" s="11">
        <v>60</v>
      </c>
      <c r="C917" s="3"/>
      <c r="D917" s="3"/>
      <c r="E917" s="5"/>
      <c r="F917" s="3"/>
      <c r="G917" s="3"/>
      <c r="H917" s="5"/>
      <c r="I917" s="5"/>
      <c r="J917" s="5"/>
      <c r="K917" s="5"/>
      <c r="L917" s="6"/>
      <c r="M917" s="6"/>
      <c r="N917" s="7"/>
    </row>
    <row x14ac:dyDescent="0.25" r="918" customHeight="1" ht="18.75">
      <c r="A918" s="10" t="s">
        <v>985</v>
      </c>
      <c r="B918" s="11">
        <v>60</v>
      </c>
      <c r="C918" s="3"/>
      <c r="D918" s="3"/>
      <c r="E918" s="5"/>
      <c r="F918" s="3"/>
      <c r="G918" s="3"/>
      <c r="H918" s="5"/>
      <c r="I918" s="5"/>
      <c r="J918" s="5"/>
      <c r="K918" s="5"/>
      <c r="L918" s="6"/>
      <c r="M918" s="6"/>
      <c r="N918" s="7"/>
    </row>
    <row x14ac:dyDescent="0.25" r="919" customHeight="1" ht="18.75">
      <c r="A919" s="10" t="s">
        <v>986</v>
      </c>
      <c r="B919" s="11">
        <v>60</v>
      </c>
      <c r="C919" s="3"/>
      <c r="D919" s="3"/>
      <c r="E919" s="5"/>
      <c r="F919" s="3"/>
      <c r="G919" s="3"/>
      <c r="H919" s="5"/>
      <c r="I919" s="5"/>
      <c r="J919" s="5"/>
      <c r="K919" s="5"/>
      <c r="L919" s="6"/>
      <c r="M919" s="6"/>
      <c r="N919" s="7"/>
    </row>
    <row x14ac:dyDescent="0.25" r="920" customHeight="1" ht="18.75">
      <c r="A920" s="10" t="s">
        <v>987</v>
      </c>
      <c r="B920" s="11">
        <v>60</v>
      </c>
      <c r="C920" s="3"/>
      <c r="D920" s="3"/>
      <c r="E920" s="5"/>
      <c r="F920" s="3"/>
      <c r="G920" s="3"/>
      <c r="H920" s="5"/>
      <c r="I920" s="5"/>
      <c r="J920" s="5"/>
      <c r="K920" s="5"/>
      <c r="L920" s="6"/>
      <c r="M920" s="6"/>
      <c r="N920" s="7"/>
    </row>
    <row x14ac:dyDescent="0.25" r="921" customHeight="1" ht="18.75">
      <c r="A921" s="10" t="s">
        <v>988</v>
      </c>
      <c r="B921" s="11">
        <v>60</v>
      </c>
      <c r="C921" s="3"/>
      <c r="D921" s="3"/>
      <c r="E921" s="5"/>
      <c r="F921" s="3"/>
      <c r="G921" s="3"/>
      <c r="H921" s="5"/>
      <c r="I921" s="5"/>
      <c r="J921" s="5"/>
      <c r="K921" s="5"/>
      <c r="L921" s="6"/>
      <c r="M921" s="6"/>
      <c r="N921" s="7"/>
    </row>
    <row x14ac:dyDescent="0.25" r="922" customHeight="1" ht="18.75">
      <c r="A922" s="10" t="s">
        <v>989</v>
      </c>
      <c r="B922" s="11">
        <v>60</v>
      </c>
      <c r="C922" s="3"/>
      <c r="D922" s="3"/>
      <c r="E922" s="5"/>
      <c r="F922" s="3"/>
      <c r="G922" s="3"/>
      <c r="H922" s="5"/>
      <c r="I922" s="5"/>
      <c r="J922" s="5"/>
      <c r="K922" s="5"/>
      <c r="L922" s="6"/>
      <c r="M922" s="6"/>
      <c r="N922" s="7"/>
    </row>
    <row x14ac:dyDescent="0.25" r="923" customHeight="1" ht="18.75">
      <c r="A923" s="10" t="s">
        <v>990</v>
      </c>
      <c r="B923" s="11">
        <v>60</v>
      </c>
      <c r="C923" s="3"/>
      <c r="D923" s="3"/>
      <c r="E923" s="5"/>
      <c r="F923" s="3"/>
      <c r="G923" s="3"/>
      <c r="H923" s="5"/>
      <c r="I923" s="5"/>
      <c r="J923" s="5"/>
      <c r="K923" s="5"/>
      <c r="L923" s="6"/>
      <c r="M923" s="6"/>
      <c r="N923" s="7"/>
    </row>
    <row x14ac:dyDescent="0.25" r="924" customHeight="1" ht="18.75">
      <c r="A924" s="10" t="s">
        <v>991</v>
      </c>
      <c r="B924" s="11">
        <v>60</v>
      </c>
      <c r="C924" s="3"/>
      <c r="D924" s="3"/>
      <c r="E924" s="5"/>
      <c r="F924" s="3"/>
      <c r="G924" s="3"/>
      <c r="H924" s="5"/>
      <c r="I924" s="5"/>
      <c r="J924" s="5"/>
      <c r="K924" s="5"/>
      <c r="L924" s="6"/>
      <c r="M924" s="6"/>
      <c r="N924" s="7"/>
    </row>
    <row x14ac:dyDescent="0.25" r="925" customHeight="1" ht="18.75">
      <c r="A925" s="10" t="s">
        <v>992</v>
      </c>
      <c r="B925" s="11">
        <v>60</v>
      </c>
      <c r="C925" s="3"/>
      <c r="D925" s="3"/>
      <c r="E925" s="5"/>
      <c r="F925" s="3"/>
      <c r="G925" s="3"/>
      <c r="H925" s="5"/>
      <c r="I925" s="5"/>
      <c r="J925" s="5"/>
      <c r="K925" s="5"/>
      <c r="L925" s="6"/>
      <c r="M925" s="6"/>
      <c r="N925" s="7"/>
    </row>
    <row x14ac:dyDescent="0.25" r="926" customHeight="1" ht="18.75">
      <c r="A926" s="10" t="s">
        <v>993</v>
      </c>
      <c r="B926" s="11">
        <v>60</v>
      </c>
      <c r="C926" s="3"/>
      <c r="D926" s="3"/>
      <c r="E926" s="5"/>
      <c r="F926" s="3"/>
      <c r="G926" s="3"/>
      <c r="H926" s="5"/>
      <c r="I926" s="5"/>
      <c r="J926" s="5"/>
      <c r="K926" s="5"/>
      <c r="L926" s="6"/>
      <c r="M926" s="6"/>
      <c r="N926" s="7"/>
    </row>
    <row x14ac:dyDescent="0.25" r="927" customHeight="1" ht="18.75">
      <c r="A927" s="10" t="s">
        <v>994</v>
      </c>
      <c r="B927" s="11">
        <v>60</v>
      </c>
      <c r="C927" s="3"/>
      <c r="D927" s="3"/>
      <c r="E927" s="5"/>
      <c r="F927" s="3"/>
      <c r="G927" s="3"/>
      <c r="H927" s="5"/>
      <c r="I927" s="5"/>
      <c r="J927" s="5"/>
      <c r="K927" s="5"/>
      <c r="L927" s="6"/>
      <c r="M927" s="6"/>
      <c r="N927" s="7"/>
    </row>
    <row x14ac:dyDescent="0.25" r="928" customHeight="1" ht="18.75">
      <c r="A928" s="10" t="s">
        <v>995</v>
      </c>
      <c r="B928" s="11">
        <v>60</v>
      </c>
      <c r="C928" s="3"/>
      <c r="D928" s="3"/>
      <c r="E928" s="5"/>
      <c r="F928" s="3"/>
      <c r="G928" s="3"/>
      <c r="H928" s="5"/>
      <c r="I928" s="5"/>
      <c r="J928" s="5"/>
      <c r="K928" s="5"/>
      <c r="L928" s="6"/>
      <c r="M928" s="6"/>
      <c r="N928" s="7"/>
    </row>
    <row x14ac:dyDescent="0.25" r="929" customHeight="1" ht="18.75">
      <c r="A929" s="10" t="s">
        <v>996</v>
      </c>
      <c r="B929" s="11">
        <v>61</v>
      </c>
      <c r="C929" s="3"/>
      <c r="D929" s="3"/>
      <c r="E929" s="5"/>
      <c r="F929" s="3"/>
      <c r="G929" s="3"/>
      <c r="H929" s="5"/>
      <c r="I929" s="5"/>
      <c r="J929" s="5"/>
      <c r="K929" s="5"/>
      <c r="L929" s="6"/>
      <c r="M929" s="6"/>
      <c r="N929" s="7"/>
    </row>
    <row x14ac:dyDescent="0.25" r="930" customHeight="1" ht="18.75">
      <c r="A930" s="10" t="s">
        <v>997</v>
      </c>
      <c r="B930" s="11">
        <v>61</v>
      </c>
      <c r="C930" s="3"/>
      <c r="D930" s="3"/>
      <c r="E930" s="5"/>
      <c r="F930" s="3"/>
      <c r="G930" s="3"/>
      <c r="H930" s="5"/>
      <c r="I930" s="5"/>
      <c r="J930" s="5"/>
      <c r="K930" s="5"/>
      <c r="L930" s="6"/>
      <c r="M930" s="6"/>
      <c r="N930" s="7"/>
    </row>
    <row x14ac:dyDescent="0.25" r="931" customHeight="1" ht="18.75">
      <c r="A931" s="10" t="s">
        <v>998</v>
      </c>
      <c r="B931" s="11">
        <v>61</v>
      </c>
      <c r="C931" s="3"/>
      <c r="D931" s="3"/>
      <c r="E931" s="5"/>
      <c r="F931" s="3"/>
      <c r="G931" s="3"/>
      <c r="H931" s="5"/>
      <c r="I931" s="5"/>
      <c r="J931" s="5"/>
      <c r="K931" s="5"/>
      <c r="L931" s="6"/>
      <c r="M931" s="6"/>
      <c r="N931" s="7"/>
    </row>
    <row x14ac:dyDescent="0.25" r="932" customHeight="1" ht="18.75">
      <c r="A932" s="10" t="s">
        <v>999</v>
      </c>
      <c r="B932" s="11">
        <v>61</v>
      </c>
      <c r="C932" s="3"/>
      <c r="D932" s="3"/>
      <c r="E932" s="5"/>
      <c r="F932" s="3"/>
      <c r="G932" s="3"/>
      <c r="H932" s="5"/>
      <c r="I932" s="5"/>
      <c r="J932" s="5"/>
      <c r="K932" s="5"/>
      <c r="L932" s="6"/>
      <c r="M932" s="6"/>
      <c r="N932" s="7"/>
    </row>
    <row x14ac:dyDescent="0.25" r="933" customHeight="1" ht="18.75">
      <c r="A933" s="10" t="s">
        <v>1000</v>
      </c>
      <c r="B933" s="11">
        <v>61</v>
      </c>
      <c r="C933" s="3"/>
      <c r="D933" s="3"/>
      <c r="E933" s="5"/>
      <c r="F933" s="3"/>
      <c r="G933" s="3"/>
      <c r="H933" s="5"/>
      <c r="I933" s="5"/>
      <c r="J933" s="5"/>
      <c r="K933" s="5"/>
      <c r="L933" s="6"/>
      <c r="M933" s="6"/>
      <c r="N933" s="7"/>
    </row>
    <row x14ac:dyDescent="0.25" r="934" customHeight="1" ht="18.75">
      <c r="A934" s="10" t="s">
        <v>1001</v>
      </c>
      <c r="B934" s="11">
        <v>61</v>
      </c>
      <c r="C934" s="3"/>
      <c r="D934" s="3"/>
      <c r="E934" s="5"/>
      <c r="F934" s="3"/>
      <c r="G934" s="3"/>
      <c r="H934" s="5"/>
      <c r="I934" s="5"/>
      <c r="J934" s="5"/>
      <c r="K934" s="5"/>
      <c r="L934" s="6"/>
      <c r="M934" s="6"/>
      <c r="N934" s="7"/>
    </row>
    <row x14ac:dyDescent="0.25" r="935" customHeight="1" ht="18.75">
      <c r="A935" s="10" t="s">
        <v>1002</v>
      </c>
      <c r="B935" s="11">
        <v>61</v>
      </c>
      <c r="C935" s="3"/>
      <c r="D935" s="3"/>
      <c r="E935" s="5"/>
      <c r="F935" s="3"/>
      <c r="G935" s="3"/>
      <c r="H935" s="5"/>
      <c r="I935" s="5"/>
      <c r="J935" s="5"/>
      <c r="K935" s="5"/>
      <c r="L935" s="6"/>
      <c r="M935" s="6"/>
      <c r="N935" s="7"/>
    </row>
    <row x14ac:dyDescent="0.25" r="936" customHeight="1" ht="18.75">
      <c r="A936" s="10" t="s">
        <v>1003</v>
      </c>
      <c r="B936" s="11">
        <v>61</v>
      </c>
      <c r="C936" s="3"/>
      <c r="D936" s="3"/>
      <c r="E936" s="5"/>
      <c r="F936" s="3"/>
      <c r="G936" s="3"/>
      <c r="H936" s="5"/>
      <c r="I936" s="5"/>
      <c r="J936" s="5"/>
      <c r="K936" s="5"/>
      <c r="L936" s="6"/>
      <c r="M936" s="6"/>
      <c r="N936" s="7"/>
    </row>
    <row x14ac:dyDescent="0.25" r="937" customHeight="1" ht="18.75">
      <c r="A937" s="10" t="s">
        <v>1004</v>
      </c>
      <c r="B937" s="11">
        <v>61</v>
      </c>
      <c r="C937" s="3"/>
      <c r="D937" s="3"/>
      <c r="E937" s="5"/>
      <c r="F937" s="3"/>
      <c r="G937" s="3"/>
      <c r="H937" s="5"/>
      <c r="I937" s="5"/>
      <c r="J937" s="5"/>
      <c r="K937" s="5"/>
      <c r="L937" s="6"/>
      <c r="M937" s="6"/>
      <c r="N937" s="7"/>
    </row>
    <row x14ac:dyDescent="0.25" r="938" customHeight="1" ht="18.75">
      <c r="A938" s="10" t="s">
        <v>1005</v>
      </c>
      <c r="B938" s="11">
        <v>61</v>
      </c>
      <c r="C938" s="3"/>
      <c r="D938" s="3"/>
      <c r="E938" s="5"/>
      <c r="F938" s="3"/>
      <c r="G938" s="3"/>
      <c r="H938" s="5"/>
      <c r="I938" s="5"/>
      <c r="J938" s="5"/>
      <c r="K938" s="5"/>
      <c r="L938" s="6"/>
      <c r="M938" s="6"/>
      <c r="N938" s="7"/>
    </row>
    <row x14ac:dyDescent="0.25" r="939" customHeight="1" ht="18.75">
      <c r="A939" s="10" t="s">
        <v>1006</v>
      </c>
      <c r="B939" s="11">
        <v>61</v>
      </c>
      <c r="C939" s="3"/>
      <c r="D939" s="3"/>
      <c r="E939" s="5"/>
      <c r="F939" s="3"/>
      <c r="G939" s="3"/>
      <c r="H939" s="5"/>
      <c r="I939" s="5"/>
      <c r="J939" s="5"/>
      <c r="K939" s="5"/>
      <c r="L939" s="6"/>
      <c r="M939" s="6"/>
      <c r="N939" s="7"/>
    </row>
    <row x14ac:dyDescent="0.25" r="940" customHeight="1" ht="18.75">
      <c r="A940" s="10" t="s">
        <v>1007</v>
      </c>
      <c r="B940" s="11">
        <v>61</v>
      </c>
      <c r="C940" s="3"/>
      <c r="D940" s="3"/>
      <c r="E940" s="5"/>
      <c r="F940" s="3"/>
      <c r="G940" s="3"/>
      <c r="H940" s="5"/>
      <c r="I940" s="5"/>
      <c r="J940" s="5"/>
      <c r="K940" s="5"/>
      <c r="L940" s="6"/>
      <c r="M940" s="6"/>
      <c r="N940" s="7"/>
    </row>
    <row x14ac:dyDescent="0.25" r="941" customHeight="1" ht="18.75">
      <c r="A941" s="10" t="s">
        <v>1008</v>
      </c>
      <c r="B941" s="11">
        <v>61</v>
      </c>
      <c r="C941" s="3"/>
      <c r="D941" s="3"/>
      <c r="E941" s="5"/>
      <c r="F941" s="3"/>
      <c r="G941" s="3"/>
      <c r="H941" s="5"/>
      <c r="I941" s="5"/>
      <c r="J941" s="5"/>
      <c r="K941" s="5"/>
      <c r="L941" s="6"/>
      <c r="M941" s="6"/>
      <c r="N941" s="7"/>
    </row>
    <row x14ac:dyDescent="0.25" r="942" customHeight="1" ht="18.75">
      <c r="A942" s="10" t="s">
        <v>1009</v>
      </c>
      <c r="B942" s="11">
        <v>61</v>
      </c>
      <c r="C942" s="3"/>
      <c r="D942" s="3"/>
      <c r="E942" s="5"/>
      <c r="F942" s="3"/>
      <c r="G942" s="3"/>
      <c r="H942" s="5"/>
      <c r="I942" s="5"/>
      <c r="J942" s="5"/>
      <c r="K942" s="5"/>
      <c r="L942" s="6"/>
      <c r="M942" s="6"/>
      <c r="N942" s="7"/>
    </row>
    <row x14ac:dyDescent="0.25" r="943" customHeight="1" ht="18.75">
      <c r="A943" s="10" t="s">
        <v>1010</v>
      </c>
      <c r="B943" s="11">
        <v>61</v>
      </c>
      <c r="C943" s="3"/>
      <c r="D943" s="3"/>
      <c r="E943" s="5"/>
      <c r="F943" s="3"/>
      <c r="G943" s="3"/>
      <c r="H943" s="5"/>
      <c r="I943" s="5"/>
      <c r="J943" s="5"/>
      <c r="K943" s="5"/>
      <c r="L943" s="6"/>
      <c r="M943" s="6"/>
      <c r="N943" s="7"/>
    </row>
    <row x14ac:dyDescent="0.25" r="944" customHeight="1" ht="18.75">
      <c r="A944" s="10" t="s">
        <v>1011</v>
      </c>
      <c r="B944" s="11">
        <v>61</v>
      </c>
      <c r="C944" s="3"/>
      <c r="D944" s="3"/>
      <c r="E944" s="5"/>
      <c r="F944" s="3"/>
      <c r="G944" s="3"/>
      <c r="H944" s="5"/>
      <c r="I944" s="5"/>
      <c r="J944" s="5"/>
      <c r="K944" s="5"/>
      <c r="L944" s="6"/>
      <c r="M944" s="6"/>
      <c r="N944" s="7"/>
    </row>
    <row x14ac:dyDescent="0.25" r="945" customHeight="1" ht="18.75">
      <c r="A945" s="10" t="s">
        <v>1012</v>
      </c>
      <c r="B945" s="11">
        <v>61</v>
      </c>
      <c r="C945" s="3"/>
      <c r="D945" s="3"/>
      <c r="E945" s="5"/>
      <c r="F945" s="3"/>
      <c r="G945" s="3"/>
      <c r="H945" s="5"/>
      <c r="I945" s="5"/>
      <c r="J945" s="5"/>
      <c r="K945" s="5"/>
      <c r="L945" s="6"/>
      <c r="M945" s="6"/>
      <c r="N945" s="7"/>
    </row>
    <row x14ac:dyDescent="0.25" r="946" customHeight="1" ht="18.75">
      <c r="A946" s="10" t="s">
        <v>1013</v>
      </c>
      <c r="B946" s="11">
        <v>61</v>
      </c>
      <c r="C946" s="3"/>
      <c r="D946" s="3"/>
      <c r="E946" s="5"/>
      <c r="F946" s="3"/>
      <c r="G946" s="3"/>
      <c r="H946" s="5"/>
      <c r="I946" s="5"/>
      <c r="J946" s="5"/>
      <c r="K946" s="5"/>
      <c r="L946" s="6"/>
      <c r="M946" s="6"/>
      <c r="N946" s="7"/>
    </row>
    <row x14ac:dyDescent="0.25" r="947" customHeight="1" ht="18.75">
      <c r="A947" s="10" t="s">
        <v>1014</v>
      </c>
      <c r="B947" s="11">
        <v>62</v>
      </c>
      <c r="C947" s="3"/>
      <c r="D947" s="3"/>
      <c r="E947" s="5"/>
      <c r="F947" s="3"/>
      <c r="G947" s="3"/>
      <c r="H947" s="5"/>
      <c r="I947" s="5"/>
      <c r="J947" s="5"/>
      <c r="K947" s="5"/>
      <c r="L947" s="6"/>
      <c r="M947" s="6"/>
      <c r="N947" s="7"/>
    </row>
    <row x14ac:dyDescent="0.25" r="948" customHeight="1" ht="18.75">
      <c r="A948" s="10" t="s">
        <v>1015</v>
      </c>
      <c r="B948" s="11">
        <v>62</v>
      </c>
      <c r="C948" s="3"/>
      <c r="D948" s="3"/>
      <c r="E948" s="5"/>
      <c r="F948" s="3"/>
      <c r="G948" s="3"/>
      <c r="H948" s="5"/>
      <c r="I948" s="5"/>
      <c r="J948" s="5"/>
      <c r="K948" s="5"/>
      <c r="L948" s="6"/>
      <c r="M948" s="6"/>
      <c r="N948" s="7"/>
    </row>
    <row x14ac:dyDescent="0.25" r="949" customHeight="1" ht="18.75">
      <c r="A949" s="10" t="s">
        <v>1016</v>
      </c>
      <c r="B949" s="11">
        <v>62</v>
      </c>
      <c r="C949" s="3"/>
      <c r="D949" s="3"/>
      <c r="E949" s="5"/>
      <c r="F949" s="3"/>
      <c r="G949" s="3"/>
      <c r="H949" s="5"/>
      <c r="I949" s="5"/>
      <c r="J949" s="5"/>
      <c r="K949" s="5"/>
      <c r="L949" s="6"/>
      <c r="M949" s="6"/>
      <c r="N949" s="7"/>
    </row>
    <row x14ac:dyDescent="0.25" r="950" customHeight="1" ht="18.75">
      <c r="A950" s="10" t="s">
        <v>1017</v>
      </c>
      <c r="B950" s="11">
        <v>62</v>
      </c>
      <c r="C950" s="3"/>
      <c r="D950" s="3"/>
      <c r="E950" s="5"/>
      <c r="F950" s="3"/>
      <c r="G950" s="3"/>
      <c r="H950" s="5"/>
      <c r="I950" s="5"/>
      <c r="J950" s="5"/>
      <c r="K950" s="5"/>
      <c r="L950" s="6"/>
      <c r="M950" s="6"/>
      <c r="N950" s="7"/>
    </row>
    <row x14ac:dyDescent="0.25" r="951" customHeight="1" ht="18.75">
      <c r="A951" s="10" t="s">
        <v>1018</v>
      </c>
      <c r="B951" s="11">
        <v>62</v>
      </c>
      <c r="C951" s="3"/>
      <c r="D951" s="3"/>
      <c r="E951" s="5"/>
      <c r="F951" s="3"/>
      <c r="G951" s="3"/>
      <c r="H951" s="5"/>
      <c r="I951" s="5"/>
      <c r="J951" s="5"/>
      <c r="K951" s="5"/>
      <c r="L951" s="6"/>
      <c r="M951" s="6"/>
      <c r="N951" s="7"/>
    </row>
    <row x14ac:dyDescent="0.25" r="952" customHeight="1" ht="18.75">
      <c r="A952" s="10" t="s">
        <v>1019</v>
      </c>
      <c r="B952" s="11">
        <v>62</v>
      </c>
      <c r="C952" s="3"/>
      <c r="D952" s="3"/>
      <c r="E952" s="5"/>
      <c r="F952" s="3"/>
      <c r="G952" s="3"/>
      <c r="H952" s="5"/>
      <c r="I952" s="5"/>
      <c r="J952" s="5"/>
      <c r="K952" s="5"/>
      <c r="L952" s="6"/>
      <c r="M952" s="6"/>
      <c r="N952" s="7"/>
    </row>
    <row x14ac:dyDescent="0.25" r="953" customHeight="1" ht="18.75">
      <c r="A953" s="10" t="s">
        <v>1020</v>
      </c>
      <c r="B953" s="11">
        <v>62</v>
      </c>
      <c r="C953" s="3"/>
      <c r="D953" s="3"/>
      <c r="E953" s="5"/>
      <c r="F953" s="3"/>
      <c r="G953" s="3"/>
      <c r="H953" s="5"/>
      <c r="I953" s="5"/>
      <c r="J953" s="5"/>
      <c r="K953" s="5"/>
      <c r="L953" s="6"/>
      <c r="M953" s="6"/>
      <c r="N953" s="7"/>
    </row>
    <row x14ac:dyDescent="0.25" r="954" customHeight="1" ht="18.75">
      <c r="A954" s="10" t="s">
        <v>1021</v>
      </c>
      <c r="B954" s="11">
        <v>62</v>
      </c>
      <c r="C954" s="3"/>
      <c r="D954" s="3"/>
      <c r="E954" s="5"/>
      <c r="F954" s="3"/>
      <c r="G954" s="3"/>
      <c r="H954" s="5"/>
      <c r="I954" s="5"/>
      <c r="J954" s="5"/>
      <c r="K954" s="5"/>
      <c r="L954" s="6"/>
      <c r="M954" s="6"/>
      <c r="N954" s="7"/>
    </row>
    <row x14ac:dyDescent="0.25" r="955" customHeight="1" ht="18.75">
      <c r="A955" s="10" t="s">
        <v>1022</v>
      </c>
      <c r="B955" s="11">
        <v>62</v>
      </c>
      <c r="C955" s="3"/>
      <c r="D955" s="3"/>
      <c r="E955" s="5"/>
      <c r="F955" s="3"/>
      <c r="G955" s="3"/>
      <c r="H955" s="5"/>
      <c r="I955" s="5"/>
      <c r="J955" s="5"/>
      <c r="K955" s="5"/>
      <c r="L955" s="6"/>
      <c r="M955" s="6"/>
      <c r="N955" s="7"/>
    </row>
    <row x14ac:dyDescent="0.25" r="956" customHeight="1" ht="18.75">
      <c r="A956" s="10" t="s">
        <v>1023</v>
      </c>
      <c r="B956" s="11">
        <v>62</v>
      </c>
      <c r="C956" s="3"/>
      <c r="D956" s="3"/>
      <c r="E956" s="5"/>
      <c r="F956" s="3"/>
      <c r="G956" s="3"/>
      <c r="H956" s="5"/>
      <c r="I956" s="5"/>
      <c r="J956" s="5"/>
      <c r="K956" s="5"/>
      <c r="L956" s="6"/>
      <c r="M956" s="6"/>
      <c r="N956" s="7"/>
    </row>
    <row x14ac:dyDescent="0.25" r="957" customHeight="1" ht="18.75">
      <c r="A957" s="10" t="s">
        <v>1024</v>
      </c>
      <c r="B957" s="11">
        <v>62</v>
      </c>
      <c r="C957" s="3"/>
      <c r="D957" s="3"/>
      <c r="E957" s="5"/>
      <c r="F957" s="3"/>
      <c r="G957" s="3"/>
      <c r="H957" s="5"/>
      <c r="I957" s="5"/>
      <c r="J957" s="5"/>
      <c r="K957" s="5"/>
      <c r="L957" s="6"/>
      <c r="M957" s="6"/>
      <c r="N957" s="7"/>
    </row>
    <row x14ac:dyDescent="0.25" r="958" customHeight="1" ht="18.75">
      <c r="A958" s="10" t="s">
        <v>1025</v>
      </c>
      <c r="B958" s="11">
        <v>62</v>
      </c>
      <c r="C958" s="3"/>
      <c r="D958" s="3"/>
      <c r="E958" s="5"/>
      <c r="F958" s="3"/>
      <c r="G958" s="3"/>
      <c r="H958" s="5"/>
      <c r="I958" s="5"/>
      <c r="J958" s="5"/>
      <c r="K958" s="5"/>
      <c r="L958" s="6"/>
      <c r="M958" s="6"/>
      <c r="N958" s="7"/>
    </row>
    <row x14ac:dyDescent="0.25" r="959" customHeight="1" ht="18.75">
      <c r="A959" s="10" t="s">
        <v>1026</v>
      </c>
      <c r="B959" s="11">
        <v>62</v>
      </c>
      <c r="C959" s="3"/>
      <c r="D959" s="3"/>
      <c r="E959" s="5"/>
      <c r="F959" s="3"/>
      <c r="G959" s="3"/>
      <c r="H959" s="5"/>
      <c r="I959" s="5"/>
      <c r="J959" s="5"/>
      <c r="K959" s="5"/>
      <c r="L959" s="6"/>
      <c r="M959" s="6"/>
      <c r="N959" s="7"/>
    </row>
    <row x14ac:dyDescent="0.25" r="960" customHeight="1" ht="18.75">
      <c r="A960" s="10" t="s">
        <v>1027</v>
      </c>
      <c r="B960" s="11">
        <v>62</v>
      </c>
      <c r="C960" s="3"/>
      <c r="D960" s="3"/>
      <c r="E960" s="5"/>
      <c r="F960" s="3"/>
      <c r="G960" s="3"/>
      <c r="H960" s="5"/>
      <c r="I960" s="5"/>
      <c r="J960" s="5"/>
      <c r="K960" s="5"/>
      <c r="L960" s="6"/>
      <c r="M960" s="6"/>
      <c r="N960" s="7"/>
    </row>
    <row x14ac:dyDescent="0.25" r="961" customHeight="1" ht="18.75">
      <c r="A961" s="10" t="s">
        <v>1028</v>
      </c>
      <c r="B961" s="11">
        <v>62</v>
      </c>
      <c r="C961" s="3"/>
      <c r="D961" s="3"/>
      <c r="E961" s="5"/>
      <c r="F961" s="3"/>
      <c r="G961" s="3"/>
      <c r="H961" s="5"/>
      <c r="I961" s="5"/>
      <c r="J961" s="5"/>
      <c r="K961" s="5"/>
      <c r="L961" s="6"/>
      <c r="M961" s="6"/>
      <c r="N961" s="7"/>
    </row>
    <row x14ac:dyDescent="0.25" r="962" customHeight="1" ht="18.75">
      <c r="A962" s="10" t="s">
        <v>1029</v>
      </c>
      <c r="B962" s="11">
        <v>63</v>
      </c>
      <c r="C962" s="3"/>
      <c r="D962" s="3"/>
      <c r="E962" s="5"/>
      <c r="F962" s="3"/>
      <c r="G962" s="3"/>
      <c r="H962" s="5"/>
      <c r="I962" s="5"/>
      <c r="J962" s="5"/>
      <c r="K962" s="5"/>
      <c r="L962" s="6"/>
      <c r="M962" s="6"/>
      <c r="N962" s="7"/>
    </row>
    <row x14ac:dyDescent="0.25" r="963" customHeight="1" ht="18.75">
      <c r="A963" s="10" t="s">
        <v>1030</v>
      </c>
      <c r="B963" s="11">
        <v>63</v>
      </c>
      <c r="C963" s="3"/>
      <c r="D963" s="3"/>
      <c r="E963" s="5"/>
      <c r="F963" s="3"/>
      <c r="G963" s="3"/>
      <c r="H963" s="5"/>
      <c r="I963" s="5"/>
      <c r="J963" s="5"/>
      <c r="K963" s="5"/>
      <c r="L963" s="6"/>
      <c r="M963" s="6"/>
      <c r="N963" s="7"/>
    </row>
    <row x14ac:dyDescent="0.25" r="964" customHeight="1" ht="18.75">
      <c r="A964" s="10" t="s">
        <v>1031</v>
      </c>
      <c r="B964" s="11">
        <v>63</v>
      </c>
      <c r="C964" s="3"/>
      <c r="D964" s="3"/>
      <c r="E964" s="5"/>
      <c r="F964" s="3"/>
      <c r="G964" s="3"/>
      <c r="H964" s="5"/>
      <c r="I964" s="5"/>
      <c r="J964" s="5"/>
      <c r="K964" s="5"/>
      <c r="L964" s="6"/>
      <c r="M964" s="6"/>
      <c r="N964" s="7"/>
    </row>
    <row x14ac:dyDescent="0.25" r="965" customHeight="1" ht="18.75">
      <c r="A965" s="10" t="s">
        <v>1032</v>
      </c>
      <c r="B965" s="11">
        <v>63</v>
      </c>
      <c r="C965" s="3"/>
      <c r="D965" s="3"/>
      <c r="E965" s="5"/>
      <c r="F965" s="3"/>
      <c r="G965" s="3"/>
      <c r="H965" s="5"/>
      <c r="I965" s="5"/>
      <c r="J965" s="5"/>
      <c r="K965" s="5"/>
      <c r="L965" s="6"/>
      <c r="M965" s="6"/>
      <c r="N965" s="7"/>
    </row>
    <row x14ac:dyDescent="0.25" r="966" customHeight="1" ht="18.75">
      <c r="A966" s="10" t="s">
        <v>1033</v>
      </c>
      <c r="B966" s="11">
        <v>63</v>
      </c>
      <c r="C966" s="3"/>
      <c r="D966" s="3"/>
      <c r="E966" s="5"/>
      <c r="F966" s="3"/>
      <c r="G966" s="3"/>
      <c r="H966" s="5"/>
      <c r="I966" s="5"/>
      <c r="J966" s="5"/>
      <c r="K966" s="5"/>
      <c r="L966" s="6"/>
      <c r="M966" s="6"/>
      <c r="N966" s="7"/>
    </row>
    <row x14ac:dyDescent="0.25" r="967" customHeight="1" ht="18.75">
      <c r="A967" s="10" t="s">
        <v>1034</v>
      </c>
      <c r="B967" s="11">
        <v>63</v>
      </c>
      <c r="C967" s="3"/>
      <c r="D967" s="3"/>
      <c r="E967" s="5"/>
      <c r="F967" s="3"/>
      <c r="G967" s="3"/>
      <c r="H967" s="5"/>
      <c r="I967" s="5"/>
      <c r="J967" s="5"/>
      <c r="K967" s="5"/>
      <c r="L967" s="6"/>
      <c r="M967" s="6"/>
      <c r="N967" s="7"/>
    </row>
    <row x14ac:dyDescent="0.25" r="968" customHeight="1" ht="18.75">
      <c r="A968" s="10" t="s">
        <v>1035</v>
      </c>
      <c r="B968" s="11">
        <v>63</v>
      </c>
      <c r="C968" s="3"/>
      <c r="D968" s="3"/>
      <c r="E968" s="5"/>
      <c r="F968" s="3"/>
      <c r="G968" s="3"/>
      <c r="H968" s="5"/>
      <c r="I968" s="5"/>
      <c r="J968" s="5"/>
      <c r="K968" s="5"/>
      <c r="L968" s="6"/>
      <c r="M968" s="6"/>
      <c r="N968" s="7"/>
    </row>
    <row x14ac:dyDescent="0.25" r="969" customHeight="1" ht="18.75">
      <c r="A969" s="10" t="s">
        <v>1036</v>
      </c>
      <c r="B969" s="11">
        <v>63</v>
      </c>
      <c r="C969" s="3"/>
      <c r="D969" s="3"/>
      <c r="E969" s="5"/>
      <c r="F969" s="3"/>
      <c r="G969" s="3"/>
      <c r="H969" s="5"/>
      <c r="I969" s="5"/>
      <c r="J969" s="5"/>
      <c r="K969" s="5"/>
      <c r="L969" s="6"/>
      <c r="M969" s="6"/>
      <c r="N969" s="7"/>
    </row>
    <row x14ac:dyDescent="0.25" r="970" customHeight="1" ht="18.75">
      <c r="A970" s="10" t="s">
        <v>1037</v>
      </c>
      <c r="B970" s="11">
        <v>63</v>
      </c>
      <c r="C970" s="3"/>
      <c r="D970" s="3"/>
      <c r="E970" s="5"/>
      <c r="F970" s="3"/>
      <c r="G970" s="3"/>
      <c r="H970" s="5"/>
      <c r="I970" s="5"/>
      <c r="J970" s="5"/>
      <c r="K970" s="5"/>
      <c r="L970" s="6"/>
      <c r="M970" s="6"/>
      <c r="N970" s="7"/>
    </row>
    <row x14ac:dyDescent="0.25" r="971" customHeight="1" ht="18.75">
      <c r="A971" s="10" t="s">
        <v>1038</v>
      </c>
      <c r="B971" s="11">
        <v>63</v>
      </c>
      <c r="C971" s="3"/>
      <c r="D971" s="3"/>
      <c r="E971" s="5"/>
      <c r="F971" s="3"/>
      <c r="G971" s="3"/>
      <c r="H971" s="5"/>
      <c r="I971" s="5"/>
      <c r="J971" s="5"/>
      <c r="K971" s="5"/>
      <c r="L971" s="6"/>
      <c r="M971" s="6"/>
      <c r="N971" s="7"/>
    </row>
    <row x14ac:dyDescent="0.25" r="972" customHeight="1" ht="18.75">
      <c r="A972" s="10" t="s">
        <v>1039</v>
      </c>
      <c r="B972" s="11">
        <v>63</v>
      </c>
      <c r="C972" s="3"/>
      <c r="D972" s="3"/>
      <c r="E972" s="5"/>
      <c r="F972" s="3"/>
      <c r="G972" s="3"/>
      <c r="H972" s="5"/>
      <c r="I972" s="5"/>
      <c r="J972" s="5"/>
      <c r="K972" s="5"/>
      <c r="L972" s="6"/>
      <c r="M972" s="6"/>
      <c r="N972" s="7"/>
    </row>
    <row x14ac:dyDescent="0.25" r="973" customHeight="1" ht="18.75">
      <c r="A973" s="10" t="s">
        <v>1040</v>
      </c>
      <c r="B973" s="11">
        <v>63</v>
      </c>
      <c r="C973" s="3"/>
      <c r="D973" s="3"/>
      <c r="E973" s="5"/>
      <c r="F973" s="3"/>
      <c r="G973" s="3"/>
      <c r="H973" s="5"/>
      <c r="I973" s="5"/>
      <c r="J973" s="5"/>
      <c r="K973" s="5"/>
      <c r="L973" s="6"/>
      <c r="M973" s="6"/>
      <c r="N973" s="7"/>
    </row>
    <row x14ac:dyDescent="0.25" r="974" customHeight="1" ht="18.75">
      <c r="A974" s="10" t="s">
        <v>1041</v>
      </c>
      <c r="B974" s="11">
        <v>63</v>
      </c>
      <c r="C974" s="3"/>
      <c r="D974" s="3"/>
      <c r="E974" s="5"/>
      <c r="F974" s="3"/>
      <c r="G974" s="3"/>
      <c r="H974" s="5"/>
      <c r="I974" s="5"/>
      <c r="J974" s="5"/>
      <c r="K974" s="5"/>
      <c r="L974" s="6"/>
      <c r="M974" s="6"/>
      <c r="N974" s="7"/>
    </row>
    <row x14ac:dyDescent="0.25" r="975" customHeight="1" ht="18.75">
      <c r="A975" s="10" t="s">
        <v>1042</v>
      </c>
      <c r="B975" s="11">
        <v>63</v>
      </c>
      <c r="C975" s="3"/>
      <c r="D975" s="3"/>
      <c r="E975" s="5"/>
      <c r="F975" s="3"/>
      <c r="G975" s="3"/>
      <c r="H975" s="5"/>
      <c r="I975" s="5"/>
      <c r="J975" s="5"/>
      <c r="K975" s="5"/>
      <c r="L975" s="6"/>
      <c r="M975" s="6"/>
      <c r="N975" s="7"/>
    </row>
    <row x14ac:dyDescent="0.25" r="976" customHeight="1" ht="18.75">
      <c r="A976" s="10" t="s">
        <v>1043</v>
      </c>
      <c r="B976" s="11">
        <v>63</v>
      </c>
      <c r="C976" s="3"/>
      <c r="D976" s="3"/>
      <c r="E976" s="5"/>
      <c r="F976" s="3"/>
      <c r="G976" s="3"/>
      <c r="H976" s="5"/>
      <c r="I976" s="5"/>
      <c r="J976" s="5"/>
      <c r="K976" s="5"/>
      <c r="L976" s="6"/>
      <c r="M976" s="6"/>
      <c r="N976" s="7"/>
    </row>
    <row x14ac:dyDescent="0.25" r="977" customHeight="1" ht="18.75">
      <c r="A977" s="10" t="s">
        <v>1044</v>
      </c>
      <c r="B977" s="11">
        <v>63</v>
      </c>
      <c r="C977" s="3"/>
      <c r="D977" s="3"/>
      <c r="E977" s="5"/>
      <c r="F977" s="3"/>
      <c r="G977" s="3"/>
      <c r="H977" s="5"/>
      <c r="I977" s="5"/>
      <c r="J977" s="5"/>
      <c r="K977" s="5"/>
      <c r="L977" s="6"/>
      <c r="M977" s="6"/>
      <c r="N977" s="7"/>
    </row>
    <row x14ac:dyDescent="0.25" r="978" customHeight="1" ht="18.75">
      <c r="A978" s="10" t="s">
        <v>1045</v>
      </c>
      <c r="B978" s="11">
        <v>63</v>
      </c>
      <c r="C978" s="3"/>
      <c r="D978" s="3"/>
      <c r="E978" s="5"/>
      <c r="F978" s="3"/>
      <c r="G978" s="3"/>
      <c r="H978" s="5"/>
      <c r="I978" s="5"/>
      <c r="J978" s="5"/>
      <c r="K978" s="5"/>
      <c r="L978" s="6"/>
      <c r="M978" s="6"/>
      <c r="N978" s="7"/>
    </row>
    <row x14ac:dyDescent="0.25" r="979" customHeight="1" ht="18.75">
      <c r="A979" s="10" t="s">
        <v>1046</v>
      </c>
      <c r="B979" s="11">
        <v>63</v>
      </c>
      <c r="C979" s="3"/>
      <c r="D979" s="3"/>
      <c r="E979" s="5"/>
      <c r="F979" s="3"/>
      <c r="G979" s="3"/>
      <c r="H979" s="5"/>
      <c r="I979" s="5"/>
      <c r="J979" s="5"/>
      <c r="K979" s="5"/>
      <c r="L979" s="6"/>
      <c r="M979" s="6"/>
      <c r="N979" s="7"/>
    </row>
    <row x14ac:dyDescent="0.25" r="980" customHeight="1" ht="18.75">
      <c r="A980" s="10" t="s">
        <v>1047</v>
      </c>
      <c r="B980" s="11">
        <v>64</v>
      </c>
      <c r="C980" s="3"/>
      <c r="D980" s="3"/>
      <c r="E980" s="5"/>
      <c r="F980" s="3"/>
      <c r="G980" s="3"/>
      <c r="H980" s="5"/>
      <c r="I980" s="5"/>
      <c r="J980" s="5"/>
      <c r="K980" s="5"/>
      <c r="L980" s="6"/>
      <c r="M980" s="6"/>
      <c r="N980" s="7"/>
    </row>
    <row x14ac:dyDescent="0.25" r="981" customHeight="1" ht="18.75">
      <c r="A981" s="10" t="s">
        <v>1048</v>
      </c>
      <c r="B981" s="11">
        <v>64</v>
      </c>
      <c r="C981" s="3"/>
      <c r="D981" s="3"/>
      <c r="E981" s="5"/>
      <c r="F981" s="3"/>
      <c r="G981" s="3"/>
      <c r="H981" s="5"/>
      <c r="I981" s="5"/>
      <c r="J981" s="5"/>
      <c r="K981" s="5"/>
      <c r="L981" s="6"/>
      <c r="M981" s="6"/>
      <c r="N981" s="7"/>
    </row>
    <row x14ac:dyDescent="0.25" r="982" customHeight="1" ht="18.75">
      <c r="A982" s="10" t="s">
        <v>1049</v>
      </c>
      <c r="B982" s="11">
        <v>64</v>
      </c>
      <c r="C982" s="3"/>
      <c r="D982" s="3"/>
      <c r="E982" s="5"/>
      <c r="F982" s="3"/>
      <c r="G982" s="3"/>
      <c r="H982" s="5"/>
      <c r="I982" s="5"/>
      <c r="J982" s="5"/>
      <c r="K982" s="5"/>
      <c r="L982" s="6"/>
      <c r="M982" s="6"/>
      <c r="N982" s="7"/>
    </row>
    <row x14ac:dyDescent="0.25" r="983" customHeight="1" ht="18.75">
      <c r="A983" s="10" t="s">
        <v>1050</v>
      </c>
      <c r="B983" s="11">
        <v>64</v>
      </c>
      <c r="C983" s="3"/>
      <c r="D983" s="3"/>
      <c r="E983" s="5"/>
      <c r="F983" s="3"/>
      <c r="G983" s="3"/>
      <c r="H983" s="5"/>
      <c r="I983" s="5"/>
      <c r="J983" s="5"/>
      <c r="K983" s="5"/>
      <c r="L983" s="6"/>
      <c r="M983" s="6"/>
      <c r="N983" s="7"/>
    </row>
    <row x14ac:dyDescent="0.25" r="984" customHeight="1" ht="18.75">
      <c r="A984" s="10" t="s">
        <v>1051</v>
      </c>
      <c r="B984" s="11">
        <v>64</v>
      </c>
      <c r="C984" s="3"/>
      <c r="D984" s="3"/>
      <c r="E984" s="5"/>
      <c r="F984" s="3"/>
      <c r="G984" s="3"/>
      <c r="H984" s="5"/>
      <c r="I984" s="5"/>
      <c r="J984" s="5"/>
      <c r="K984" s="5"/>
      <c r="L984" s="6"/>
      <c r="M984" s="6"/>
      <c r="N984" s="7"/>
    </row>
    <row x14ac:dyDescent="0.25" r="985" customHeight="1" ht="18.75">
      <c r="A985" s="10" t="s">
        <v>1052</v>
      </c>
      <c r="B985" s="11">
        <v>64</v>
      </c>
      <c r="C985" s="3"/>
      <c r="D985" s="3"/>
      <c r="E985" s="5"/>
      <c r="F985" s="3"/>
      <c r="G985" s="3"/>
      <c r="H985" s="5"/>
      <c r="I985" s="5"/>
      <c r="J985" s="5"/>
      <c r="K985" s="5"/>
      <c r="L985" s="6"/>
      <c r="M985" s="6"/>
      <c r="N985" s="7"/>
    </row>
    <row x14ac:dyDescent="0.25" r="986" customHeight="1" ht="18.75">
      <c r="A986" s="10" t="s">
        <v>1053</v>
      </c>
      <c r="B986" s="11">
        <v>64</v>
      </c>
      <c r="C986" s="3"/>
      <c r="D986" s="3"/>
      <c r="E986" s="5"/>
      <c r="F986" s="3"/>
      <c r="G986" s="3"/>
      <c r="H986" s="5"/>
      <c r="I986" s="5"/>
      <c r="J986" s="5"/>
      <c r="K986" s="5"/>
      <c r="L986" s="6"/>
      <c r="M986" s="6"/>
      <c r="N986" s="7"/>
    </row>
    <row x14ac:dyDescent="0.25" r="987" customHeight="1" ht="18.75">
      <c r="A987" s="10" t="s">
        <v>1054</v>
      </c>
      <c r="B987" s="11">
        <v>64</v>
      </c>
      <c r="C987" s="3"/>
      <c r="D987" s="3"/>
      <c r="E987" s="5"/>
      <c r="F987" s="3"/>
      <c r="G987" s="3"/>
      <c r="H987" s="5"/>
      <c r="I987" s="5"/>
      <c r="J987" s="5"/>
      <c r="K987" s="5"/>
      <c r="L987" s="6"/>
      <c r="M987" s="6"/>
      <c r="N987" s="7"/>
    </row>
    <row x14ac:dyDescent="0.25" r="988" customHeight="1" ht="18.75">
      <c r="A988" s="10" t="s">
        <v>1055</v>
      </c>
      <c r="B988" s="11">
        <v>64</v>
      </c>
      <c r="C988" s="3"/>
      <c r="D988" s="3"/>
      <c r="E988" s="5"/>
      <c r="F988" s="3"/>
      <c r="G988" s="3"/>
      <c r="H988" s="5"/>
      <c r="I988" s="5"/>
      <c r="J988" s="5"/>
      <c r="K988" s="5"/>
      <c r="L988" s="6"/>
      <c r="M988" s="6"/>
      <c r="N988" s="7"/>
    </row>
    <row x14ac:dyDescent="0.25" r="989" customHeight="1" ht="18.75">
      <c r="A989" s="10" t="s">
        <v>1056</v>
      </c>
      <c r="B989" s="11">
        <v>64</v>
      </c>
      <c r="C989" s="3"/>
      <c r="D989" s="3"/>
      <c r="E989" s="5"/>
      <c r="F989" s="3"/>
      <c r="G989" s="3"/>
      <c r="H989" s="5"/>
      <c r="I989" s="5"/>
      <c r="J989" s="5"/>
      <c r="K989" s="5"/>
      <c r="L989" s="6"/>
      <c r="M989" s="6"/>
      <c r="N989" s="7"/>
    </row>
    <row x14ac:dyDescent="0.25" r="990" customHeight="1" ht="18.75">
      <c r="A990" s="10" t="s">
        <v>1057</v>
      </c>
      <c r="B990" s="11">
        <v>64</v>
      </c>
      <c r="C990" s="3"/>
      <c r="D990" s="3"/>
      <c r="E990" s="5"/>
      <c r="F990" s="3"/>
      <c r="G990" s="3"/>
      <c r="H990" s="5"/>
      <c r="I990" s="5"/>
      <c r="J990" s="5"/>
      <c r="K990" s="5"/>
      <c r="L990" s="6"/>
      <c r="M990" s="6"/>
      <c r="N990" s="7"/>
    </row>
    <row x14ac:dyDescent="0.25" r="991" customHeight="1" ht="18.75">
      <c r="A991" s="10" t="s">
        <v>1058</v>
      </c>
      <c r="B991" s="11">
        <v>64</v>
      </c>
      <c r="C991" s="3"/>
      <c r="D991" s="3"/>
      <c r="E991" s="5"/>
      <c r="F991" s="3"/>
      <c r="G991" s="3"/>
      <c r="H991" s="5"/>
      <c r="I991" s="5"/>
      <c r="J991" s="5"/>
      <c r="K991" s="5"/>
      <c r="L991" s="6"/>
      <c r="M991" s="6"/>
      <c r="N991" s="7"/>
    </row>
    <row x14ac:dyDescent="0.25" r="992" customHeight="1" ht="18.75">
      <c r="A992" s="10" t="s">
        <v>1059</v>
      </c>
      <c r="B992" s="11">
        <v>64</v>
      </c>
      <c r="C992" s="3"/>
      <c r="D992" s="3"/>
      <c r="E992" s="5"/>
      <c r="F992" s="3"/>
      <c r="G992" s="3"/>
      <c r="H992" s="5"/>
      <c r="I992" s="5"/>
      <c r="J992" s="5"/>
      <c r="K992" s="5"/>
      <c r="L992" s="6"/>
      <c r="M992" s="6"/>
      <c r="N992" s="7"/>
    </row>
    <row x14ac:dyDescent="0.25" r="993" customHeight="1" ht="18.75">
      <c r="A993" s="10" t="s">
        <v>1060</v>
      </c>
      <c r="B993" s="11">
        <v>64</v>
      </c>
      <c r="C993" s="3"/>
      <c r="D993" s="3"/>
      <c r="E993" s="5"/>
      <c r="F993" s="3"/>
      <c r="G993" s="3"/>
      <c r="H993" s="5"/>
      <c r="I993" s="5"/>
      <c r="J993" s="5"/>
      <c r="K993" s="5"/>
      <c r="L993" s="6"/>
      <c r="M993" s="6"/>
      <c r="N993" s="7"/>
    </row>
    <row x14ac:dyDescent="0.25" r="994" customHeight="1" ht="18.75">
      <c r="A994" s="10" t="s">
        <v>1061</v>
      </c>
      <c r="B994" s="11">
        <v>64</v>
      </c>
      <c r="C994" s="3"/>
      <c r="D994" s="3"/>
      <c r="E994" s="5"/>
      <c r="F994" s="3"/>
      <c r="G994" s="3"/>
      <c r="H994" s="5"/>
      <c r="I994" s="5"/>
      <c r="J994" s="5"/>
      <c r="K994" s="5"/>
      <c r="L994" s="6"/>
      <c r="M994" s="6"/>
      <c r="N994" s="7"/>
    </row>
    <row x14ac:dyDescent="0.25" r="995" customHeight="1" ht="18.75">
      <c r="A995" s="10" t="s">
        <v>1062</v>
      </c>
      <c r="B995" s="11">
        <v>64</v>
      </c>
      <c r="C995" s="3"/>
      <c r="D995" s="3"/>
      <c r="E995" s="5"/>
      <c r="F995" s="3"/>
      <c r="G995" s="3"/>
      <c r="H995" s="5"/>
      <c r="I995" s="5"/>
      <c r="J995" s="5"/>
      <c r="K995" s="5"/>
      <c r="L995" s="6"/>
      <c r="M995" s="6"/>
      <c r="N995" s="7"/>
    </row>
    <row x14ac:dyDescent="0.25" r="996" customHeight="1" ht="18.75">
      <c r="A996" s="10" t="s">
        <v>1063</v>
      </c>
      <c r="B996" s="11">
        <v>64</v>
      </c>
      <c r="C996" s="3"/>
      <c r="D996" s="3"/>
      <c r="E996" s="5"/>
      <c r="F996" s="3"/>
      <c r="G996" s="3"/>
      <c r="H996" s="5"/>
      <c r="I996" s="5"/>
      <c r="J996" s="5"/>
      <c r="K996" s="5"/>
      <c r="L996" s="6"/>
      <c r="M996" s="6"/>
      <c r="N996" s="7"/>
    </row>
    <row x14ac:dyDescent="0.25" r="997" customHeight="1" ht="18.75">
      <c r="A997" s="10" t="s">
        <v>1064</v>
      </c>
      <c r="B997" s="11">
        <v>64</v>
      </c>
      <c r="C997" s="3"/>
      <c r="D997" s="3"/>
      <c r="E997" s="5"/>
      <c r="F997" s="3"/>
      <c r="G997" s="3"/>
      <c r="H997" s="5"/>
      <c r="I997" s="5"/>
      <c r="J997" s="5"/>
      <c r="K997" s="5"/>
      <c r="L997" s="6"/>
      <c r="M997" s="6"/>
      <c r="N997" s="7"/>
    </row>
    <row x14ac:dyDescent="0.25" r="998" customHeight="1" ht="18.75">
      <c r="A998" s="10" t="s">
        <v>1065</v>
      </c>
      <c r="B998" s="11">
        <v>64</v>
      </c>
      <c r="C998" s="3"/>
      <c r="D998" s="3"/>
      <c r="E998" s="5"/>
      <c r="F998" s="3"/>
      <c r="G998" s="3"/>
      <c r="H998" s="5"/>
      <c r="I998" s="5"/>
      <c r="J998" s="5"/>
      <c r="K998" s="5"/>
      <c r="L998" s="6"/>
      <c r="M998" s="6"/>
      <c r="N998" s="7"/>
    </row>
    <row x14ac:dyDescent="0.25" r="999" customHeight="1" ht="18.75">
      <c r="A999" s="10" t="s">
        <v>1066</v>
      </c>
      <c r="B999" s="11">
        <v>64</v>
      </c>
      <c r="C999" s="3"/>
      <c r="D999" s="3"/>
      <c r="E999" s="5"/>
      <c r="F999" s="3"/>
      <c r="G999" s="3"/>
      <c r="H999" s="5"/>
      <c r="I999" s="5"/>
      <c r="J999" s="5"/>
      <c r="K999" s="5"/>
      <c r="L999" s="6"/>
      <c r="M999" s="6"/>
      <c r="N999" s="7"/>
    </row>
    <row x14ac:dyDescent="0.25" r="1000" customHeight="1" ht="18.75">
      <c r="A1000" s="10" t="s">
        <v>1067</v>
      </c>
      <c r="B1000" s="11">
        <v>64</v>
      </c>
      <c r="C1000" s="3"/>
      <c r="D1000" s="3"/>
      <c r="E1000" s="5"/>
      <c r="F1000" s="3"/>
      <c r="G1000" s="3"/>
      <c r="H1000" s="5"/>
      <c r="I1000" s="5"/>
      <c r="J1000" s="5"/>
      <c r="K1000" s="5"/>
      <c r="L1000" s="6"/>
      <c r="M1000" s="6"/>
      <c r="N1000" s="7"/>
    </row>
    <row x14ac:dyDescent="0.25" r="1001" customHeight="1" ht="18.75">
      <c r="A1001" s="10" t="s">
        <v>1068</v>
      </c>
      <c r="B1001" s="11">
        <v>64</v>
      </c>
      <c r="C1001" s="3"/>
      <c r="D1001" s="3"/>
      <c r="E1001" s="5"/>
      <c r="F1001" s="3"/>
      <c r="G1001" s="3"/>
      <c r="H1001" s="5"/>
      <c r="I1001" s="5"/>
      <c r="J1001" s="5"/>
      <c r="K1001" s="5"/>
      <c r="L1001" s="6"/>
      <c r="M1001" s="6"/>
      <c r="N1001" s="7"/>
    </row>
    <row x14ac:dyDescent="0.25" r="1002" customHeight="1" ht="18.75">
      <c r="A1002" s="10" t="s">
        <v>1069</v>
      </c>
      <c r="B1002" s="11">
        <v>65</v>
      </c>
      <c r="C1002" s="3"/>
      <c r="D1002" s="3"/>
      <c r="E1002" s="5"/>
      <c r="F1002" s="3"/>
      <c r="G1002" s="3"/>
      <c r="H1002" s="5"/>
      <c r="I1002" s="5"/>
      <c r="J1002" s="5"/>
      <c r="K1002" s="5"/>
      <c r="L1002" s="6"/>
      <c r="M1002" s="6"/>
      <c r="N1002" s="7"/>
    </row>
    <row x14ac:dyDescent="0.25" r="1003" customHeight="1" ht="18.75">
      <c r="A1003" s="10" t="s">
        <v>1070</v>
      </c>
      <c r="B1003" s="11">
        <v>65</v>
      </c>
      <c r="C1003" s="3"/>
      <c r="D1003" s="3"/>
      <c r="E1003" s="5"/>
      <c r="F1003" s="3"/>
      <c r="G1003" s="3"/>
      <c r="H1003" s="5"/>
      <c r="I1003" s="5"/>
      <c r="J1003" s="5"/>
      <c r="K1003" s="5"/>
      <c r="L1003" s="6"/>
      <c r="M1003" s="6"/>
      <c r="N1003" s="7"/>
    </row>
    <row x14ac:dyDescent="0.25" r="1004" customHeight="1" ht="18.75">
      <c r="A1004" s="10" t="s">
        <v>1071</v>
      </c>
      <c r="B1004" s="11">
        <v>65</v>
      </c>
      <c r="C1004" s="3"/>
      <c r="D1004" s="3"/>
      <c r="E1004" s="5"/>
      <c r="F1004" s="3"/>
      <c r="G1004" s="3"/>
      <c r="H1004" s="5"/>
      <c r="I1004" s="5"/>
      <c r="J1004" s="5"/>
      <c r="K1004" s="5"/>
      <c r="L1004" s="6"/>
      <c r="M1004" s="6"/>
      <c r="N1004" s="7"/>
    </row>
    <row x14ac:dyDescent="0.25" r="1005" customHeight="1" ht="18.75">
      <c r="A1005" s="10" t="s">
        <v>1072</v>
      </c>
      <c r="B1005" s="11">
        <v>65</v>
      </c>
      <c r="C1005" s="3"/>
      <c r="D1005" s="3"/>
      <c r="E1005" s="5"/>
      <c r="F1005" s="3"/>
      <c r="G1005" s="3"/>
      <c r="H1005" s="5"/>
      <c r="I1005" s="5"/>
      <c r="J1005" s="5"/>
      <c r="K1005" s="5"/>
      <c r="L1005" s="6"/>
      <c r="M1005" s="6"/>
      <c r="N1005" s="7"/>
    </row>
    <row x14ac:dyDescent="0.25" r="1006" customHeight="1" ht="18.75">
      <c r="A1006" s="10" t="s">
        <v>1073</v>
      </c>
      <c r="B1006" s="11">
        <v>65</v>
      </c>
      <c r="C1006" s="3"/>
      <c r="D1006" s="3"/>
      <c r="E1006" s="5"/>
      <c r="F1006" s="3"/>
      <c r="G1006" s="3"/>
      <c r="H1006" s="5"/>
      <c r="I1006" s="5"/>
      <c r="J1006" s="5"/>
      <c r="K1006" s="5"/>
      <c r="L1006" s="6"/>
      <c r="M1006" s="6"/>
      <c r="N1006" s="7"/>
    </row>
    <row x14ac:dyDescent="0.25" r="1007" customHeight="1" ht="18.75">
      <c r="A1007" s="10" t="s">
        <v>1074</v>
      </c>
      <c r="B1007" s="11">
        <v>65</v>
      </c>
      <c r="C1007" s="3"/>
      <c r="D1007" s="3"/>
      <c r="E1007" s="5"/>
      <c r="F1007" s="3"/>
      <c r="G1007" s="3"/>
      <c r="H1007" s="5"/>
      <c r="I1007" s="5"/>
      <c r="J1007" s="5"/>
      <c r="K1007" s="5"/>
      <c r="L1007" s="6"/>
      <c r="M1007" s="6"/>
      <c r="N1007" s="7"/>
    </row>
    <row x14ac:dyDescent="0.25" r="1008" customHeight="1" ht="18.75">
      <c r="A1008" s="10" t="s">
        <v>1075</v>
      </c>
      <c r="B1008" s="11">
        <v>65</v>
      </c>
      <c r="C1008" s="3"/>
      <c r="D1008" s="3"/>
      <c r="E1008" s="5"/>
      <c r="F1008" s="3"/>
      <c r="G1008" s="3"/>
      <c r="H1008" s="5"/>
      <c r="I1008" s="5"/>
      <c r="J1008" s="5"/>
      <c r="K1008" s="5"/>
      <c r="L1008" s="6"/>
      <c r="M1008" s="6"/>
      <c r="N1008" s="7"/>
    </row>
    <row x14ac:dyDescent="0.25" r="1009" customHeight="1" ht="18.75">
      <c r="A1009" s="10" t="s">
        <v>1076</v>
      </c>
      <c r="B1009" s="11">
        <v>65</v>
      </c>
      <c r="C1009" s="3"/>
      <c r="D1009" s="3"/>
      <c r="E1009" s="5"/>
      <c r="F1009" s="3"/>
      <c r="G1009" s="3"/>
      <c r="H1009" s="5"/>
      <c r="I1009" s="5"/>
      <c r="J1009" s="5"/>
      <c r="K1009" s="5"/>
      <c r="L1009" s="6"/>
      <c r="M1009" s="6"/>
      <c r="N1009" s="7"/>
    </row>
    <row x14ac:dyDescent="0.25" r="1010" customHeight="1" ht="18.75">
      <c r="A1010" s="10" t="s">
        <v>1077</v>
      </c>
      <c r="B1010" s="11">
        <v>65</v>
      </c>
      <c r="C1010" s="3"/>
      <c r="D1010" s="3"/>
      <c r="E1010" s="5"/>
      <c r="F1010" s="3"/>
      <c r="G1010" s="3"/>
      <c r="H1010" s="5"/>
      <c r="I1010" s="5"/>
      <c r="J1010" s="5"/>
      <c r="K1010" s="5"/>
      <c r="L1010" s="6"/>
      <c r="M1010" s="6"/>
      <c r="N1010" s="7"/>
    </row>
    <row x14ac:dyDescent="0.25" r="1011" customHeight="1" ht="18.75">
      <c r="A1011" s="10" t="s">
        <v>1078</v>
      </c>
      <c r="B1011" s="11">
        <v>65</v>
      </c>
      <c r="C1011" s="3"/>
      <c r="D1011" s="3"/>
      <c r="E1011" s="5"/>
      <c r="F1011" s="3"/>
      <c r="G1011" s="3"/>
      <c r="H1011" s="5"/>
      <c r="I1011" s="5"/>
      <c r="J1011" s="5"/>
      <c r="K1011" s="5"/>
      <c r="L1011" s="6"/>
      <c r="M1011" s="6"/>
      <c r="N1011" s="7"/>
    </row>
    <row x14ac:dyDescent="0.25" r="1012" customHeight="1" ht="18.75">
      <c r="A1012" s="10" t="s">
        <v>1079</v>
      </c>
      <c r="B1012" s="11">
        <v>65</v>
      </c>
      <c r="C1012" s="3"/>
      <c r="D1012" s="3"/>
      <c r="E1012" s="5"/>
      <c r="F1012" s="3"/>
      <c r="G1012" s="3"/>
      <c r="H1012" s="5"/>
      <c r="I1012" s="5"/>
      <c r="J1012" s="5"/>
      <c r="K1012" s="5"/>
      <c r="L1012" s="6"/>
      <c r="M1012" s="6"/>
      <c r="N1012" s="7"/>
    </row>
    <row x14ac:dyDescent="0.25" r="1013" customHeight="1" ht="18.75">
      <c r="A1013" s="10" t="s">
        <v>1080</v>
      </c>
      <c r="B1013" s="11">
        <v>65</v>
      </c>
      <c r="C1013" s="3"/>
      <c r="D1013" s="3"/>
      <c r="E1013" s="5"/>
      <c r="F1013" s="3"/>
      <c r="G1013" s="3"/>
      <c r="H1013" s="5"/>
      <c r="I1013" s="5"/>
      <c r="J1013" s="5"/>
      <c r="K1013" s="5"/>
      <c r="L1013" s="6"/>
      <c r="M1013" s="6"/>
      <c r="N1013" s="7"/>
    </row>
    <row x14ac:dyDescent="0.25" r="1014" customHeight="1" ht="18.75">
      <c r="A1014" s="10" t="s">
        <v>1081</v>
      </c>
      <c r="B1014" s="11">
        <v>65</v>
      </c>
      <c r="C1014" s="3"/>
      <c r="D1014" s="3"/>
      <c r="E1014" s="5"/>
      <c r="F1014" s="3"/>
      <c r="G1014" s="3"/>
      <c r="H1014" s="5"/>
      <c r="I1014" s="5"/>
      <c r="J1014" s="5"/>
      <c r="K1014" s="5"/>
      <c r="L1014" s="6"/>
      <c r="M1014" s="6"/>
      <c r="N1014" s="7"/>
    </row>
    <row x14ac:dyDescent="0.25" r="1015" customHeight="1" ht="18.75">
      <c r="A1015" s="10" t="s">
        <v>1082</v>
      </c>
      <c r="B1015" s="11">
        <v>65</v>
      </c>
      <c r="C1015" s="3"/>
      <c r="D1015" s="3"/>
      <c r="E1015" s="5"/>
      <c r="F1015" s="3"/>
      <c r="G1015" s="3"/>
      <c r="H1015" s="5"/>
      <c r="I1015" s="5"/>
      <c r="J1015" s="5"/>
      <c r="K1015" s="5"/>
      <c r="L1015" s="6"/>
      <c r="M1015" s="6"/>
      <c r="N1015" s="7"/>
    </row>
    <row x14ac:dyDescent="0.25" r="1016" customHeight="1" ht="18.75">
      <c r="A1016" s="13" t="s">
        <v>16</v>
      </c>
      <c r="B1016" s="9">
        <v>44.382</v>
      </c>
      <c r="C1016" s="3"/>
      <c r="D1016" s="3"/>
      <c r="E1016" s="5"/>
      <c r="F1016" s="3"/>
      <c r="G1016" s="3"/>
      <c r="H1016" s="5"/>
      <c r="I1016" s="5"/>
      <c r="J1016" s="5"/>
      <c r="K1016" s="5"/>
      <c r="L1016" s="6"/>
      <c r="M1016" s="6"/>
      <c r="N101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Employee Sample Data</vt:lpstr>
      <vt:lpstr>Pivot Table 2</vt:lpstr>
      <vt:lpstr>Copy of Pivot Table 12</vt:lpstr>
      <vt:lpstr>Dashboard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2025-02-26T02:08:47.742Z</dcterms:created>
  <dcterms:modified xsi:type="dcterms:W3CDTF">2025-02-26T02:08:47.742Z</dcterms:modified>
</cp:coreProperties>
</file>